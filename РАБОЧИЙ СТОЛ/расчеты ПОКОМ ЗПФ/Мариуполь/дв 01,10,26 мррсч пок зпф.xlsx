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10,26\01,10,26 ПОКОМ ЗПФ\"/>
    </mc:Choice>
  </mc:AlternateContent>
  <xr:revisionPtr revIDLastSave="0" documentId="13_ncr:1_{81E4D9CA-AF85-4AFF-BE92-C2BA3F14647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Sheet!$A$3:$AG$74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7" i="1" l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6" i="1"/>
  <c r="AH5" i="1" l="1"/>
  <c r="U15" i="1"/>
  <c r="U23" i="1"/>
  <c r="U27" i="1"/>
  <c r="U28" i="1"/>
  <c r="U30" i="1"/>
  <c r="U33" i="1"/>
  <c r="U34" i="1"/>
  <c r="U35" i="1"/>
  <c r="U36" i="1"/>
  <c r="U37" i="1"/>
  <c r="U44" i="1"/>
  <c r="U48" i="1"/>
  <c r="U51" i="1"/>
  <c r="U55" i="1"/>
  <c r="U56" i="1"/>
  <c r="U59" i="1"/>
  <c r="U60" i="1"/>
  <c r="T15" i="1"/>
  <c r="R15" i="1" s="1"/>
  <c r="T23" i="1"/>
  <c r="R23" i="1" s="1"/>
  <c r="T27" i="1"/>
  <c r="R27" i="1" s="1"/>
  <c r="T28" i="1"/>
  <c r="R28" i="1" s="1"/>
  <c r="T30" i="1"/>
  <c r="R30" i="1" s="1"/>
  <c r="T33" i="1"/>
  <c r="R33" i="1" s="1"/>
  <c r="T34" i="1"/>
  <c r="R34" i="1" s="1"/>
  <c r="T35" i="1"/>
  <c r="R35" i="1" s="1"/>
  <c r="T36" i="1"/>
  <c r="R36" i="1" s="1"/>
  <c r="T37" i="1"/>
  <c r="R37" i="1" s="1"/>
  <c r="T44" i="1"/>
  <c r="R44" i="1" s="1"/>
  <c r="T48" i="1"/>
  <c r="R48" i="1" s="1"/>
  <c r="T51" i="1"/>
  <c r="R51" i="1" s="1"/>
  <c r="T55" i="1"/>
  <c r="R55" i="1" s="1"/>
  <c r="T56" i="1"/>
  <c r="R56" i="1" s="1"/>
  <c r="T59" i="1"/>
  <c r="R59" i="1" s="1"/>
  <c r="T60" i="1"/>
  <c r="R60" i="1" s="1"/>
  <c r="T5" i="1" l="1"/>
  <c r="AA73" i="1" l="1"/>
  <c r="AC55" i="1"/>
  <c r="AC53" i="1"/>
  <c r="AD53" i="1" s="1"/>
  <c r="AA51" i="1"/>
  <c r="AA31" i="1"/>
  <c r="P74" i="1"/>
  <c r="L74" i="1"/>
  <c r="AC73" i="1"/>
  <c r="AD73" i="1" s="1"/>
  <c r="P73" i="1"/>
  <c r="W73" i="1" s="1"/>
  <c r="L73" i="1"/>
  <c r="P72" i="1"/>
  <c r="W72" i="1" s="1"/>
  <c r="L72" i="1"/>
  <c r="P71" i="1"/>
  <c r="W71" i="1" s="1"/>
  <c r="L71" i="1"/>
  <c r="P70" i="1"/>
  <c r="W70" i="1" s="1"/>
  <c r="L70" i="1"/>
  <c r="P69" i="1"/>
  <c r="W69" i="1" s="1"/>
  <c r="L69" i="1"/>
  <c r="P68" i="1"/>
  <c r="W68" i="1" s="1"/>
  <c r="L68" i="1"/>
  <c r="P67" i="1"/>
  <c r="W67" i="1" s="1"/>
  <c r="L67" i="1"/>
  <c r="P66" i="1"/>
  <c r="R66" i="1" s="1"/>
  <c r="L66" i="1"/>
  <c r="P65" i="1"/>
  <c r="W65" i="1" s="1"/>
  <c r="L65" i="1"/>
  <c r="P64" i="1"/>
  <c r="W64" i="1" s="1"/>
  <c r="L64" i="1"/>
  <c r="P63" i="1"/>
  <c r="W63" i="1" s="1"/>
  <c r="L63" i="1"/>
  <c r="P62" i="1"/>
  <c r="W62" i="1" s="1"/>
  <c r="L62" i="1"/>
  <c r="P61" i="1"/>
  <c r="W61" i="1" s="1"/>
  <c r="L61" i="1"/>
  <c r="F60" i="1"/>
  <c r="E60" i="1"/>
  <c r="L60" i="1" s="1"/>
  <c r="F59" i="1"/>
  <c r="E59" i="1"/>
  <c r="P59" i="1" s="1"/>
  <c r="P58" i="1"/>
  <c r="W58" i="1" s="1"/>
  <c r="L58" i="1"/>
  <c r="P57" i="1"/>
  <c r="W57" i="1" s="1"/>
  <c r="L57" i="1"/>
  <c r="P56" i="1"/>
  <c r="L56" i="1"/>
  <c r="AA55" i="1"/>
  <c r="P55" i="1"/>
  <c r="W55" i="1" s="1"/>
  <c r="L55" i="1"/>
  <c r="P54" i="1"/>
  <c r="L54" i="1"/>
  <c r="AA53" i="1"/>
  <c r="P53" i="1"/>
  <c r="W53" i="1" s="1"/>
  <c r="L53" i="1"/>
  <c r="P52" i="1"/>
  <c r="L52" i="1"/>
  <c r="AC51" i="1"/>
  <c r="P51" i="1"/>
  <c r="W51" i="1" s="1"/>
  <c r="L51" i="1"/>
  <c r="P50" i="1"/>
  <c r="W50" i="1" s="1"/>
  <c r="L50" i="1"/>
  <c r="P49" i="1"/>
  <c r="W49" i="1" s="1"/>
  <c r="L49" i="1"/>
  <c r="P48" i="1"/>
  <c r="L48" i="1"/>
  <c r="P47" i="1"/>
  <c r="W47" i="1" s="1"/>
  <c r="L47" i="1"/>
  <c r="P46" i="1"/>
  <c r="R46" i="1" s="1"/>
  <c r="L46" i="1"/>
  <c r="P45" i="1"/>
  <c r="W45" i="1" s="1"/>
  <c r="L45" i="1"/>
  <c r="P44" i="1"/>
  <c r="L44" i="1"/>
  <c r="P43" i="1"/>
  <c r="W43" i="1" s="1"/>
  <c r="L43" i="1"/>
  <c r="P42" i="1"/>
  <c r="W42" i="1" s="1"/>
  <c r="L42" i="1"/>
  <c r="P41" i="1"/>
  <c r="W41" i="1" s="1"/>
  <c r="L41" i="1"/>
  <c r="P40" i="1"/>
  <c r="L40" i="1"/>
  <c r="P39" i="1"/>
  <c r="W39" i="1" s="1"/>
  <c r="L39" i="1"/>
  <c r="P38" i="1"/>
  <c r="L38" i="1"/>
  <c r="F37" i="1"/>
  <c r="E37" i="1"/>
  <c r="P37" i="1" s="1"/>
  <c r="P36" i="1"/>
  <c r="L36" i="1"/>
  <c r="P35" i="1"/>
  <c r="W35" i="1" s="1"/>
  <c r="L35" i="1"/>
  <c r="P34" i="1"/>
  <c r="L34" i="1"/>
  <c r="P33" i="1"/>
  <c r="W33" i="1" s="1"/>
  <c r="L33" i="1"/>
  <c r="P32" i="1"/>
  <c r="L32" i="1"/>
  <c r="AC31" i="1"/>
  <c r="P31" i="1"/>
  <c r="W31" i="1" s="1"/>
  <c r="L31" i="1"/>
  <c r="F30" i="1"/>
  <c r="E30" i="1"/>
  <c r="P30" i="1" s="1"/>
  <c r="P29" i="1"/>
  <c r="W29" i="1" s="1"/>
  <c r="L29" i="1"/>
  <c r="P28" i="1"/>
  <c r="L28" i="1"/>
  <c r="F27" i="1"/>
  <c r="E27" i="1"/>
  <c r="L27" i="1" s="1"/>
  <c r="P26" i="1"/>
  <c r="L26" i="1"/>
  <c r="P25" i="1"/>
  <c r="W25" i="1" s="1"/>
  <c r="L25" i="1"/>
  <c r="P24" i="1"/>
  <c r="L24" i="1"/>
  <c r="P23" i="1"/>
  <c r="W23" i="1" s="1"/>
  <c r="L23" i="1"/>
  <c r="F22" i="1"/>
  <c r="E22" i="1"/>
  <c r="P22" i="1" s="1"/>
  <c r="AA22" i="1" s="1"/>
  <c r="F21" i="1"/>
  <c r="E21" i="1"/>
  <c r="L21" i="1" s="1"/>
  <c r="P20" i="1"/>
  <c r="V20" i="1" s="1"/>
  <c r="L20" i="1"/>
  <c r="P19" i="1"/>
  <c r="V19" i="1" s="1"/>
  <c r="L19" i="1"/>
  <c r="P18" i="1"/>
  <c r="L18" i="1"/>
  <c r="F17" i="1"/>
  <c r="E17" i="1"/>
  <c r="L17" i="1" s="1"/>
  <c r="P16" i="1"/>
  <c r="V16" i="1" s="1"/>
  <c r="L16" i="1"/>
  <c r="P15" i="1"/>
  <c r="L15" i="1"/>
  <c r="P14" i="1"/>
  <c r="W14" i="1" s="1"/>
  <c r="L14" i="1"/>
  <c r="P13" i="1"/>
  <c r="V13" i="1" s="1"/>
  <c r="L13" i="1"/>
  <c r="P12" i="1"/>
  <c r="V12" i="1" s="1"/>
  <c r="L12" i="1"/>
  <c r="P11" i="1"/>
  <c r="V11" i="1" s="1"/>
  <c r="L11" i="1"/>
  <c r="P10" i="1"/>
  <c r="V10" i="1" s="1"/>
  <c r="L10" i="1"/>
  <c r="P9" i="1"/>
  <c r="L9" i="1"/>
  <c r="P8" i="1"/>
  <c r="W8" i="1" s="1"/>
  <c r="L8" i="1"/>
  <c r="P7" i="1"/>
  <c r="V7" i="1" s="1"/>
  <c r="L7" i="1"/>
  <c r="P6" i="1"/>
  <c r="V6" i="1" s="1"/>
  <c r="L6" i="1"/>
  <c r="Y5" i="1"/>
  <c r="X5" i="1"/>
  <c r="O5" i="1"/>
  <c r="N5" i="1"/>
  <c r="M5" i="1"/>
  <c r="K5" i="1"/>
  <c r="R65" i="1" l="1"/>
  <c r="R39" i="1"/>
  <c r="E5" i="1"/>
  <c r="R47" i="1"/>
  <c r="AC47" i="1" s="1"/>
  <c r="S47" i="1" s="1"/>
  <c r="V47" i="1" s="1"/>
  <c r="R71" i="1"/>
  <c r="AC71" i="1" s="1"/>
  <c r="W37" i="1"/>
  <c r="AA59" i="1"/>
  <c r="R45" i="1"/>
  <c r="R67" i="1"/>
  <c r="AA67" i="1" s="1"/>
  <c r="AC59" i="1"/>
  <c r="AD59" i="1" s="1"/>
  <c r="W15" i="1"/>
  <c r="AC22" i="1"/>
  <c r="AG22" i="1" s="1"/>
  <c r="W24" i="1"/>
  <c r="W26" i="1"/>
  <c r="R26" i="1"/>
  <c r="W30" i="1"/>
  <c r="AG31" i="1"/>
  <c r="S31" i="1"/>
  <c r="V31" i="1" s="1"/>
  <c r="W32" i="1"/>
  <c r="W34" i="1"/>
  <c r="W36" i="1"/>
  <c r="W38" i="1"/>
  <c r="R38" i="1"/>
  <c r="W40" i="1"/>
  <c r="AD51" i="1"/>
  <c r="S51" i="1"/>
  <c r="V51" i="1" s="1"/>
  <c r="W52" i="1"/>
  <c r="R52" i="1"/>
  <c r="W54" i="1"/>
  <c r="W56" i="1"/>
  <c r="W74" i="1"/>
  <c r="R43" i="1"/>
  <c r="W9" i="1"/>
  <c r="W18" i="1"/>
  <c r="R18" i="1"/>
  <c r="W28" i="1"/>
  <c r="W44" i="1"/>
  <c r="W46" i="1"/>
  <c r="W48" i="1"/>
  <c r="W66" i="1"/>
  <c r="R14" i="1"/>
  <c r="AA29" i="1"/>
  <c r="AC29" i="1"/>
  <c r="AD29" i="1" s="1"/>
  <c r="R41" i="1"/>
  <c r="R49" i="1"/>
  <c r="R69" i="1"/>
  <c r="W59" i="1"/>
  <c r="R42" i="1"/>
  <c r="R58" i="1"/>
  <c r="R64" i="1"/>
  <c r="R68" i="1"/>
  <c r="R72" i="1"/>
  <c r="AD55" i="1"/>
  <c r="S55" i="1"/>
  <c r="V55" i="1" s="1"/>
  <c r="AG55" i="1"/>
  <c r="AD31" i="1"/>
  <c r="AG51" i="1"/>
  <c r="P17" i="1"/>
  <c r="P60" i="1"/>
  <c r="F5" i="1"/>
  <c r="P21" i="1"/>
  <c r="P27" i="1"/>
  <c r="S53" i="1"/>
  <c r="V53" i="1" s="1"/>
  <c r="AG53" i="1"/>
  <c r="S73" i="1"/>
  <c r="V73" i="1" s="1"/>
  <c r="AG73" i="1"/>
  <c r="W22" i="1"/>
  <c r="W6" i="1"/>
  <c r="W7" i="1"/>
  <c r="W10" i="1"/>
  <c r="W11" i="1"/>
  <c r="W12" i="1"/>
  <c r="W13" i="1"/>
  <c r="W16" i="1"/>
  <c r="W19" i="1"/>
  <c r="W20" i="1"/>
  <c r="L22" i="1"/>
  <c r="L30" i="1"/>
  <c r="L59" i="1"/>
  <c r="L37" i="1"/>
  <c r="W60" i="1"/>
  <c r="AG47" i="1" l="1"/>
  <c r="AA65" i="1"/>
  <c r="AC65" i="1"/>
  <c r="AD47" i="1"/>
  <c r="AC67" i="1"/>
  <c r="AG67" i="1" s="1"/>
  <c r="AA47" i="1"/>
  <c r="S59" i="1"/>
  <c r="V59" i="1" s="1"/>
  <c r="AA71" i="1"/>
  <c r="AD71" i="1"/>
  <c r="S71" i="1"/>
  <c r="V71" i="1" s="1"/>
  <c r="AC45" i="1"/>
  <c r="AA45" i="1"/>
  <c r="AC39" i="1"/>
  <c r="AA39" i="1"/>
  <c r="AG59" i="1"/>
  <c r="AC35" i="1"/>
  <c r="AA35" i="1"/>
  <c r="AA27" i="1"/>
  <c r="AC27" i="1"/>
  <c r="W21" i="1"/>
  <c r="R21" i="1"/>
  <c r="W27" i="1"/>
  <c r="AA72" i="1"/>
  <c r="AC72" i="1"/>
  <c r="AA68" i="1"/>
  <c r="AC68" i="1"/>
  <c r="AA62" i="1"/>
  <c r="AC62" i="1"/>
  <c r="AA50" i="1"/>
  <c r="AC50" i="1"/>
  <c r="AC61" i="1"/>
  <c r="AA61" i="1"/>
  <c r="AA49" i="1"/>
  <c r="AC49" i="1"/>
  <c r="AC37" i="1"/>
  <c r="AA37" i="1"/>
  <c r="AG29" i="1"/>
  <c r="S29" i="1"/>
  <c r="V29" i="1" s="1"/>
  <c r="AA25" i="1"/>
  <c r="AC25" i="1"/>
  <c r="AC66" i="1"/>
  <c r="AA66" i="1"/>
  <c r="AC48" i="1"/>
  <c r="AA48" i="1"/>
  <c r="AA43" i="1"/>
  <c r="AC43" i="1"/>
  <c r="AA8" i="1"/>
  <c r="AC8" i="1"/>
  <c r="AC15" i="1"/>
  <c r="AA15" i="1"/>
  <c r="W17" i="1"/>
  <c r="R17" i="1"/>
  <c r="AG71" i="1"/>
  <c r="AA70" i="1"/>
  <c r="AC70" i="1"/>
  <c r="AA64" i="1"/>
  <c r="AC64" i="1"/>
  <c r="AA58" i="1"/>
  <c r="AC58" i="1"/>
  <c r="AA42" i="1"/>
  <c r="AC42" i="1"/>
  <c r="AC69" i="1"/>
  <c r="AA69" i="1"/>
  <c r="AA57" i="1"/>
  <c r="AC57" i="1"/>
  <c r="AA41" i="1"/>
  <c r="AC41" i="1"/>
  <c r="AA33" i="1"/>
  <c r="AC33" i="1"/>
  <c r="AA14" i="1"/>
  <c r="AC14" i="1"/>
  <c r="AC46" i="1"/>
  <c r="AA46" i="1"/>
  <c r="AC44" i="1"/>
  <c r="AA44" i="1"/>
  <c r="AC28" i="1"/>
  <c r="AA28" i="1"/>
  <c r="AC18" i="1"/>
  <c r="AA18" i="1"/>
  <c r="AA9" i="1"/>
  <c r="AC9" i="1"/>
  <c r="AC63" i="1"/>
  <c r="AA63" i="1"/>
  <c r="AA23" i="1"/>
  <c r="AC23" i="1"/>
  <c r="AC74" i="1"/>
  <c r="AA74" i="1"/>
  <c r="AC56" i="1"/>
  <c r="AA56" i="1"/>
  <c r="AC54" i="1"/>
  <c r="AA54" i="1"/>
  <c r="AC52" i="1"/>
  <c r="AA52" i="1"/>
  <c r="AC40" i="1"/>
  <c r="AA40" i="1"/>
  <c r="AC38" i="1"/>
  <c r="AA38" i="1"/>
  <c r="AC36" i="1"/>
  <c r="AA36" i="1"/>
  <c r="AC34" i="1"/>
  <c r="AA34" i="1"/>
  <c r="AA32" i="1"/>
  <c r="AC32" i="1"/>
  <c r="AA30" i="1"/>
  <c r="AC30" i="1"/>
  <c r="AA26" i="1"/>
  <c r="AC26" i="1"/>
  <c r="AA24" i="1"/>
  <c r="AC24" i="1"/>
  <c r="AD22" i="1"/>
  <c r="S22" i="1"/>
  <c r="V22" i="1" s="1"/>
  <c r="L5" i="1"/>
  <c r="P5" i="1"/>
  <c r="AD67" i="1" l="1"/>
  <c r="R5" i="1"/>
  <c r="AD65" i="1"/>
  <c r="S65" i="1"/>
  <c r="V65" i="1" s="1"/>
  <c r="AG65" i="1"/>
  <c r="S67" i="1"/>
  <c r="V67" i="1" s="1"/>
  <c r="S39" i="1"/>
  <c r="V39" i="1" s="1"/>
  <c r="AD39" i="1"/>
  <c r="AG39" i="1"/>
  <c r="AD45" i="1"/>
  <c r="AG45" i="1"/>
  <c r="S45" i="1"/>
  <c r="V45" i="1" s="1"/>
  <c r="AD35" i="1"/>
  <c r="S35" i="1"/>
  <c r="V35" i="1" s="1"/>
  <c r="AG35" i="1"/>
  <c r="AG34" i="1"/>
  <c r="S34" i="1"/>
  <c r="V34" i="1" s="1"/>
  <c r="AD34" i="1"/>
  <c r="AG36" i="1"/>
  <c r="S36" i="1"/>
  <c r="V36" i="1" s="1"/>
  <c r="AD36" i="1"/>
  <c r="AG38" i="1"/>
  <c r="S38" i="1"/>
  <c r="V38" i="1" s="1"/>
  <c r="AD38" i="1"/>
  <c r="AG40" i="1"/>
  <c r="S40" i="1"/>
  <c r="V40" i="1" s="1"/>
  <c r="AD40" i="1"/>
  <c r="AG52" i="1"/>
  <c r="S52" i="1"/>
  <c r="V52" i="1" s="1"/>
  <c r="AD52" i="1"/>
  <c r="AG54" i="1"/>
  <c r="S54" i="1"/>
  <c r="V54" i="1" s="1"/>
  <c r="AD54" i="1"/>
  <c r="AG56" i="1"/>
  <c r="S56" i="1"/>
  <c r="V56" i="1" s="1"/>
  <c r="AD56" i="1"/>
  <c r="AG74" i="1"/>
  <c r="S74" i="1"/>
  <c r="V74" i="1" s="1"/>
  <c r="AD74" i="1"/>
  <c r="S63" i="1"/>
  <c r="V63" i="1" s="1"/>
  <c r="AD63" i="1"/>
  <c r="AG63" i="1"/>
  <c r="AD18" i="1"/>
  <c r="S18" i="1"/>
  <c r="V18" i="1" s="1"/>
  <c r="AG18" i="1"/>
  <c r="AD28" i="1"/>
  <c r="S28" i="1"/>
  <c r="V28" i="1" s="1"/>
  <c r="AG28" i="1"/>
  <c r="AG44" i="1"/>
  <c r="S44" i="1"/>
  <c r="V44" i="1" s="1"/>
  <c r="AD44" i="1"/>
  <c r="AG46" i="1"/>
  <c r="S46" i="1"/>
  <c r="V46" i="1" s="1"/>
  <c r="AD46" i="1"/>
  <c r="AD69" i="1"/>
  <c r="AG69" i="1"/>
  <c r="S69" i="1"/>
  <c r="V69" i="1" s="1"/>
  <c r="AD15" i="1"/>
  <c r="S15" i="1"/>
  <c r="V15" i="1" s="1"/>
  <c r="AG15" i="1"/>
  <c r="AG48" i="1"/>
  <c r="S48" i="1"/>
  <c r="V48" i="1" s="1"/>
  <c r="AD48" i="1"/>
  <c r="AG66" i="1"/>
  <c r="S66" i="1"/>
  <c r="V66" i="1" s="1"/>
  <c r="AD66" i="1"/>
  <c r="AD37" i="1"/>
  <c r="AG37" i="1"/>
  <c r="S37" i="1"/>
  <c r="V37" i="1" s="1"/>
  <c r="AD61" i="1"/>
  <c r="AG61" i="1"/>
  <c r="S61" i="1"/>
  <c r="V61" i="1" s="1"/>
  <c r="AA21" i="1"/>
  <c r="AC21" i="1"/>
  <c r="AG27" i="1"/>
  <c r="S27" i="1"/>
  <c r="V27" i="1" s="1"/>
  <c r="AD27" i="1"/>
  <c r="AD24" i="1"/>
  <c r="AG24" i="1"/>
  <c r="S24" i="1"/>
  <c r="V24" i="1" s="1"/>
  <c r="AD26" i="1"/>
  <c r="S26" i="1"/>
  <c r="V26" i="1" s="1"/>
  <c r="AG26" i="1"/>
  <c r="AD30" i="1"/>
  <c r="S30" i="1"/>
  <c r="V30" i="1" s="1"/>
  <c r="AG30" i="1"/>
  <c r="AD32" i="1"/>
  <c r="S32" i="1"/>
  <c r="V32" i="1" s="1"/>
  <c r="AG32" i="1"/>
  <c r="AG23" i="1"/>
  <c r="S23" i="1"/>
  <c r="V23" i="1" s="1"/>
  <c r="AD23" i="1"/>
  <c r="AD9" i="1"/>
  <c r="S9" i="1"/>
  <c r="V9" i="1" s="1"/>
  <c r="AG9" i="1"/>
  <c r="AG14" i="1"/>
  <c r="S14" i="1"/>
  <c r="V14" i="1" s="1"/>
  <c r="AD14" i="1"/>
  <c r="AG33" i="1"/>
  <c r="S33" i="1"/>
  <c r="V33" i="1" s="1"/>
  <c r="AD33" i="1"/>
  <c r="AD41" i="1"/>
  <c r="S41" i="1"/>
  <c r="V41" i="1" s="1"/>
  <c r="AG41" i="1"/>
  <c r="AD57" i="1"/>
  <c r="S57" i="1"/>
  <c r="V57" i="1" s="1"/>
  <c r="AG57" i="1"/>
  <c r="AG42" i="1"/>
  <c r="S42" i="1"/>
  <c r="V42" i="1" s="1"/>
  <c r="AD42" i="1"/>
  <c r="AG58" i="1"/>
  <c r="S58" i="1"/>
  <c r="V58" i="1" s="1"/>
  <c r="AD58" i="1"/>
  <c r="AG64" i="1"/>
  <c r="AD64" i="1"/>
  <c r="S64" i="1"/>
  <c r="V64" i="1" s="1"/>
  <c r="AG70" i="1"/>
  <c r="S70" i="1"/>
  <c r="V70" i="1" s="1"/>
  <c r="AD70" i="1"/>
  <c r="AA17" i="1"/>
  <c r="AC17" i="1"/>
  <c r="AA60" i="1"/>
  <c r="AC60" i="1"/>
  <c r="AG8" i="1"/>
  <c r="AD8" i="1"/>
  <c r="S8" i="1"/>
  <c r="AD43" i="1"/>
  <c r="S43" i="1"/>
  <c r="V43" i="1" s="1"/>
  <c r="AG43" i="1"/>
  <c r="AG25" i="1"/>
  <c r="S25" i="1"/>
  <c r="V25" i="1" s="1"/>
  <c r="AD25" i="1"/>
  <c r="AD49" i="1"/>
  <c r="S49" i="1"/>
  <c r="V49" i="1" s="1"/>
  <c r="AG49" i="1"/>
  <c r="AG50" i="1"/>
  <c r="S50" i="1"/>
  <c r="V50" i="1" s="1"/>
  <c r="AD50" i="1"/>
  <c r="AG62" i="1"/>
  <c r="S62" i="1"/>
  <c r="V62" i="1" s="1"/>
  <c r="AD62" i="1"/>
  <c r="AG68" i="1"/>
  <c r="S68" i="1"/>
  <c r="V68" i="1" s="1"/>
  <c r="AD68" i="1"/>
  <c r="AG72" i="1"/>
  <c r="AD72" i="1"/>
  <c r="S72" i="1"/>
  <c r="V72" i="1" s="1"/>
  <c r="AC5" i="1" l="1"/>
  <c r="AA5" i="1"/>
  <c r="AG21" i="1"/>
  <c r="S21" i="1"/>
  <c r="V21" i="1" s="1"/>
  <c r="AD21" i="1"/>
  <c r="V8" i="1"/>
  <c r="AG60" i="1"/>
  <c r="S60" i="1"/>
  <c r="V60" i="1" s="1"/>
  <c r="AD60" i="1"/>
  <c r="AG17" i="1"/>
  <c r="S17" i="1"/>
  <c r="V17" i="1" s="1"/>
  <c r="AD17" i="1"/>
  <c r="AD5" i="1" l="1"/>
  <c r="AG5" i="1"/>
  <c r="S5" i="1"/>
</calcChain>
</file>

<file path=xl/sharedStrings.xml><?xml version="1.0" encoding="utf-8"?>
<sst xmlns="http://schemas.openxmlformats.org/spreadsheetml/2006/main" count="262" uniqueCount="173">
  <si>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</si>
  <si>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</si>
  <si>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</si>
  <si>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</si>
  <si>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</si>
  <si>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</si>
  <si>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</si>
  <si>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</si>
  <si>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</si>
  <si>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</si>
  <si>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</si>
  <si>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</si>
  <si>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</si>
  <si>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</si>
  <si>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</si>
  <si>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</si>
  <si>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</si>
  <si>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</si>
  <si>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</si>
  <si>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</si>
  <si>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</si>
  <si>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</si>
  <si>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</si>
  <si>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</si>
  <si>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</si>
  <si>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</si>
  <si>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</si>
  <si>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</si>
  <si>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</si>
  <si>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02,10,</t>
  </si>
  <si>
    <t>01,10,</t>
  </si>
  <si>
    <t>29,09,</t>
  </si>
  <si>
    <t>24,09,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</si>
  <si>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</si>
  <si>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</si>
  <si>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</si>
  <si>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</si>
  <si>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</si>
  <si>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</si>
  <si>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</si>
  <si>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</si>
  <si>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нужно увеличить продажи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</si>
  <si>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</si>
  <si>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</si>
  <si>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</si>
  <si>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дубль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</si>
  <si>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</si>
  <si>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</si>
  <si>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</si>
  <si>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</si>
  <si>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</si>
  <si>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</si>
  <si>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</si>
  <si>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</si>
  <si>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</si>
  <si>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</si>
  <si>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</si>
  <si>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</si>
  <si>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</si>
  <si>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</si>
  <si>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</si>
  <si>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</si>
  <si>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</si>
  <si>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</si>
  <si>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</si>
  <si>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</si>
  <si>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</si>
  <si>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</si>
  <si>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</si>
  <si>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</si>
  <si>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</si>
  <si>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</si>
  <si>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</si>
  <si>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</si>
  <si>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</si>
  <si>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</si>
  <si>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</si>
  <si>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</si>
  <si>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</si>
  <si>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</si>
  <si>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</si>
  <si>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</si>
  <si>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</si>
  <si>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</si>
  <si>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</si>
  <si>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</si>
  <si>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</si>
  <si>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</si>
  <si>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</si>
  <si>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</si>
  <si>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</si>
  <si>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</si>
  <si>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</si>
  <si>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</si>
  <si>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</si>
  <si>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</si>
  <si>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</si>
  <si>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</si>
  <si>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</si>
  <si>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</si>
  <si>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</si>
  <si>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</si>
  <si>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</si>
  <si>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</si>
  <si>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</si>
  <si>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</si>
  <si>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</si>
  <si>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</si>
  <si>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</si>
  <si>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</si>
  <si>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</si>
  <si>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</si>
  <si>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</si>
  <si>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</si>
  <si>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</si>
  <si>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</si>
  <si>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</si>
  <si>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</si>
  <si>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</si>
  <si>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</si>
  <si>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</si>
  <si>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</si>
  <si>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</si>
  <si>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</si>
  <si>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</si>
  <si>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</si>
  <si>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</si>
  <si>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</si>
  <si>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</si>
  <si>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</si>
  <si>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</si>
  <si>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</si>
  <si>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</si>
  <si>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</si>
  <si>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</si>
  <si>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</si>
  <si>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</si>
  <si>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</si>
  <si>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</si>
  <si>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</si>
  <si>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</si>
  <si>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</si>
  <si>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</si>
  <si>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</si>
  <si>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</si>
  <si>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</si>
  <si>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</si>
  <si>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</si>
  <si>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</si>
  <si>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</si>
  <si>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</si>
  <si>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</si>
  <si>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Чебупели со вкусом Фо бо ТМ Горячая штучка 0,22 кг  ПОКОМ</t>
  </si>
  <si>
    <t>матрица</t>
  </si>
  <si>
    <t>Чебупицца Пепперони ТМ Горячая штучка ТС Чебупицца 0.25кг зам  ПОКОМ</t>
  </si>
  <si>
    <t>P004486</t>
  </si>
  <si>
    <t>Чебупицца курочка по-итальянски Горячая штучка 0,25 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</si>
  <si>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</si>
  <si>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</si>
  <si>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</si>
  <si>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</si>
  <si>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</si>
  <si>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</si>
  <si>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</si>
  <si>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</si>
  <si>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</si>
  <si>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</si>
  <si>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нужно увеличить продажи!!!</t>
  </si>
  <si>
    <t>ТК</t>
  </si>
  <si>
    <t>Хмель+Боярко</t>
  </si>
  <si>
    <t>ТК ком</t>
  </si>
  <si>
    <t>итого</t>
  </si>
  <si>
    <t>06,10,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</si>
</sst>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5" fontId="1" fillId="5" borderId="1" xfId="1" applyNumberFormat="1" applyFill="1"/>
    <xf numFmtId="164" fontId="4" fillId="6" borderId="1" xfId="1" applyNumberFormat="1" applyFont="1" applyFill="1"/>
    <xf numFmtId="164" fontId="1" fillId="0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1" fillId="4" borderId="2" xfId="1" applyNumberFormat="1" applyFill="1" applyBorder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011026%20&#1084;&#1088;&#1088;&#1089;&#1095;%20&#1087;&#1086;&#1082;%20&#1079;&#1087;&#1092;%20(&#1041;&#1086;&#1103;&#1088;&#1082;&#1086;_&#1061;&#1084;&#1077;&#1083;&#110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 (потребность)</v>
          </cell>
          <cell r="R3" t="str">
            <v>расчет (отгрузит завод)</v>
          </cell>
        </row>
        <row r="4">
          <cell r="O4" t="str">
            <v>02,10,</v>
          </cell>
          <cell r="P4" t="str">
            <v>01,10,</v>
          </cell>
        </row>
        <row r="5">
          <cell r="E5">
            <v>8857.1</v>
          </cell>
          <cell r="F5">
            <v>3095.4</v>
          </cell>
          <cell r="K5">
            <v>8561.5</v>
          </cell>
          <cell r="L5">
            <v>295.60000000000002</v>
          </cell>
          <cell r="M5">
            <v>0</v>
          </cell>
          <cell r="N5">
            <v>0</v>
          </cell>
          <cell r="O5">
            <v>11242</v>
          </cell>
          <cell r="P5">
            <v>1771.42</v>
          </cell>
          <cell r="Q5">
            <v>10196.799999999999</v>
          </cell>
          <cell r="R5">
            <v>10708</v>
          </cell>
          <cell r="S5">
            <v>7470</v>
          </cell>
        </row>
        <row r="6">
          <cell r="A6" t="str">
            <v>БОНУС_Готовые чебупели сочные с мясом ТМ Горячая штучка флоу-пак 0,24 кг  ПОКОМ</v>
          </cell>
          <cell r="B6" t="str">
            <v>шт</v>
          </cell>
          <cell r="C6">
            <v>-6</v>
          </cell>
          <cell r="D6">
            <v>2</v>
          </cell>
          <cell r="E6">
            <v>52</v>
          </cell>
          <cell r="F6">
            <v>-65</v>
          </cell>
          <cell r="G6">
            <v>0</v>
          </cell>
          <cell r="I6" t="str">
            <v>бонус</v>
          </cell>
          <cell r="J6" t="str">
            <v>Готовые чебупели сочные с мясом ТМ Горячая штучка флоу-пак 0,24 кг  ПОКОМ</v>
          </cell>
          <cell r="K6">
            <v>54</v>
          </cell>
          <cell r="L6">
            <v>-2</v>
          </cell>
          <cell r="P6">
            <v>10.4</v>
          </cell>
        </row>
        <row r="7">
          <cell r="A7" t="str">
            <v>БОНУС_Наггетсы Нагетосы Сочная курочка ТМ Горячая штучка 0,25 кг зам  ПОКОМ</v>
          </cell>
          <cell r="B7" t="str">
            <v>шт</v>
          </cell>
          <cell r="C7">
            <v>-3</v>
          </cell>
          <cell r="D7">
            <v>2</v>
          </cell>
          <cell r="E7">
            <v>26</v>
          </cell>
          <cell r="F7">
            <v>-28</v>
          </cell>
          <cell r="G7">
            <v>0</v>
          </cell>
          <cell r="I7" t="str">
            <v>бонус</v>
          </cell>
          <cell r="J7" t="str">
            <v>Наггетсы Нагетосы Сочная курочка ТМ Горячая штучка 0,25 кг зам  ПОКОМ</v>
          </cell>
          <cell r="K7">
            <v>26</v>
          </cell>
          <cell r="L7">
            <v>0</v>
          </cell>
          <cell r="P7">
            <v>5.2</v>
          </cell>
        </row>
        <row r="8">
          <cell r="A8" t="str">
            <v>Бульмени хрустящие с мясом ТМ Горячая штучка ТС Бульмени ГШ сфера 0,22 кг  Поком</v>
          </cell>
          <cell r="B8" t="str">
            <v>шт</v>
          </cell>
          <cell r="C8">
            <v>70</v>
          </cell>
          <cell r="E8">
            <v>11</v>
          </cell>
          <cell r="F8">
            <v>59</v>
          </cell>
          <cell r="G8">
            <v>0.22</v>
          </cell>
          <cell r="H8">
            <v>180</v>
          </cell>
          <cell r="I8" t="str">
            <v>P005065</v>
          </cell>
          <cell r="K8">
            <v>11</v>
          </cell>
          <cell r="L8">
            <v>0</v>
          </cell>
          <cell r="O8">
            <v>0</v>
          </cell>
          <cell r="P8">
            <v>2.2000000000000002</v>
          </cell>
          <cell r="R8">
            <v>0</v>
          </cell>
        </row>
        <row r="9">
          <cell r="A9" t="str">
            <v>Готовые бельмеши сочные с мясом ТМ Горячая штучка 0,3кг зам  ПОКОМ</v>
          </cell>
          <cell r="B9" t="str">
            <v>шт</v>
          </cell>
          <cell r="C9">
            <v>70</v>
          </cell>
          <cell r="D9">
            <v>4</v>
          </cell>
          <cell r="E9">
            <v>48</v>
          </cell>
          <cell r="F9">
            <v>14</v>
          </cell>
          <cell r="G9">
            <v>0.3</v>
          </cell>
          <cell r="H9">
            <v>180</v>
          </cell>
          <cell r="I9" t="str">
            <v>P004598</v>
          </cell>
          <cell r="K9">
            <v>50</v>
          </cell>
          <cell r="L9">
            <v>-2</v>
          </cell>
          <cell r="O9">
            <v>168</v>
          </cell>
          <cell r="P9">
            <v>9.6</v>
          </cell>
          <cell r="R9">
            <v>0</v>
          </cell>
        </row>
        <row r="10">
          <cell r="A10" t="str">
            <v>Готовые круггетсы сочные ТМ Горячая штучка флоу пак 0,2кг  ПОКОМ</v>
          </cell>
          <cell r="B10" t="str">
            <v>шт</v>
          </cell>
          <cell r="E10">
            <v>6</v>
          </cell>
          <cell r="F10">
            <v>-6</v>
          </cell>
          <cell r="G10">
            <v>0</v>
          </cell>
          <cell r="I10" t="str">
            <v>дубль</v>
          </cell>
          <cell r="J10" t="str">
            <v>Круггетсы сочные ТМ Горячая штучка ТС Круггетсы флоу-пак  0,2 кг.  ПОКОМ</v>
          </cell>
          <cell r="K10">
            <v>7</v>
          </cell>
          <cell r="L10">
            <v>-1</v>
          </cell>
          <cell r="P10">
            <v>1.2</v>
          </cell>
        </row>
        <row r="11">
          <cell r="A11" t="str">
            <v>Готовые пекерсы с индейкой в сливочном соусе ТМ Горячая штучка флоу-пак 0,25кг  ПОКОМ</v>
          </cell>
          <cell r="B11" t="str">
            <v>шт</v>
          </cell>
          <cell r="C11">
            <v>166</v>
          </cell>
          <cell r="E11">
            <v>108</v>
          </cell>
          <cell r="F11">
            <v>45</v>
          </cell>
          <cell r="G11">
            <v>0</v>
          </cell>
          <cell r="I11" t="str">
            <v>дубль</v>
          </cell>
          <cell r="J11" t="str">
            <v>Пекерсы с индейкой в сливочном соусе ТМ Горячая штучка 0,25 кг зам  ПОКОМ</v>
          </cell>
          <cell r="K11">
            <v>78</v>
          </cell>
          <cell r="L11">
            <v>30</v>
          </cell>
          <cell r="P11">
            <v>21.6</v>
          </cell>
        </row>
        <row r="12">
          <cell r="A12" t="str">
            <v>Готовые хотстеры ТМ Горячая штучка ТС Хотстеры флоу-пак 0,25 кг.  ПОКОМ</v>
          </cell>
          <cell r="B12" t="str">
            <v>шт</v>
          </cell>
          <cell r="C12">
            <v>322</v>
          </cell>
          <cell r="D12">
            <v>76</v>
          </cell>
          <cell r="E12">
            <v>248</v>
          </cell>
          <cell r="F12">
            <v>20</v>
          </cell>
          <cell r="G12">
            <v>0</v>
          </cell>
          <cell r="H12">
            <v>180</v>
          </cell>
          <cell r="I12" t="str">
            <v>дубль</v>
          </cell>
          <cell r="J12" t="str">
            <v>Хотстеры ТМ Горячая штучка ТС Хотстеры 0,25 кг зам  ПОКОМ</v>
          </cell>
          <cell r="K12">
            <v>340</v>
          </cell>
          <cell r="L12">
            <v>-92</v>
          </cell>
          <cell r="P12">
            <v>49.6</v>
          </cell>
        </row>
        <row r="13">
          <cell r="A13" t="str">
            <v>Готовые хотстеры с сыром ТМ Горячая штучка ТС Хотстеры флоу-пак 0,25 кг.  ПОКОМ</v>
          </cell>
          <cell r="B13" t="str">
            <v>шт</v>
          </cell>
          <cell r="C13">
            <v>318</v>
          </cell>
          <cell r="D13">
            <v>24</v>
          </cell>
          <cell r="E13">
            <v>212</v>
          </cell>
          <cell r="F13">
            <v>72</v>
          </cell>
          <cell r="G13">
            <v>0</v>
          </cell>
          <cell r="I13" t="str">
            <v>дубль</v>
          </cell>
          <cell r="J13" t="str">
            <v>Хотстеры с сыром ТМ Горячая штучка ТС Хотстеры 0,25кг.  Поком</v>
          </cell>
          <cell r="K13">
            <v>238</v>
          </cell>
          <cell r="L13">
            <v>-26</v>
          </cell>
          <cell r="P13">
            <v>42.4</v>
          </cell>
        </row>
        <row r="14">
          <cell r="A14" t="str">
            <v>Готовые чебуманы с говядиной ТМ горячая штучка 0,28 кг.  Поком</v>
          </cell>
          <cell r="B14" t="str">
            <v>шт</v>
          </cell>
          <cell r="C14">
            <v>252</v>
          </cell>
          <cell r="D14">
            <v>3</v>
          </cell>
          <cell r="E14">
            <v>85</v>
          </cell>
          <cell r="F14">
            <v>162</v>
          </cell>
          <cell r="G14">
            <v>0.28000000000000003</v>
          </cell>
          <cell r="H14">
            <v>180</v>
          </cell>
          <cell r="I14" t="str">
            <v>P004597</v>
          </cell>
          <cell r="K14">
            <v>87</v>
          </cell>
          <cell r="L14">
            <v>-2</v>
          </cell>
          <cell r="O14">
            <v>0</v>
          </cell>
          <cell r="P14">
            <v>17</v>
          </cell>
          <cell r="Q14">
            <v>76</v>
          </cell>
          <cell r="R14">
            <v>84</v>
          </cell>
        </row>
        <row r="15">
          <cell r="A15" t="str">
            <v>Готовые чебупели острые с мясом ТМ Горячая штучка флоу-пак 0,24 кг  Поком</v>
          </cell>
          <cell r="B15" t="str">
            <v>шт</v>
          </cell>
          <cell r="C15">
            <v>94</v>
          </cell>
          <cell r="D15">
            <v>14</v>
          </cell>
          <cell r="E15">
            <v>82</v>
          </cell>
          <cell r="G15">
            <v>0.24</v>
          </cell>
          <cell r="H15">
            <v>180</v>
          </cell>
          <cell r="I15" t="str">
            <v>P004969</v>
          </cell>
          <cell r="K15">
            <v>126</v>
          </cell>
          <cell r="L15">
            <v>-44</v>
          </cell>
          <cell r="O15">
            <v>168</v>
          </cell>
          <cell r="P15">
            <v>16.399999999999999</v>
          </cell>
          <cell r="Q15">
            <v>94.399999999999977</v>
          </cell>
          <cell r="R15">
            <v>168</v>
          </cell>
          <cell r="S15">
            <v>600</v>
          </cell>
          <cell r="T15" t="str">
            <v>Сети</v>
          </cell>
        </row>
        <row r="16">
          <cell r="A16" t="str">
            <v>Готовые чебупели с ветчиной и сыром 0,24 кг НОВАЯ ТМ Горячая штучка  ПОКОМ</v>
          </cell>
          <cell r="B16" t="str">
            <v>шт</v>
          </cell>
          <cell r="C16">
            <v>367</v>
          </cell>
          <cell r="D16">
            <v>47</v>
          </cell>
          <cell r="E16">
            <v>261</v>
          </cell>
          <cell r="F16">
            <v>91</v>
          </cell>
          <cell r="G16">
            <v>0</v>
          </cell>
          <cell r="H16">
            <v>180</v>
          </cell>
          <cell r="I16" t="str">
            <v>дубль</v>
          </cell>
          <cell r="J16" t="str">
            <v>Готовые чебупели с ветчиной и сыром ТМ Горячая штучка флоу-пак 0,24 кг.  ПОКОМ</v>
          </cell>
          <cell r="K16">
            <v>170</v>
          </cell>
          <cell r="L16">
            <v>91</v>
          </cell>
          <cell r="P16">
            <v>52.2</v>
          </cell>
        </row>
        <row r="17">
          <cell r="A17" t="str">
            <v>Готовые чебупели с ветчиной и сыром ТМ Горячая штучка флоу-пак 0,24 кг.  ПОКОМ</v>
          </cell>
          <cell r="B17" t="str">
            <v>шт</v>
          </cell>
          <cell r="C17">
            <v>-48</v>
          </cell>
          <cell r="D17">
            <v>12</v>
          </cell>
          <cell r="E17">
            <v>276</v>
          </cell>
          <cell r="F17">
            <v>40</v>
          </cell>
          <cell r="G17">
            <v>0.24</v>
          </cell>
          <cell r="H17">
            <v>180</v>
          </cell>
          <cell r="I17" t="str">
            <v>P004971</v>
          </cell>
          <cell r="K17">
            <v>15</v>
          </cell>
          <cell r="L17">
            <v>261</v>
          </cell>
          <cell r="O17">
            <v>168</v>
          </cell>
          <cell r="P17">
            <v>55.2</v>
          </cell>
          <cell r="Q17">
            <v>564.80000000000007</v>
          </cell>
          <cell r="R17">
            <v>504</v>
          </cell>
        </row>
        <row r="18">
          <cell r="A18" t="str">
            <v>Готовые чебупели с мясом ТМ Горячая штучка 0,24 кг  ПОКОМ</v>
          </cell>
          <cell r="B18" t="str">
            <v>шт</v>
          </cell>
          <cell r="C18">
            <v>166</v>
          </cell>
          <cell r="D18">
            <v>43</v>
          </cell>
          <cell r="E18">
            <v>173</v>
          </cell>
          <cell r="F18">
            <v>-4</v>
          </cell>
          <cell r="G18">
            <v>0.24</v>
          </cell>
          <cell r="H18">
            <v>180</v>
          </cell>
          <cell r="I18" t="str">
            <v>P004974</v>
          </cell>
          <cell r="K18">
            <v>177</v>
          </cell>
          <cell r="L18">
            <v>-4</v>
          </cell>
          <cell r="O18">
            <v>168</v>
          </cell>
          <cell r="P18">
            <v>34.6</v>
          </cell>
          <cell r="Q18">
            <v>320.40000000000003</v>
          </cell>
          <cell r="R18">
            <v>336</v>
          </cell>
        </row>
        <row r="19">
          <cell r="A19" t="str">
            <v>Готовые чебупели сочные с мясом 0,24 кг НОВАЯ ТМ Горячая штучка флоу-пак  ПОКОМ</v>
          </cell>
          <cell r="B19" t="str">
            <v>шт</v>
          </cell>
          <cell r="C19">
            <v>487</v>
          </cell>
          <cell r="D19">
            <v>8</v>
          </cell>
          <cell r="E19">
            <v>80</v>
          </cell>
          <cell r="F19">
            <v>415</v>
          </cell>
          <cell r="G19">
            <v>0</v>
          </cell>
          <cell r="H19">
            <v>180</v>
          </cell>
          <cell r="I19" t="str">
            <v>дубль</v>
          </cell>
          <cell r="J19" t="str">
            <v>Готовые чебупели сочные с мясом ТМ Горячая штучка флоу-пак 0,24 кг  ПОКОМ</v>
          </cell>
          <cell r="K19">
            <v>82</v>
          </cell>
          <cell r="L19">
            <v>-2</v>
          </cell>
          <cell r="P19">
            <v>16</v>
          </cell>
        </row>
        <row r="20">
          <cell r="A20" t="str">
            <v>Готовые чебупели сочные с мясом 0,48 кг НОВАЯ ТМ Горячая штучка флоу-пак МЕГАпачка  ПОКОМ</v>
          </cell>
          <cell r="B20" t="str">
            <v>шт</v>
          </cell>
          <cell r="C20">
            <v>148</v>
          </cell>
          <cell r="D20">
            <v>10</v>
          </cell>
          <cell r="E20">
            <v>38</v>
          </cell>
          <cell r="F20">
            <v>114</v>
          </cell>
          <cell r="G20">
            <v>0</v>
          </cell>
          <cell r="H20">
            <v>180</v>
          </cell>
          <cell r="I20" t="str">
            <v>дубль</v>
          </cell>
          <cell r="J20" t="str">
            <v>Готовые чебупели сочные с мясом ТМ Горячая штучка флоу-пак 0,48 кг XXL  Поком</v>
          </cell>
          <cell r="K20">
            <v>40</v>
          </cell>
          <cell r="L20">
            <v>-2</v>
          </cell>
          <cell r="P20">
            <v>7.6</v>
          </cell>
        </row>
        <row r="21">
          <cell r="A21" t="str">
            <v>Готовые чебупели сочные с мясом ТМ Горячая штучка флоу-пак 0,24 кг  ПОКОМ</v>
          </cell>
          <cell r="B21" t="str">
            <v>шт</v>
          </cell>
          <cell r="C21">
            <v>24</v>
          </cell>
          <cell r="D21">
            <v>12</v>
          </cell>
          <cell r="E21">
            <v>168</v>
          </cell>
          <cell r="F21">
            <v>338</v>
          </cell>
          <cell r="G21">
            <v>0.24</v>
          </cell>
          <cell r="H21">
            <v>180</v>
          </cell>
          <cell r="I21" t="str">
            <v>P004966</v>
          </cell>
          <cell r="K21">
            <v>48</v>
          </cell>
          <cell r="L21">
            <v>120</v>
          </cell>
          <cell r="O21">
            <v>0</v>
          </cell>
          <cell r="P21">
            <v>33.6</v>
          </cell>
          <cell r="Q21">
            <v>132.40000000000003</v>
          </cell>
          <cell r="R21">
            <v>168</v>
          </cell>
        </row>
        <row r="22">
          <cell r="A22" t="str">
            <v>Готовые чебупели сочные с мясом ТМ Горячая штучка флоу-пак 0,48 кг XXL  Поком</v>
          </cell>
          <cell r="B22" t="str">
            <v>шт</v>
          </cell>
          <cell r="E22">
            <v>38</v>
          </cell>
          <cell r="F22">
            <v>114</v>
          </cell>
          <cell r="G22">
            <v>0.48</v>
          </cell>
          <cell r="H22">
            <v>180</v>
          </cell>
          <cell r="I22" t="str">
            <v>P004595</v>
          </cell>
          <cell r="L22">
            <v>38</v>
          </cell>
          <cell r="O22">
            <v>0</v>
          </cell>
          <cell r="P22">
            <v>7.6</v>
          </cell>
          <cell r="R22">
            <v>0</v>
          </cell>
        </row>
        <row r="23">
          <cell r="A23" t="str">
            <v>Готовые чебуреки с мясом ТМ Горячая штучка 0,09 кг флоу-пак ПОКОМ</v>
          </cell>
          <cell r="B23" t="str">
            <v>шт</v>
          </cell>
          <cell r="C23">
            <v>246</v>
          </cell>
          <cell r="D23">
            <v>33</v>
          </cell>
          <cell r="E23">
            <v>196</v>
          </cell>
          <cell r="F23">
            <v>74</v>
          </cell>
          <cell r="G23">
            <v>0.09</v>
          </cell>
          <cell r="H23">
            <v>180</v>
          </cell>
          <cell r="I23" t="str">
            <v>P004138</v>
          </cell>
          <cell r="K23">
            <v>211</v>
          </cell>
          <cell r="L23">
            <v>-15</v>
          </cell>
          <cell r="O23">
            <v>336</v>
          </cell>
          <cell r="P23">
            <v>39.200000000000003</v>
          </cell>
          <cell r="Q23">
            <v>178</v>
          </cell>
          <cell r="R23">
            <v>336</v>
          </cell>
          <cell r="S23">
            <v>400</v>
          </cell>
          <cell r="T23" t="str">
            <v>Сети</v>
          </cell>
        </row>
        <row r="24">
          <cell r="A24" t="str">
            <v>Готовые чебуреки со свининой и говядиной ТМ Горячая штучка ТС Базовый ассортимент 0,36 кг  ПОКОМ</v>
          </cell>
          <cell r="B24" t="str">
            <v>шт</v>
          </cell>
          <cell r="C24">
            <v>8</v>
          </cell>
          <cell r="D24">
            <v>1</v>
          </cell>
          <cell r="E24">
            <v>9</v>
          </cell>
          <cell r="G24">
            <v>0.36</v>
          </cell>
          <cell r="H24">
            <v>180</v>
          </cell>
          <cell r="I24" t="str">
            <v>P004583</v>
          </cell>
          <cell r="K24">
            <v>22</v>
          </cell>
          <cell r="L24">
            <v>-13</v>
          </cell>
          <cell r="O24">
            <v>0</v>
          </cell>
          <cell r="P24">
            <v>1.8</v>
          </cell>
          <cell r="Q24">
            <v>0</v>
          </cell>
          <cell r="R24">
            <v>0</v>
          </cell>
        </row>
        <row r="25">
          <cell r="A25" t="str">
            <v>Жареные вареники с картофелем и беконом ТМ Стародворье 0,2 кг  ПОКОМ</v>
          </cell>
          <cell r="B25" t="str">
            <v>шт</v>
          </cell>
          <cell r="C25">
            <v>96</v>
          </cell>
          <cell r="D25">
            <v>8</v>
          </cell>
          <cell r="E25">
            <v>23</v>
          </cell>
          <cell r="F25">
            <v>70</v>
          </cell>
          <cell r="G25">
            <v>0.2</v>
          </cell>
          <cell r="H25">
            <v>180</v>
          </cell>
          <cell r="I25" t="str">
            <v>P005129</v>
          </cell>
          <cell r="K25">
            <v>31</v>
          </cell>
          <cell r="L25">
            <v>-8</v>
          </cell>
          <cell r="O25">
            <v>0</v>
          </cell>
          <cell r="P25">
            <v>4.5999999999999996</v>
          </cell>
          <cell r="R25">
            <v>0</v>
          </cell>
        </row>
        <row r="26">
          <cell r="A26" t="str">
            <v>Круггетсы с сырным соусом ТМ Горячая штучка ТС Круггетсы флоу-пак 0,2 кг  ПОКОМ</v>
          </cell>
          <cell r="B26" t="str">
            <v>шт</v>
          </cell>
          <cell r="C26">
            <v>497</v>
          </cell>
          <cell r="D26">
            <v>40</v>
          </cell>
          <cell r="E26">
            <v>313</v>
          </cell>
          <cell r="F26">
            <v>166</v>
          </cell>
          <cell r="G26">
            <v>0.2</v>
          </cell>
          <cell r="H26">
            <v>180</v>
          </cell>
          <cell r="I26" t="str">
            <v>P004956</v>
          </cell>
          <cell r="K26">
            <v>294</v>
          </cell>
          <cell r="L26">
            <v>19</v>
          </cell>
          <cell r="O26">
            <v>336</v>
          </cell>
          <cell r="P26">
            <v>62.6</v>
          </cell>
          <cell r="Q26">
            <v>374.4</v>
          </cell>
          <cell r="R26">
            <v>336</v>
          </cell>
        </row>
        <row r="27">
          <cell r="A27" t="str">
            <v>Круггетсы сочные ТМ Горячая штучка ТС Круггетсы флоу-пак  0,2 кг.  ПОКОМ</v>
          </cell>
          <cell r="B27" t="str">
            <v>шт</v>
          </cell>
          <cell r="C27">
            <v>71</v>
          </cell>
          <cell r="D27">
            <v>2</v>
          </cell>
          <cell r="E27">
            <v>58</v>
          </cell>
          <cell r="F27">
            <v>1</v>
          </cell>
          <cell r="G27">
            <v>0.2</v>
          </cell>
          <cell r="H27">
            <v>180</v>
          </cell>
          <cell r="I27" t="str">
            <v>P004953</v>
          </cell>
          <cell r="K27">
            <v>222</v>
          </cell>
          <cell r="L27">
            <v>-164</v>
          </cell>
          <cell r="O27">
            <v>168</v>
          </cell>
          <cell r="P27">
            <v>11.6</v>
          </cell>
          <cell r="R27">
            <v>0</v>
          </cell>
          <cell r="S27">
            <v>1100</v>
          </cell>
          <cell r="T27" t="str">
            <v>Сети</v>
          </cell>
        </row>
        <row r="28">
          <cell r="A28" t="str">
            <v>Мини-сосиски в ароматном тесте ВЕС ТМ Зареченские продукты  ПОКОМ</v>
          </cell>
          <cell r="B28" t="str">
            <v>кг</v>
          </cell>
          <cell r="C28">
            <v>103.6</v>
          </cell>
          <cell r="D28">
            <v>7.4</v>
          </cell>
          <cell r="E28">
            <v>14.1</v>
          </cell>
          <cell r="F28">
            <v>82.1</v>
          </cell>
          <cell r="G28">
            <v>1</v>
          </cell>
          <cell r="H28">
            <v>180</v>
          </cell>
          <cell r="I28" t="str">
            <v>новинка по ротации</v>
          </cell>
          <cell r="K28">
            <v>27.8</v>
          </cell>
          <cell r="L28">
            <v>-13.700000000000001</v>
          </cell>
          <cell r="O28">
            <v>0</v>
          </cell>
          <cell r="P28">
            <v>2.82</v>
          </cell>
          <cell r="R28">
            <v>0</v>
          </cell>
          <cell r="S28">
            <v>200</v>
          </cell>
          <cell r="T28" t="str">
            <v>Сети</v>
          </cell>
        </row>
        <row r="29">
          <cell r="A29" t="str">
            <v>Мини-шарики с курочкой и сыром ТМ Зареченские ВЕС ПОКОМ</v>
          </cell>
          <cell r="B29" t="str">
            <v>кг</v>
          </cell>
          <cell r="C29">
            <v>30</v>
          </cell>
          <cell r="D29">
            <v>3</v>
          </cell>
          <cell r="E29">
            <v>12</v>
          </cell>
          <cell r="F29">
            <v>15</v>
          </cell>
          <cell r="G29">
            <v>1</v>
          </cell>
          <cell r="H29">
            <v>180</v>
          </cell>
          <cell r="I29" t="str">
            <v>P004394</v>
          </cell>
          <cell r="K29">
            <v>21</v>
          </cell>
          <cell r="L29">
            <v>-9</v>
          </cell>
          <cell r="O29">
            <v>42</v>
          </cell>
          <cell r="P29">
            <v>2.4</v>
          </cell>
          <cell r="R29">
            <v>0</v>
          </cell>
        </row>
        <row r="30">
          <cell r="A30" t="str">
            <v>Наггетсы Нагетосы Сочная курочка ТМ Горячая штучка 0,25 кг зам  ПОКОМ</v>
          </cell>
          <cell r="B30" t="str">
            <v>шт</v>
          </cell>
          <cell r="C30">
            <v>427</v>
          </cell>
          <cell r="D30">
            <v>55</v>
          </cell>
          <cell r="E30">
            <v>403</v>
          </cell>
          <cell r="F30">
            <v>-7</v>
          </cell>
          <cell r="G30">
            <v>0.25</v>
          </cell>
          <cell r="H30">
            <v>365</v>
          </cell>
          <cell r="I30" t="str">
            <v>P004602</v>
          </cell>
          <cell r="K30">
            <v>350</v>
          </cell>
          <cell r="L30">
            <v>53</v>
          </cell>
          <cell r="O30">
            <v>504</v>
          </cell>
          <cell r="P30">
            <v>80.599999999999994</v>
          </cell>
          <cell r="Q30">
            <v>631.39999999999986</v>
          </cell>
          <cell r="R30">
            <v>672</v>
          </cell>
          <cell r="S30">
            <v>1000</v>
          </cell>
          <cell r="T30" t="str">
            <v>Сети</v>
          </cell>
        </row>
        <row r="31">
          <cell r="A31" t="str">
            <v>Наггетсы Нагетосы Сочная курочка со сметаной и зеленью ТМ Горячая штучка флоу-пак 0,25 кг  Поком</v>
          </cell>
          <cell r="B31" t="str">
            <v>шт</v>
          </cell>
          <cell r="G31">
            <v>0.25</v>
          </cell>
          <cell r="H31">
            <v>365</v>
          </cell>
          <cell r="I31" t="str">
            <v>P004600</v>
          </cell>
          <cell r="K31">
            <v>135</v>
          </cell>
          <cell r="L31">
            <v>-135</v>
          </cell>
          <cell r="O31">
            <v>252</v>
          </cell>
          <cell r="P31">
            <v>0</v>
          </cell>
          <cell r="R31">
            <v>0</v>
          </cell>
        </row>
        <row r="32">
          <cell r="A32" t="str">
            <v>Наггетсы Хрустящие ТМ Зареченские ТС Зареченские продукты. Поком</v>
          </cell>
          <cell r="B32" t="str">
            <v>кг</v>
          </cell>
          <cell r="C32">
            <v>54</v>
          </cell>
          <cell r="E32">
            <v>30</v>
          </cell>
          <cell r="F32">
            <v>18</v>
          </cell>
          <cell r="G32">
            <v>1</v>
          </cell>
          <cell r="H32">
            <v>180</v>
          </cell>
          <cell r="I32" t="str">
            <v>P003486</v>
          </cell>
          <cell r="K32">
            <v>30</v>
          </cell>
          <cell r="L32">
            <v>0</v>
          </cell>
          <cell r="O32">
            <v>72</v>
          </cell>
          <cell r="P32">
            <v>6</v>
          </cell>
          <cell r="R32">
            <v>0</v>
          </cell>
        </row>
        <row r="33">
          <cell r="A33" t="str">
            <v>Наггетсы Хрустящие ТМ Стародворье с сочной курочкой 0,23 кг  ПОКОМ</v>
          </cell>
          <cell r="B33" t="str">
            <v>шт</v>
          </cell>
          <cell r="C33">
            <v>72</v>
          </cell>
          <cell r="D33">
            <v>14</v>
          </cell>
          <cell r="E33">
            <v>48</v>
          </cell>
          <cell r="F33">
            <v>12</v>
          </cell>
          <cell r="G33">
            <v>0.23</v>
          </cell>
          <cell r="H33">
            <v>180</v>
          </cell>
          <cell r="I33" t="str">
            <v>P005043</v>
          </cell>
          <cell r="K33">
            <v>55</v>
          </cell>
          <cell r="L33">
            <v>-7</v>
          </cell>
          <cell r="O33">
            <v>168</v>
          </cell>
          <cell r="P33">
            <v>9.6</v>
          </cell>
          <cell r="R33">
            <v>0</v>
          </cell>
          <cell r="S33">
            <v>210</v>
          </cell>
          <cell r="T33" t="str">
            <v>Сети</v>
          </cell>
        </row>
        <row r="34">
          <cell r="A34" t="str">
            <v>Наггетсы из печи 0,25кг ТМ Вязанка замор.  ПОКОМ</v>
          </cell>
          <cell r="B34" t="str">
            <v>шт</v>
          </cell>
          <cell r="C34">
            <v>262</v>
          </cell>
          <cell r="D34">
            <v>14</v>
          </cell>
          <cell r="E34">
            <v>155</v>
          </cell>
          <cell r="F34">
            <v>76</v>
          </cell>
          <cell r="G34">
            <v>0.25</v>
          </cell>
          <cell r="H34">
            <v>365</v>
          </cell>
          <cell r="I34" t="str">
            <v>P004497</v>
          </cell>
          <cell r="K34">
            <v>159</v>
          </cell>
          <cell r="L34">
            <v>-4</v>
          </cell>
          <cell r="O34">
            <v>168</v>
          </cell>
          <cell r="P34">
            <v>31</v>
          </cell>
          <cell r="Q34">
            <v>190</v>
          </cell>
          <cell r="R34">
            <v>168</v>
          </cell>
          <cell r="S34">
            <v>500</v>
          </cell>
          <cell r="T34" t="str">
            <v>Сети</v>
          </cell>
        </row>
        <row r="35">
          <cell r="A35" t="str">
            <v>Наггетсы с индейкой 0,25кг ТМ Вязанка ТС Из печи Сливушки ПОКОМ</v>
          </cell>
          <cell r="B35" t="str">
            <v>шт</v>
          </cell>
          <cell r="C35">
            <v>325</v>
          </cell>
          <cell r="D35">
            <v>55</v>
          </cell>
          <cell r="E35">
            <v>189</v>
          </cell>
          <cell r="F35">
            <v>111</v>
          </cell>
          <cell r="G35">
            <v>0.25</v>
          </cell>
          <cell r="H35">
            <v>365</v>
          </cell>
          <cell r="I35" t="str">
            <v>P004496</v>
          </cell>
          <cell r="K35">
            <v>226</v>
          </cell>
          <cell r="L35">
            <v>-37</v>
          </cell>
          <cell r="O35">
            <v>168</v>
          </cell>
          <cell r="P35">
            <v>37.799999999999997</v>
          </cell>
          <cell r="Q35">
            <v>250.19999999999993</v>
          </cell>
          <cell r="R35">
            <v>168</v>
          </cell>
          <cell r="S35">
            <v>300</v>
          </cell>
          <cell r="T35" t="str">
            <v>Сети</v>
          </cell>
        </row>
        <row r="36">
          <cell r="A36" t="str">
            <v>Наггетсы с куриным филе и сыром ТМ Вязанка ТС Из печи Сливушки 0,25 кг.  Поком</v>
          </cell>
          <cell r="B36" t="str">
            <v>шт</v>
          </cell>
          <cell r="C36">
            <v>221</v>
          </cell>
          <cell r="D36">
            <v>18</v>
          </cell>
          <cell r="E36">
            <v>147</v>
          </cell>
          <cell r="F36">
            <v>55</v>
          </cell>
          <cell r="G36">
            <v>0.25</v>
          </cell>
          <cell r="H36">
            <v>180</v>
          </cell>
          <cell r="I36" t="str">
            <v>P004535</v>
          </cell>
          <cell r="K36">
            <v>149</v>
          </cell>
          <cell r="L36">
            <v>-2</v>
          </cell>
          <cell r="O36">
            <v>168</v>
          </cell>
          <cell r="P36">
            <v>29.4</v>
          </cell>
          <cell r="Q36">
            <v>188.59999999999997</v>
          </cell>
          <cell r="R36">
            <v>168</v>
          </cell>
          <cell r="S36">
            <v>400</v>
          </cell>
          <cell r="T36" t="str">
            <v>Сети</v>
          </cell>
        </row>
        <row r="37">
          <cell r="A37" t="str">
            <v>Пекерсы с индейкой в сливочном соусе ТМ Горячая штучка 0,25 кг зам  ПОКОМ</v>
          </cell>
          <cell r="B37" t="str">
            <v>шт</v>
          </cell>
          <cell r="E37">
            <v>108</v>
          </cell>
          <cell r="F37">
            <v>45</v>
          </cell>
          <cell r="G37">
            <v>0.25</v>
          </cell>
          <cell r="H37">
            <v>180</v>
          </cell>
          <cell r="I37" t="str">
            <v>P004594</v>
          </cell>
          <cell r="L37">
            <v>108</v>
          </cell>
          <cell r="O37">
            <v>168</v>
          </cell>
          <cell r="P37">
            <v>21.6</v>
          </cell>
          <cell r="Q37">
            <v>89.400000000000034</v>
          </cell>
          <cell r="R37">
            <v>168</v>
          </cell>
          <cell r="S37">
            <v>300</v>
          </cell>
          <cell r="T37" t="str">
            <v>Сети</v>
          </cell>
        </row>
        <row r="38">
          <cell r="A38" t="str">
            <v>Пельмени Grandmeni с говядиной ТМ Горячаяштучка флоу-пак сфера 0,7 кг.  Поком</v>
          </cell>
          <cell r="B38" t="str">
            <v>шт</v>
          </cell>
          <cell r="C38">
            <v>188</v>
          </cell>
          <cell r="D38">
            <v>36</v>
          </cell>
          <cell r="E38">
            <v>145</v>
          </cell>
          <cell r="F38">
            <v>21</v>
          </cell>
          <cell r="G38">
            <v>0.7</v>
          </cell>
          <cell r="H38">
            <v>180</v>
          </cell>
          <cell r="I38" t="str">
            <v>P004887</v>
          </cell>
          <cell r="K38">
            <v>123</v>
          </cell>
          <cell r="L38">
            <v>22</v>
          </cell>
          <cell r="O38">
            <v>192</v>
          </cell>
          <cell r="P38">
            <v>29</v>
          </cell>
          <cell r="Q38">
            <v>193</v>
          </cell>
          <cell r="R38">
            <v>192</v>
          </cell>
        </row>
        <row r="39">
          <cell r="A39" t="str">
            <v>Пельмени Grandmeni с говядиной и свининой ТМ Горячаяштучка флоу-па классическая форма 0,7 кг.  Поком</v>
          </cell>
          <cell r="B39" t="str">
            <v>шт</v>
          </cell>
          <cell r="C39">
            <v>92</v>
          </cell>
          <cell r="D39">
            <v>32</v>
          </cell>
          <cell r="E39">
            <v>78</v>
          </cell>
          <cell r="F39">
            <v>-2</v>
          </cell>
          <cell r="G39">
            <v>0.7</v>
          </cell>
          <cell r="H39">
            <v>180</v>
          </cell>
          <cell r="I39" t="str">
            <v>P004889</v>
          </cell>
          <cell r="K39">
            <v>103</v>
          </cell>
          <cell r="L39">
            <v>-25</v>
          </cell>
          <cell r="O39">
            <v>192</v>
          </cell>
          <cell r="P39">
            <v>15.6</v>
          </cell>
          <cell r="Q39">
            <v>59.599999999999994</v>
          </cell>
          <cell r="R39">
            <v>96</v>
          </cell>
        </row>
        <row r="40">
          <cell r="A40" t="str">
            <v>Пельмени Grandmeni со сливочным маслом  ТМ Горячая штучка флоу-пак сфера 0,7 кг.  Поком</v>
          </cell>
          <cell r="B40" t="str">
            <v>шт</v>
          </cell>
          <cell r="G40">
            <v>0.7</v>
          </cell>
          <cell r="H40">
            <v>180</v>
          </cell>
          <cell r="I40" t="str">
            <v>P004888</v>
          </cell>
          <cell r="K40">
            <v>104</v>
          </cell>
          <cell r="L40">
            <v>-104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</row>
        <row r="41">
          <cell r="A41" t="str">
            <v>Пельмени Бигбули #МЕГАВКУСИЩЕ с сочной грудинкой  ТМ Горячая штучка  флоу-пак сфера 0,7 кг.  Поком</v>
          </cell>
          <cell r="B41" t="str">
            <v>шт</v>
          </cell>
          <cell r="C41">
            <v>224</v>
          </cell>
          <cell r="D41">
            <v>55</v>
          </cell>
          <cell r="E41">
            <v>214</v>
          </cell>
          <cell r="F41">
            <v>8</v>
          </cell>
          <cell r="G41">
            <v>0.7</v>
          </cell>
          <cell r="H41">
            <v>180</v>
          </cell>
          <cell r="I41" t="str">
            <v>P004440</v>
          </cell>
          <cell r="K41">
            <v>222</v>
          </cell>
          <cell r="L41">
            <v>-8</v>
          </cell>
          <cell r="O41">
            <v>360</v>
          </cell>
          <cell r="P41">
            <v>42.8</v>
          </cell>
          <cell r="Q41">
            <v>231.19999999999993</v>
          </cell>
          <cell r="R41">
            <v>240</v>
          </cell>
        </row>
        <row r="42">
          <cell r="A42" t="str">
            <v>Пельмени Бигбули с мясом ТМ Горячая штучка БУЛЬМЕНИ ТС Бигбули ГШ  флоу-пак сфера 0,7.   Поком</v>
          </cell>
          <cell r="B42" t="str">
            <v>шт</v>
          </cell>
          <cell r="C42">
            <v>213</v>
          </cell>
          <cell r="D42">
            <v>50</v>
          </cell>
          <cell r="E42">
            <v>236</v>
          </cell>
          <cell r="F42">
            <v>-2</v>
          </cell>
          <cell r="G42">
            <v>0.7</v>
          </cell>
          <cell r="H42">
            <v>180</v>
          </cell>
          <cell r="I42" t="str">
            <v>P004442</v>
          </cell>
          <cell r="K42">
            <v>240</v>
          </cell>
          <cell r="L42">
            <v>-4</v>
          </cell>
          <cell r="O42">
            <v>360</v>
          </cell>
          <cell r="P42">
            <v>47.2</v>
          </cell>
          <cell r="Q42">
            <v>302.80000000000007</v>
          </cell>
          <cell r="R42">
            <v>360</v>
          </cell>
        </row>
        <row r="43">
          <cell r="A43" t="str">
            <v>Пельмени Бигбули со сливочным маслом  ТС Бигбули ГШ#МЕГАМАСЛИЩЕ флоу-пак сфера 0,7.  Поком</v>
          </cell>
          <cell r="B43" t="str">
            <v>шт</v>
          </cell>
          <cell r="C43">
            <v>457</v>
          </cell>
          <cell r="D43">
            <v>75</v>
          </cell>
          <cell r="E43">
            <v>280</v>
          </cell>
          <cell r="F43">
            <v>174</v>
          </cell>
          <cell r="G43">
            <v>0.7</v>
          </cell>
          <cell r="H43">
            <v>180</v>
          </cell>
          <cell r="I43" t="str">
            <v>P004203</v>
          </cell>
          <cell r="K43">
            <v>260</v>
          </cell>
          <cell r="L43">
            <v>20</v>
          </cell>
          <cell r="O43">
            <v>360</v>
          </cell>
          <cell r="P43">
            <v>56</v>
          </cell>
          <cell r="Q43">
            <v>250</v>
          </cell>
          <cell r="R43">
            <v>240</v>
          </cell>
        </row>
        <row r="44">
          <cell r="A44" t="str">
            <v>Пельмени Бульмени мини с мясом и оливковым маслом  ТС Бульмени ГШ флоу-пак сфера 0,7кг  Поком</v>
          </cell>
          <cell r="B44" t="str">
            <v>шт</v>
          </cell>
          <cell r="C44">
            <v>76</v>
          </cell>
          <cell r="D44">
            <v>29</v>
          </cell>
          <cell r="E44">
            <v>58</v>
          </cell>
          <cell r="G44">
            <v>0.7</v>
          </cell>
          <cell r="H44">
            <v>180</v>
          </cell>
          <cell r="I44" t="str">
            <v>P004819</v>
          </cell>
          <cell r="K44">
            <v>73</v>
          </cell>
          <cell r="L44">
            <v>-15</v>
          </cell>
          <cell r="O44">
            <v>120</v>
          </cell>
          <cell r="P44">
            <v>11.6</v>
          </cell>
          <cell r="Q44">
            <v>65.599999999999994</v>
          </cell>
          <cell r="R44">
            <v>120</v>
          </cell>
          <cell r="S44">
            <v>160</v>
          </cell>
          <cell r="T44" t="str">
            <v>Сети</v>
          </cell>
        </row>
        <row r="45">
          <cell r="A45" t="str">
            <v>Пельмени Бульмени с говядиной и свининой Наваристые Горячая штучка ВЕС  ПОКОМ</v>
          </cell>
          <cell r="B45" t="str">
            <v>кг</v>
          </cell>
          <cell r="C45">
            <v>855</v>
          </cell>
          <cell r="D45">
            <v>95</v>
          </cell>
          <cell r="E45">
            <v>860</v>
          </cell>
          <cell r="F45">
            <v>25</v>
          </cell>
          <cell r="G45">
            <v>1</v>
          </cell>
          <cell r="H45">
            <v>180</v>
          </cell>
          <cell r="I45" t="str">
            <v>P003697</v>
          </cell>
          <cell r="K45">
            <v>585</v>
          </cell>
          <cell r="L45">
            <v>275</v>
          </cell>
          <cell r="O45">
            <v>1080</v>
          </cell>
          <cell r="P45">
            <v>172</v>
          </cell>
          <cell r="Q45">
            <v>1303</v>
          </cell>
          <cell r="R45">
            <v>1320</v>
          </cell>
        </row>
        <row r="46">
          <cell r="A46" t="str">
            <v>Пельмени Бульмени с говядиной и свининой ТМ Горячая штучка  флоу-пак сфера 0,4 кг  Поком</v>
          </cell>
          <cell r="B46" t="str">
            <v>шт</v>
          </cell>
          <cell r="C46">
            <v>89</v>
          </cell>
          <cell r="D46">
            <v>46</v>
          </cell>
          <cell r="E46">
            <v>75</v>
          </cell>
          <cell r="G46">
            <v>0.4</v>
          </cell>
          <cell r="H46">
            <v>180</v>
          </cell>
          <cell r="I46" t="str">
            <v>P004474</v>
          </cell>
          <cell r="K46">
            <v>236</v>
          </cell>
          <cell r="L46">
            <v>-161</v>
          </cell>
          <cell r="O46">
            <v>192</v>
          </cell>
          <cell r="P46">
            <v>15</v>
          </cell>
          <cell r="Q46">
            <v>108</v>
          </cell>
          <cell r="R46">
            <v>192</v>
          </cell>
        </row>
        <row r="47">
          <cell r="A47" t="str">
            <v>Пельмени Бульмени с говядиной и свининой ТМ Горячая штучка БУЛЬМЕНИ  флоу-пак сфера 0,7 кг.  Поком</v>
          </cell>
          <cell r="B47" t="str">
            <v>шт</v>
          </cell>
          <cell r="C47">
            <v>314</v>
          </cell>
          <cell r="D47">
            <v>71</v>
          </cell>
          <cell r="E47">
            <v>339</v>
          </cell>
          <cell r="F47">
            <v>9</v>
          </cell>
          <cell r="G47">
            <v>0.7</v>
          </cell>
          <cell r="H47">
            <v>180</v>
          </cell>
          <cell r="I47" t="str">
            <v>P004345</v>
          </cell>
          <cell r="K47">
            <v>379</v>
          </cell>
          <cell r="L47">
            <v>-40</v>
          </cell>
          <cell r="O47">
            <v>480</v>
          </cell>
          <cell r="P47">
            <v>67.8</v>
          </cell>
          <cell r="Q47">
            <v>460.19999999999993</v>
          </cell>
          <cell r="R47">
            <v>480</v>
          </cell>
        </row>
        <row r="48">
          <cell r="A48" t="str">
            <v>Пельмени Бульмени со сливочным маслом ТМ Горячая штучка  флоу-пак сфера 0,4 кг .  Поком</v>
          </cell>
          <cell r="B48" t="str">
            <v>шт</v>
          </cell>
          <cell r="C48">
            <v>57</v>
          </cell>
          <cell r="D48">
            <v>36</v>
          </cell>
          <cell r="E48">
            <v>45</v>
          </cell>
          <cell r="F48">
            <v>-1</v>
          </cell>
          <cell r="G48">
            <v>0.4</v>
          </cell>
          <cell r="H48">
            <v>180</v>
          </cell>
          <cell r="I48" t="str">
            <v>P004444</v>
          </cell>
          <cell r="K48">
            <v>234</v>
          </cell>
          <cell r="L48">
            <v>-189</v>
          </cell>
          <cell r="O48">
            <v>192</v>
          </cell>
          <cell r="P48">
            <v>9</v>
          </cell>
          <cell r="R48">
            <v>0</v>
          </cell>
          <cell r="S48">
            <v>250</v>
          </cell>
          <cell r="T48" t="str">
            <v>Сети</v>
          </cell>
        </row>
        <row r="49">
          <cell r="A49" t="str">
            <v>Пельмени Бульмени со сливочным маслом ТМ Горячая штучка флоу-пак сфера 0,7 кг .  Поком</v>
          </cell>
          <cell r="B49" t="str">
            <v>шт</v>
          </cell>
          <cell r="C49">
            <v>441</v>
          </cell>
          <cell r="D49">
            <v>89</v>
          </cell>
          <cell r="E49">
            <v>420</v>
          </cell>
          <cell r="F49">
            <v>11</v>
          </cell>
          <cell r="G49">
            <v>0.7</v>
          </cell>
          <cell r="H49">
            <v>180</v>
          </cell>
          <cell r="I49" t="str">
            <v>P004346</v>
          </cell>
          <cell r="K49">
            <v>444</v>
          </cell>
          <cell r="L49">
            <v>-24</v>
          </cell>
          <cell r="O49">
            <v>600</v>
          </cell>
          <cell r="P49">
            <v>84</v>
          </cell>
          <cell r="Q49">
            <v>565</v>
          </cell>
          <cell r="R49">
            <v>600</v>
          </cell>
        </row>
        <row r="50">
          <cell r="A50" t="str">
            <v>Пельмени Домашние со сливочным маслом ТМ Зареченские  продукты флоу-пак сфера 0,7 кг.  Поком</v>
          </cell>
          <cell r="B50" t="str">
            <v>шт</v>
          </cell>
          <cell r="G50">
            <v>0.7</v>
          </cell>
          <cell r="H50">
            <v>180</v>
          </cell>
          <cell r="I50" t="str">
            <v>P004060</v>
          </cell>
          <cell r="K50">
            <v>10</v>
          </cell>
          <cell r="L50">
            <v>-10</v>
          </cell>
          <cell r="O50">
            <v>120</v>
          </cell>
          <cell r="P50">
            <v>0</v>
          </cell>
          <cell r="R50">
            <v>0</v>
          </cell>
        </row>
        <row r="51">
          <cell r="A51" t="str">
            <v>Пельмени Медвежье ушко Премиум Мясные ТМ Медвежье ушко классическая форма флоу-пак 0,8 кг. ПОКОМ</v>
          </cell>
          <cell r="B51" t="str">
            <v>шт</v>
          </cell>
          <cell r="C51">
            <v>-3</v>
          </cell>
          <cell r="F51">
            <v>-3</v>
          </cell>
          <cell r="G51">
            <v>0.8</v>
          </cell>
          <cell r="H51">
            <v>180</v>
          </cell>
          <cell r="I51" t="str">
            <v>P005158</v>
          </cell>
          <cell r="K51">
            <v>19</v>
          </cell>
          <cell r="L51">
            <v>-19</v>
          </cell>
          <cell r="O51">
            <v>288</v>
          </cell>
          <cell r="P51">
            <v>0</v>
          </cell>
          <cell r="R51">
            <v>0</v>
          </cell>
          <cell r="S51">
            <v>350</v>
          </cell>
          <cell r="T51" t="str">
            <v>Промо Октябрь</v>
          </cell>
        </row>
        <row r="52">
          <cell r="A52" t="str">
            <v>Пельмени Мясные с говядиной ТМ Стародворье сфера флоу-пак 1 кг  ПОКОМ</v>
          </cell>
          <cell r="B52" t="str">
            <v>шт</v>
          </cell>
          <cell r="C52">
            <v>93</v>
          </cell>
          <cell r="D52">
            <v>24</v>
          </cell>
          <cell r="E52">
            <v>90</v>
          </cell>
          <cell r="F52">
            <v>6</v>
          </cell>
          <cell r="G52">
            <v>1</v>
          </cell>
          <cell r="H52">
            <v>180</v>
          </cell>
          <cell r="I52" t="str">
            <v>P005048</v>
          </cell>
          <cell r="K52">
            <v>115</v>
          </cell>
          <cell r="L52">
            <v>-25</v>
          </cell>
          <cell r="O52">
            <v>120</v>
          </cell>
          <cell r="P52">
            <v>18</v>
          </cell>
          <cell r="Q52">
            <v>126</v>
          </cell>
          <cell r="R52">
            <v>120</v>
          </cell>
        </row>
        <row r="53">
          <cell r="A53" t="str">
            <v>Пельмени Отборные из свинины и говядины 0,9 кг ТМ Стародворье ТС Медвежье ушко  ПОКОМ</v>
          </cell>
          <cell r="B53" t="str">
            <v>шт</v>
          </cell>
          <cell r="C53">
            <v>-7</v>
          </cell>
          <cell r="F53">
            <v>-7</v>
          </cell>
          <cell r="G53">
            <v>0.9</v>
          </cell>
          <cell r="H53">
            <v>180</v>
          </cell>
          <cell r="I53" t="str">
            <v>P005107</v>
          </cell>
          <cell r="K53">
            <v>4</v>
          </cell>
          <cell r="L53">
            <v>-4</v>
          </cell>
          <cell r="O53">
            <v>96</v>
          </cell>
          <cell r="P53">
            <v>0</v>
          </cell>
          <cell r="R53">
            <v>0</v>
          </cell>
        </row>
        <row r="54">
          <cell r="A54" t="str">
            <v>Пельмени Отборные с говядиной 0,9 кг НОВА ТМ Стародворье ТС Медвежье ушко  ПОКОМ</v>
          </cell>
          <cell r="B54" t="str">
            <v>шт</v>
          </cell>
          <cell r="C54">
            <v>24</v>
          </cell>
          <cell r="D54">
            <v>3</v>
          </cell>
          <cell r="E54">
            <v>17</v>
          </cell>
          <cell r="F54">
            <v>9</v>
          </cell>
          <cell r="G54">
            <v>0.9</v>
          </cell>
          <cell r="H54">
            <v>180</v>
          </cell>
          <cell r="I54" t="str">
            <v>P005105</v>
          </cell>
          <cell r="K54">
            <v>36</v>
          </cell>
          <cell r="L54">
            <v>-19</v>
          </cell>
          <cell r="O54">
            <v>96</v>
          </cell>
          <cell r="P54">
            <v>3.4</v>
          </cell>
          <cell r="R54">
            <v>0</v>
          </cell>
        </row>
        <row r="55">
          <cell r="A55" t="str">
            <v>Пельмени С говядиной и свининой, ВЕС, ТМ Славница сфера пуговки  ПОКОМ</v>
          </cell>
          <cell r="B55" t="str">
            <v>кг</v>
          </cell>
          <cell r="E55">
            <v>15</v>
          </cell>
          <cell r="F55">
            <v>-20</v>
          </cell>
          <cell r="G55">
            <v>1</v>
          </cell>
          <cell r="H55">
            <v>180</v>
          </cell>
          <cell r="I55" t="str">
            <v>P004472</v>
          </cell>
          <cell r="K55">
            <v>25</v>
          </cell>
          <cell r="L55">
            <v>-10</v>
          </cell>
          <cell r="O55">
            <v>180</v>
          </cell>
          <cell r="P55">
            <v>3</v>
          </cell>
          <cell r="R55">
            <v>0</v>
          </cell>
          <cell r="S55">
            <v>150</v>
          </cell>
          <cell r="T55" t="str">
            <v>Есть спрос</v>
          </cell>
        </row>
        <row r="56">
          <cell r="A56" t="str">
            <v>Пельмени Со свининой и говядиной ТМ Особый рецепт Любимая ложка 1,0 кг  ПОКОМ</v>
          </cell>
          <cell r="B56" t="str">
            <v>шт</v>
          </cell>
          <cell r="G56">
            <v>1</v>
          </cell>
          <cell r="H56">
            <v>180</v>
          </cell>
          <cell r="I56" t="str">
            <v>P004081</v>
          </cell>
          <cell r="L56">
            <v>0</v>
          </cell>
          <cell r="O56">
            <v>240</v>
          </cell>
          <cell r="P56">
            <v>0</v>
          </cell>
          <cell r="R56">
            <v>0</v>
          </cell>
          <cell r="S56">
            <v>250</v>
          </cell>
          <cell r="T56" t="str">
            <v>Промо Октябрь</v>
          </cell>
        </row>
        <row r="57">
          <cell r="A57" t="str">
            <v>Пирожки с мясом 3,7кг ВЕС ТМ Зареченские  ПОКОМ</v>
          </cell>
          <cell r="B57" t="str">
            <v>кг</v>
          </cell>
          <cell r="C57">
            <v>44.4</v>
          </cell>
          <cell r="D57">
            <v>3.7</v>
          </cell>
          <cell r="F57">
            <v>44.4</v>
          </cell>
          <cell r="G57">
            <v>1</v>
          </cell>
          <cell r="H57">
            <v>180</v>
          </cell>
          <cell r="I57" t="str">
            <v>P004359</v>
          </cell>
          <cell r="K57">
            <v>3.7</v>
          </cell>
          <cell r="L57">
            <v>-3.7</v>
          </cell>
          <cell r="O57">
            <v>0</v>
          </cell>
          <cell r="P57">
            <v>0</v>
          </cell>
          <cell r="R57">
            <v>0</v>
          </cell>
        </row>
        <row r="58">
          <cell r="A58" t="str">
            <v>Хотстеры Васаби-чили ТМ Горячая штучка ТС Хотстеры 0,23кг жареные ПОКОМ</v>
          </cell>
          <cell r="B58" t="str">
            <v>шт</v>
          </cell>
          <cell r="C58">
            <v>82</v>
          </cell>
          <cell r="E58">
            <v>68</v>
          </cell>
          <cell r="F58">
            <v>13</v>
          </cell>
          <cell r="G58">
            <v>0.23</v>
          </cell>
          <cell r="H58">
            <v>180</v>
          </cell>
          <cell r="I58" t="str">
            <v>P005182</v>
          </cell>
          <cell r="K58">
            <v>65</v>
          </cell>
          <cell r="L58">
            <v>3</v>
          </cell>
          <cell r="O58">
            <v>84</v>
          </cell>
          <cell r="P58">
            <v>13.6</v>
          </cell>
          <cell r="Q58">
            <v>93.4</v>
          </cell>
          <cell r="R58">
            <v>84</v>
          </cell>
        </row>
        <row r="59">
          <cell r="A59" t="str">
            <v>Хотстеры ТМ Горячая штучка ТС Хотстеры 0,25 кг зам  ПОКОМ</v>
          </cell>
          <cell r="B59" t="str">
            <v>шт</v>
          </cell>
          <cell r="C59">
            <v>-22</v>
          </cell>
          <cell r="D59">
            <v>4</v>
          </cell>
          <cell r="E59">
            <v>248</v>
          </cell>
          <cell r="F59">
            <v>2</v>
          </cell>
          <cell r="G59">
            <v>0.25</v>
          </cell>
          <cell r="H59">
            <v>180</v>
          </cell>
          <cell r="I59" t="str">
            <v>P004489</v>
          </cell>
          <cell r="L59">
            <v>248</v>
          </cell>
          <cell r="O59">
            <v>336</v>
          </cell>
          <cell r="P59">
            <v>49.6</v>
          </cell>
          <cell r="Q59">
            <v>356.4</v>
          </cell>
          <cell r="R59">
            <v>336</v>
          </cell>
          <cell r="S59">
            <v>700</v>
          </cell>
          <cell r="T59" t="str">
            <v>Сети</v>
          </cell>
        </row>
        <row r="60">
          <cell r="A60" t="str">
            <v>Хотстеры с сыром ТМ Горячая штучка ТС Хотстеры 0,25кг.  Поком</v>
          </cell>
          <cell r="B60" t="str">
            <v>шт</v>
          </cell>
          <cell r="E60">
            <v>212</v>
          </cell>
          <cell r="F60">
            <v>72</v>
          </cell>
          <cell r="G60">
            <v>0.25</v>
          </cell>
          <cell r="H60">
            <v>180</v>
          </cell>
          <cell r="I60" t="str">
            <v>P005058</v>
          </cell>
          <cell r="K60">
            <v>6</v>
          </cell>
          <cell r="L60">
            <v>206</v>
          </cell>
          <cell r="O60">
            <v>168</v>
          </cell>
          <cell r="P60">
            <v>42.4</v>
          </cell>
          <cell r="Q60">
            <v>353.6</v>
          </cell>
          <cell r="R60">
            <v>336</v>
          </cell>
          <cell r="S60">
            <v>600</v>
          </cell>
          <cell r="T60" t="str">
            <v>Сети</v>
          </cell>
        </row>
        <row r="61">
          <cell r="A61" t="str">
            <v>Хрустипай апельсин имбирь ТМ Горячая штучка 0,18 кг  ПОКОМ</v>
          </cell>
          <cell r="B61" t="str">
            <v>шт</v>
          </cell>
          <cell r="C61">
            <v>60</v>
          </cell>
          <cell r="E61">
            <v>2</v>
          </cell>
          <cell r="F61">
            <v>58</v>
          </cell>
          <cell r="G61">
            <v>0.18</v>
          </cell>
          <cell r="H61">
            <v>180</v>
          </cell>
          <cell r="I61" t="str">
            <v>P005201</v>
          </cell>
          <cell r="K61">
            <v>2</v>
          </cell>
          <cell r="L61">
            <v>0</v>
          </cell>
          <cell r="O61">
            <v>0</v>
          </cell>
          <cell r="P61">
            <v>0.4</v>
          </cell>
          <cell r="R61">
            <v>0</v>
          </cell>
        </row>
        <row r="62">
          <cell r="A62" t="str">
            <v>Хрустипай манго маракуйя ТМ Горячая штучка 0,18 кг  ПОКОМ</v>
          </cell>
          <cell r="B62" t="str">
            <v>шт</v>
          </cell>
          <cell r="C62">
            <v>18</v>
          </cell>
          <cell r="D62">
            <v>2</v>
          </cell>
          <cell r="E62">
            <v>8</v>
          </cell>
          <cell r="F62">
            <v>6</v>
          </cell>
          <cell r="G62">
            <v>0.18</v>
          </cell>
          <cell r="H62">
            <v>180</v>
          </cell>
          <cell r="I62" t="str">
            <v>P005199</v>
          </cell>
          <cell r="K62">
            <v>10</v>
          </cell>
          <cell r="L62">
            <v>-2</v>
          </cell>
          <cell r="O62">
            <v>84</v>
          </cell>
          <cell r="P62">
            <v>1.6</v>
          </cell>
          <cell r="R62">
            <v>0</v>
          </cell>
        </row>
        <row r="63">
          <cell r="A63" t="str">
            <v>Хрустипай манго чили ТМ Горячая штучка 0,18кг с начинкой ПОКОМ</v>
          </cell>
          <cell r="B63" t="str">
            <v>шт</v>
          </cell>
          <cell r="C63">
            <v>24</v>
          </cell>
          <cell r="F63">
            <v>24</v>
          </cell>
          <cell r="G63">
            <v>0.18</v>
          </cell>
          <cell r="H63">
            <v>180</v>
          </cell>
          <cell r="I63" t="str">
            <v>P005200</v>
          </cell>
          <cell r="L63">
            <v>0</v>
          </cell>
          <cell r="O63">
            <v>0</v>
          </cell>
          <cell r="P63">
            <v>0</v>
          </cell>
          <cell r="R63">
            <v>0</v>
          </cell>
        </row>
        <row r="64">
          <cell r="A64" t="str">
            <v>Хрустящие крылышки ТМ Горячая штучка 0,3 кг зам  ПОКОМ</v>
          </cell>
          <cell r="B64" t="str">
            <v>шт</v>
          </cell>
          <cell r="C64">
            <v>327</v>
          </cell>
          <cell r="D64">
            <v>16</v>
          </cell>
          <cell r="E64">
            <v>189</v>
          </cell>
          <cell r="F64">
            <v>124</v>
          </cell>
          <cell r="G64">
            <v>0.3</v>
          </cell>
          <cell r="H64">
            <v>180</v>
          </cell>
          <cell r="I64" t="str">
            <v>P004588</v>
          </cell>
          <cell r="K64">
            <v>197</v>
          </cell>
          <cell r="L64">
            <v>-8</v>
          </cell>
          <cell r="O64">
            <v>168</v>
          </cell>
          <cell r="P64">
            <v>37.799999999999997</v>
          </cell>
          <cell r="Q64">
            <v>237.19999999999993</v>
          </cell>
          <cell r="R64">
            <v>168</v>
          </cell>
        </row>
        <row r="65">
          <cell r="A65" t="str">
            <v>Хрустящие крылышки острые к пиву ТМ Горячая штучка 0,3кг зам  ПОКОМ</v>
          </cell>
          <cell r="B65" t="str">
            <v>шт</v>
          </cell>
          <cell r="C65">
            <v>200</v>
          </cell>
          <cell r="D65">
            <v>7</v>
          </cell>
          <cell r="E65">
            <v>127</v>
          </cell>
          <cell r="F65">
            <v>79</v>
          </cell>
          <cell r="G65">
            <v>0.3</v>
          </cell>
          <cell r="H65">
            <v>180</v>
          </cell>
          <cell r="I65" t="str">
            <v>P004589</v>
          </cell>
          <cell r="K65">
            <v>123</v>
          </cell>
          <cell r="L65">
            <v>4</v>
          </cell>
          <cell r="O65">
            <v>168</v>
          </cell>
          <cell r="P65">
            <v>25.4</v>
          </cell>
          <cell r="Q65">
            <v>108.59999999999997</v>
          </cell>
          <cell r="R65">
            <v>168</v>
          </cell>
        </row>
        <row r="66">
          <cell r="A66" t="str">
            <v>Чебупели Курочка гриль Базовый ассортимент Фикс.вес 0,3 Пакет Горячая штучка  Поком</v>
          </cell>
          <cell r="B66" t="str">
            <v>шт</v>
          </cell>
          <cell r="C66">
            <v>124</v>
          </cell>
          <cell r="D66">
            <v>38</v>
          </cell>
          <cell r="E66">
            <v>98</v>
          </cell>
          <cell r="F66">
            <v>7</v>
          </cell>
          <cell r="G66">
            <v>0.3</v>
          </cell>
          <cell r="H66">
            <v>180</v>
          </cell>
          <cell r="I66" t="str">
            <v>P004113</v>
          </cell>
          <cell r="K66">
            <v>157</v>
          </cell>
          <cell r="L66">
            <v>-59</v>
          </cell>
          <cell r="O66">
            <v>196</v>
          </cell>
          <cell r="P66">
            <v>19.600000000000001</v>
          </cell>
          <cell r="Q66">
            <v>110.60000000000002</v>
          </cell>
          <cell r="R66">
            <v>196</v>
          </cell>
        </row>
        <row r="67">
          <cell r="A67" t="str">
            <v>Чебупели со вкусом Фо бо ТМ Горячая штучка 0,22 кг  ПОКОМ</v>
          </cell>
          <cell r="B67" t="str">
            <v>шт</v>
          </cell>
          <cell r="C67">
            <v>84</v>
          </cell>
          <cell r="D67">
            <v>2</v>
          </cell>
          <cell r="E67">
            <v>37</v>
          </cell>
          <cell r="F67">
            <v>42</v>
          </cell>
          <cell r="G67">
            <v>0.22</v>
          </cell>
          <cell r="I67" t="str">
            <v>матрица</v>
          </cell>
          <cell r="K67">
            <v>38</v>
          </cell>
          <cell r="L67">
            <v>-1</v>
          </cell>
          <cell r="O67">
            <v>0</v>
          </cell>
          <cell r="P67">
            <v>7.4</v>
          </cell>
          <cell r="Q67">
            <v>61.600000000000009</v>
          </cell>
          <cell r="R67">
            <v>84</v>
          </cell>
        </row>
        <row r="68">
          <cell r="A68" t="str">
            <v>Чебупицца Пепперони ТМ Горячая штучка ТС Чебупицца 0.25кг зам  ПОКОМ</v>
          </cell>
          <cell r="B68" t="str">
            <v>шт</v>
          </cell>
          <cell r="C68">
            <v>678</v>
          </cell>
          <cell r="D68">
            <v>213</v>
          </cell>
          <cell r="E68">
            <v>623</v>
          </cell>
          <cell r="F68">
            <v>4</v>
          </cell>
          <cell r="G68">
            <v>0.25</v>
          </cell>
          <cell r="H68">
            <v>180</v>
          </cell>
          <cell r="I68" t="str">
            <v>P004486</v>
          </cell>
          <cell r="K68">
            <v>565</v>
          </cell>
          <cell r="L68">
            <v>58</v>
          </cell>
          <cell r="O68">
            <v>672</v>
          </cell>
          <cell r="P68">
            <v>124.6</v>
          </cell>
          <cell r="Q68">
            <v>1068.3999999999999</v>
          </cell>
          <cell r="R68">
            <v>1008</v>
          </cell>
        </row>
        <row r="69">
          <cell r="A69" t="str">
            <v>Чебупицца курочка по-итальянски Горячая штучка 0,25 кг зам  ПОКОМ</v>
          </cell>
          <cell r="B69" t="str">
            <v>шт</v>
          </cell>
          <cell r="C69">
            <v>532</v>
          </cell>
          <cell r="D69">
            <v>28</v>
          </cell>
          <cell r="E69">
            <v>471</v>
          </cell>
          <cell r="F69">
            <v>18</v>
          </cell>
          <cell r="G69">
            <v>0.25</v>
          </cell>
          <cell r="H69">
            <v>180</v>
          </cell>
          <cell r="I69" t="str">
            <v>P004484</v>
          </cell>
          <cell r="K69">
            <v>417</v>
          </cell>
          <cell r="L69">
            <v>54</v>
          </cell>
          <cell r="O69">
            <v>504</v>
          </cell>
          <cell r="P69">
            <v>94.2</v>
          </cell>
          <cell r="Q69">
            <v>796.8</v>
          </cell>
          <cell r="R69">
            <v>840</v>
          </cell>
        </row>
        <row r="70">
          <cell r="A70" t="str">
            <v>Чебупицца со вкусом 4 сыра 0,2кг ТМ Горячая штучка ТС Foodgital  ПОКОМ</v>
          </cell>
          <cell r="B70" t="str">
            <v>шт</v>
          </cell>
          <cell r="C70">
            <v>31</v>
          </cell>
          <cell r="D70">
            <v>10</v>
          </cell>
          <cell r="E70">
            <v>24</v>
          </cell>
          <cell r="F70">
            <v>4</v>
          </cell>
          <cell r="G70">
            <v>0.2</v>
          </cell>
          <cell r="H70">
            <v>365</v>
          </cell>
          <cell r="I70" t="str">
            <v>P004818</v>
          </cell>
          <cell r="K70">
            <v>31</v>
          </cell>
          <cell r="L70">
            <v>-7</v>
          </cell>
          <cell r="O70">
            <v>84</v>
          </cell>
          <cell r="P70">
            <v>4.8</v>
          </cell>
          <cell r="R70">
            <v>0</v>
          </cell>
        </row>
        <row r="71">
          <cell r="A71" t="str">
            <v>Чебупицца со вкусом Том ям ТМ Горячая штучка ТС Чебупицца 0,23кг жареные ПОКОМ</v>
          </cell>
          <cell r="B71" t="str">
            <v>шт</v>
          </cell>
          <cell r="C71">
            <v>156</v>
          </cell>
          <cell r="D71">
            <v>6</v>
          </cell>
          <cell r="E71">
            <v>111</v>
          </cell>
          <cell r="F71">
            <v>37</v>
          </cell>
          <cell r="G71">
            <v>0.23</v>
          </cell>
          <cell r="H71">
            <v>180</v>
          </cell>
          <cell r="I71" t="str">
            <v>P005180</v>
          </cell>
          <cell r="K71">
            <v>111</v>
          </cell>
          <cell r="L71">
            <v>0</v>
          </cell>
          <cell r="O71">
            <v>84</v>
          </cell>
          <cell r="P71">
            <v>22.2</v>
          </cell>
          <cell r="Q71">
            <v>189.8</v>
          </cell>
          <cell r="R71">
            <v>168</v>
          </cell>
        </row>
        <row r="72">
          <cell r="A72" t="str">
            <v>Чебупицца со вкусом Утка по-пекински ТМ Горячая штучка ТС Чебупицца 0,23 кг.  ПОКОМ</v>
          </cell>
          <cell r="B72" t="str">
            <v>шт</v>
          </cell>
          <cell r="C72">
            <v>232</v>
          </cell>
          <cell r="D72">
            <v>3</v>
          </cell>
          <cell r="E72">
            <v>100</v>
          </cell>
          <cell r="F72">
            <v>130</v>
          </cell>
          <cell r="G72">
            <v>0.23</v>
          </cell>
          <cell r="I72" t="str">
            <v>матрица</v>
          </cell>
          <cell r="K72">
            <v>92</v>
          </cell>
          <cell r="L72">
            <v>8</v>
          </cell>
          <cell r="O72">
            <v>84</v>
          </cell>
          <cell r="P72">
            <v>20</v>
          </cell>
          <cell r="Q72">
            <v>66</v>
          </cell>
          <cell r="R72">
            <v>84</v>
          </cell>
        </row>
        <row r="73">
          <cell r="A73" t="str">
            <v>Чебуреки Мясные вес 2,7 кг ТМ Зареченские ТС Зареченские продукты   Поком</v>
          </cell>
          <cell r="B73" t="str">
            <v>кг</v>
          </cell>
          <cell r="C73">
            <v>18.899999999999999</v>
          </cell>
          <cell r="F73">
            <v>18.899999999999999</v>
          </cell>
          <cell r="G73">
            <v>1</v>
          </cell>
          <cell r="H73">
            <v>180</v>
          </cell>
          <cell r="I73" t="str">
            <v>P003478</v>
          </cell>
          <cell r="L73">
            <v>0</v>
          </cell>
          <cell r="O73">
            <v>0</v>
          </cell>
          <cell r="P73">
            <v>0</v>
          </cell>
          <cell r="R73">
            <v>0</v>
          </cell>
        </row>
        <row r="74">
          <cell r="A74" t="str">
            <v>Чебуреки сочные ТМ Зареченские ТС Зареченские продукты.  Поком</v>
          </cell>
          <cell r="B74" t="str">
            <v>кг</v>
          </cell>
          <cell r="C74">
            <v>125</v>
          </cell>
          <cell r="D74">
            <v>20</v>
          </cell>
          <cell r="E74">
            <v>50</v>
          </cell>
          <cell r="F74">
            <v>85</v>
          </cell>
          <cell r="G74">
            <v>1</v>
          </cell>
          <cell r="H74">
            <v>180</v>
          </cell>
          <cell r="I74" t="str">
            <v>P003476</v>
          </cell>
          <cell r="K74">
            <v>50</v>
          </cell>
          <cell r="L74">
            <v>0</v>
          </cell>
          <cell r="O74">
            <v>120</v>
          </cell>
          <cell r="P74">
            <v>10</v>
          </cell>
          <cell r="R7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O10" sqref="AO10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5" width="6.85546875" customWidth="1"/>
    <col min="16" max="16" width="6" customWidth="1"/>
    <col min="17" max="19" width="7" customWidth="1"/>
    <col min="20" max="21" width="7" style="24" customWidth="1"/>
    <col min="22" max="23" width="5" customWidth="1"/>
    <col min="24" max="25" width="6" customWidth="1"/>
    <col min="26" max="26" width="31.5703125" customWidth="1"/>
    <col min="27" max="27" width="6" customWidth="1"/>
    <col min="28" max="28" width="6" style="6" customWidth="1"/>
    <col min="29" max="29" width="7" style="12" customWidth="1"/>
    <col min="30" max="30" width="6" customWidth="1"/>
    <col min="31" max="32" width="5" customWidth="1"/>
    <col min="33" max="33" width="6" style="12" customWidth="1"/>
    <col min="34" max="34" width="8.42578125" customWidth="1"/>
    <col min="35" max="52" width="3" customWidth="1"/>
  </cols>
  <sheetData>
    <row r="1" spans="1:5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7"/>
      <c r="AC1" s="9"/>
      <c r="AD1" s="1"/>
      <c r="AE1" s="1"/>
      <c r="AF1" s="1"/>
      <c r="AG1" s="9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7"/>
      <c r="AC2" s="9"/>
      <c r="AD2" s="1"/>
      <c r="AE2" s="1"/>
      <c r="AF2" s="1"/>
      <c r="AG2" s="9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171</v>
      </c>
      <c r="S3" s="3" t="s">
        <v>17</v>
      </c>
      <c r="T3" s="3" t="s">
        <v>168</v>
      </c>
      <c r="U3" s="3" t="s">
        <v>170</v>
      </c>
      <c r="V3" s="2" t="s">
        <v>18</v>
      </c>
      <c r="W3" s="2" t="s">
        <v>19</v>
      </c>
      <c r="X3" s="2" t="s">
        <v>20</v>
      </c>
      <c r="Y3" s="2" t="s">
        <v>20</v>
      </c>
      <c r="Z3" s="2" t="s">
        <v>21</v>
      </c>
      <c r="AA3" s="2" t="s">
        <v>22</v>
      </c>
      <c r="AB3" s="8" t="s">
        <v>23</v>
      </c>
      <c r="AC3" s="10" t="s">
        <v>24</v>
      </c>
      <c r="AD3" s="2" t="s">
        <v>25</v>
      </c>
      <c r="AE3" s="2" t="s">
        <v>26</v>
      </c>
      <c r="AF3" s="2" t="s">
        <v>27</v>
      </c>
      <c r="AG3" s="10" t="s">
        <v>28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 t="s">
        <v>169</v>
      </c>
      <c r="U4" s="1"/>
      <c r="V4" s="1"/>
      <c r="W4" s="1"/>
      <c r="X4" s="1" t="s">
        <v>31</v>
      </c>
      <c r="Y4" s="1" t="s">
        <v>32</v>
      </c>
      <c r="Z4" s="1"/>
      <c r="AA4" s="1"/>
      <c r="AB4" s="7"/>
      <c r="AC4" s="9" t="s">
        <v>172</v>
      </c>
      <c r="AD4" s="1"/>
      <c r="AE4" s="1"/>
      <c r="AF4" s="1"/>
      <c r="AG4" s="9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8857.1</v>
      </c>
      <c r="F5" s="4">
        <f>SUM(F6:F500)</f>
        <v>3095.4</v>
      </c>
      <c r="G5" s="7"/>
      <c r="H5" s="1"/>
      <c r="I5" s="1"/>
      <c r="J5" s="1"/>
      <c r="K5" s="4">
        <f t="shared" ref="K5:T5" si="0">SUM(K6:K500)</f>
        <v>8561.5</v>
      </c>
      <c r="L5" s="4">
        <f t="shared" si="0"/>
        <v>295.60000000000002</v>
      </c>
      <c r="M5" s="4">
        <f t="shared" si="0"/>
        <v>0</v>
      </c>
      <c r="N5" s="4">
        <f t="shared" si="0"/>
        <v>0</v>
      </c>
      <c r="O5" s="4">
        <f t="shared" si="0"/>
        <v>11242</v>
      </c>
      <c r="P5" s="4">
        <f t="shared" si="0"/>
        <v>1771.42</v>
      </c>
      <c r="Q5" s="4">
        <v>10196.799999999999</v>
      </c>
      <c r="R5" s="4">
        <f t="shared" si="0"/>
        <v>15269.2</v>
      </c>
      <c r="S5" s="4">
        <f t="shared" si="0"/>
        <v>15607.2</v>
      </c>
      <c r="T5" s="4">
        <f t="shared" si="0"/>
        <v>7470</v>
      </c>
      <c r="U5" s="4"/>
      <c r="V5" s="1"/>
      <c r="W5" s="1"/>
      <c r="X5" s="4">
        <f>SUM(X6:X500)</f>
        <v>1235.22</v>
      </c>
      <c r="Y5" s="4">
        <f>SUM(Y6:Y500)</f>
        <v>645.41999999999996</v>
      </c>
      <c r="Z5" s="1"/>
      <c r="AA5" s="4">
        <f>SUM(AA6:AA500)</f>
        <v>6443.2320000000009</v>
      </c>
      <c r="AB5" s="7"/>
      <c r="AC5" s="11">
        <f>SUM(AC6:AC500)</f>
        <v>1720</v>
      </c>
      <c r="AD5" s="4">
        <f>SUM(AD6:AD500)</f>
        <v>6638.9599999999991</v>
      </c>
      <c r="AE5" s="1"/>
      <c r="AF5" s="1"/>
      <c r="AG5" s="11">
        <f>SUM(AG6:AG500)</f>
        <v>19.210317460317462</v>
      </c>
      <c r="AH5" s="4">
        <f>SUM(AH6:AH500)</f>
        <v>710.57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4" t="s">
        <v>33</v>
      </c>
      <c r="B6" s="14" t="s">
        <v>34</v>
      </c>
      <c r="C6" s="14">
        <v>-6</v>
      </c>
      <c r="D6" s="14">
        <v>2</v>
      </c>
      <c r="E6" s="18">
        <v>52</v>
      </c>
      <c r="F6" s="18">
        <v>-65</v>
      </c>
      <c r="G6" s="15">
        <v>0</v>
      </c>
      <c r="H6" s="14"/>
      <c r="I6" s="14" t="s">
        <v>35</v>
      </c>
      <c r="J6" s="14" t="s">
        <v>36</v>
      </c>
      <c r="K6" s="14">
        <v>54</v>
      </c>
      <c r="L6" s="14">
        <f t="shared" ref="L6:L37" si="1">E6-K6</f>
        <v>-2</v>
      </c>
      <c r="M6" s="14"/>
      <c r="N6" s="14"/>
      <c r="O6" s="14"/>
      <c r="P6" s="14">
        <f t="shared" ref="P6:P37" si="2">E6/5</f>
        <v>10.4</v>
      </c>
      <c r="Q6" s="16"/>
      <c r="R6" s="16"/>
      <c r="S6" s="16"/>
      <c r="T6" s="23"/>
      <c r="U6" s="23"/>
      <c r="V6" s="14">
        <f t="shared" ref="V6:V37" si="3">(F6+O6+S6)/P6</f>
        <v>-6.25</v>
      </c>
      <c r="W6" s="14">
        <f t="shared" ref="W6:W37" si="4">(F6+O6)/P6</f>
        <v>-6.25</v>
      </c>
      <c r="X6" s="14">
        <v>10</v>
      </c>
      <c r="Y6" s="14">
        <v>6.8</v>
      </c>
      <c r="Z6" s="14"/>
      <c r="AA6" s="14"/>
      <c r="AB6" s="15"/>
      <c r="AC6" s="17"/>
      <c r="AD6" s="14"/>
      <c r="AE6" s="14"/>
      <c r="AF6" s="14"/>
      <c r="AG6" s="17"/>
      <c r="AH6" s="1">
        <f>P6*G6</f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4" t="s">
        <v>37</v>
      </c>
      <c r="B7" s="14" t="s">
        <v>34</v>
      </c>
      <c r="C7" s="14">
        <v>-3</v>
      </c>
      <c r="D7" s="14">
        <v>2</v>
      </c>
      <c r="E7" s="18">
        <v>26</v>
      </c>
      <c r="F7" s="18">
        <v>-28</v>
      </c>
      <c r="G7" s="15">
        <v>0</v>
      </c>
      <c r="H7" s="14"/>
      <c r="I7" s="14" t="s">
        <v>35</v>
      </c>
      <c r="J7" s="14" t="s">
        <v>38</v>
      </c>
      <c r="K7" s="14">
        <v>26</v>
      </c>
      <c r="L7" s="14">
        <f t="shared" si="1"/>
        <v>0</v>
      </c>
      <c r="M7" s="14"/>
      <c r="N7" s="14"/>
      <c r="O7" s="14"/>
      <c r="P7" s="14">
        <f t="shared" si="2"/>
        <v>5.2</v>
      </c>
      <c r="Q7" s="16"/>
      <c r="R7" s="16"/>
      <c r="S7" s="16"/>
      <c r="T7" s="23"/>
      <c r="U7" s="23"/>
      <c r="V7" s="14">
        <f t="shared" si="3"/>
        <v>-5.3846153846153841</v>
      </c>
      <c r="W7" s="14">
        <f t="shared" si="4"/>
        <v>-5.3846153846153841</v>
      </c>
      <c r="X7" s="14">
        <v>5</v>
      </c>
      <c r="Y7" s="14">
        <v>0.8</v>
      </c>
      <c r="Z7" s="14"/>
      <c r="AA7" s="14"/>
      <c r="AB7" s="15"/>
      <c r="AC7" s="17"/>
      <c r="AD7" s="14"/>
      <c r="AE7" s="14"/>
      <c r="AF7" s="14"/>
      <c r="AG7" s="17"/>
      <c r="AH7" s="1">
        <f t="shared" ref="AH7:AH70" si="5">P7*G7</f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" t="s">
        <v>39</v>
      </c>
      <c r="B8" s="1" t="s">
        <v>34</v>
      </c>
      <c r="C8" s="1">
        <v>70</v>
      </c>
      <c r="D8" s="1"/>
      <c r="E8" s="1">
        <v>11</v>
      </c>
      <c r="F8" s="1">
        <v>59</v>
      </c>
      <c r="G8" s="7">
        <v>0.22</v>
      </c>
      <c r="H8" s="1">
        <v>180</v>
      </c>
      <c r="I8" s="1" t="s">
        <v>40</v>
      </c>
      <c r="J8" s="1"/>
      <c r="K8" s="1">
        <v>11</v>
      </c>
      <c r="L8" s="1">
        <f t="shared" si="1"/>
        <v>0</v>
      </c>
      <c r="M8" s="1"/>
      <c r="N8" s="1"/>
      <c r="O8" s="1">
        <v>0</v>
      </c>
      <c r="P8" s="1">
        <f t="shared" si="2"/>
        <v>2.2000000000000002</v>
      </c>
      <c r="Q8" s="5"/>
      <c r="R8" s="5"/>
      <c r="S8" s="5">
        <f>AB8*AC8</f>
        <v>0</v>
      </c>
      <c r="T8" s="23"/>
      <c r="U8" s="23"/>
      <c r="V8" s="1">
        <f t="shared" si="3"/>
        <v>26.818181818181817</v>
      </c>
      <c r="W8" s="1">
        <f t="shared" si="4"/>
        <v>26.818181818181817</v>
      </c>
      <c r="X8" s="1">
        <v>1.6</v>
      </c>
      <c r="Y8" s="1">
        <v>2.2000000000000002</v>
      </c>
      <c r="Z8" s="20" t="s">
        <v>41</v>
      </c>
      <c r="AA8" s="1">
        <f>G8*R8</f>
        <v>0</v>
      </c>
      <c r="AB8" s="7">
        <v>12</v>
      </c>
      <c r="AC8" s="9">
        <f>MROUND(R8, AB8*AE8)/AB8</f>
        <v>0</v>
      </c>
      <c r="AD8" s="1">
        <f>AC8*AB8*G8</f>
        <v>0</v>
      </c>
      <c r="AE8" s="1">
        <v>14</v>
      </c>
      <c r="AF8" s="1">
        <v>70</v>
      </c>
      <c r="AG8" s="9">
        <f>AC8/AF8</f>
        <v>0</v>
      </c>
      <c r="AH8" s="1">
        <f t="shared" si="5"/>
        <v>0.48400000000000004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" t="s">
        <v>42</v>
      </c>
      <c r="B9" s="1" t="s">
        <v>34</v>
      </c>
      <c r="C9" s="1">
        <v>70</v>
      </c>
      <c r="D9" s="1">
        <v>4</v>
      </c>
      <c r="E9" s="1">
        <v>48</v>
      </c>
      <c r="F9" s="1">
        <v>14</v>
      </c>
      <c r="G9" s="7">
        <v>0.3</v>
      </c>
      <c r="H9" s="1">
        <v>180</v>
      </c>
      <c r="I9" s="1" t="s">
        <v>43</v>
      </c>
      <c r="J9" s="1"/>
      <c r="K9" s="1">
        <v>50</v>
      </c>
      <c r="L9" s="1">
        <f t="shared" si="1"/>
        <v>-2</v>
      </c>
      <c r="M9" s="1"/>
      <c r="N9" s="1"/>
      <c r="O9" s="1">
        <v>168</v>
      </c>
      <c r="P9" s="1">
        <f t="shared" si="2"/>
        <v>9.6</v>
      </c>
      <c r="Q9" s="5"/>
      <c r="R9" s="5"/>
      <c r="S9" s="5">
        <f>AB9*AC9</f>
        <v>0</v>
      </c>
      <c r="T9" s="23"/>
      <c r="U9" s="23"/>
      <c r="V9" s="1">
        <f t="shared" si="3"/>
        <v>18.958333333333336</v>
      </c>
      <c r="W9" s="1">
        <f t="shared" si="4"/>
        <v>18.958333333333336</v>
      </c>
      <c r="X9" s="1">
        <v>7.2</v>
      </c>
      <c r="Y9" s="1">
        <v>2.8</v>
      </c>
      <c r="Z9" s="1"/>
      <c r="AA9" s="1">
        <f>G9*R9</f>
        <v>0</v>
      </c>
      <c r="AB9" s="7">
        <v>12</v>
      </c>
      <c r="AC9" s="9">
        <f>MROUND(R9, AB9*AE9)/AB9</f>
        <v>0</v>
      </c>
      <c r="AD9" s="1">
        <f>AC9*AB9*G9</f>
        <v>0</v>
      </c>
      <c r="AE9" s="1">
        <v>14</v>
      </c>
      <c r="AF9" s="1">
        <v>70</v>
      </c>
      <c r="AG9" s="9">
        <f>AC9/AF9</f>
        <v>0</v>
      </c>
      <c r="AH9" s="1">
        <f t="shared" si="5"/>
        <v>2.88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4" t="s">
        <v>44</v>
      </c>
      <c r="B10" s="14" t="s">
        <v>34</v>
      </c>
      <c r="C10" s="14"/>
      <c r="D10" s="14"/>
      <c r="E10" s="18">
        <v>6</v>
      </c>
      <c r="F10" s="18">
        <v>-6</v>
      </c>
      <c r="G10" s="15">
        <v>0</v>
      </c>
      <c r="H10" s="14"/>
      <c r="I10" s="14" t="s">
        <v>45</v>
      </c>
      <c r="J10" s="14" t="s">
        <v>46</v>
      </c>
      <c r="K10" s="14">
        <v>7</v>
      </c>
      <c r="L10" s="14">
        <f t="shared" si="1"/>
        <v>-1</v>
      </c>
      <c r="M10" s="14"/>
      <c r="N10" s="14"/>
      <c r="O10" s="14"/>
      <c r="P10" s="14">
        <f t="shared" si="2"/>
        <v>1.2</v>
      </c>
      <c r="Q10" s="16"/>
      <c r="R10" s="16"/>
      <c r="S10" s="16"/>
      <c r="T10" s="23"/>
      <c r="U10" s="23"/>
      <c r="V10" s="14">
        <f t="shared" si="3"/>
        <v>-5</v>
      </c>
      <c r="W10" s="14">
        <f t="shared" si="4"/>
        <v>-5</v>
      </c>
      <c r="X10" s="14">
        <v>1.2</v>
      </c>
      <c r="Y10" s="14">
        <v>0</v>
      </c>
      <c r="Z10" s="14"/>
      <c r="AA10" s="14"/>
      <c r="AB10" s="15"/>
      <c r="AC10" s="17"/>
      <c r="AD10" s="14"/>
      <c r="AE10" s="14"/>
      <c r="AF10" s="14"/>
      <c r="AG10" s="17"/>
      <c r="AH10" s="1">
        <f t="shared" si="5"/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4" t="s">
        <v>47</v>
      </c>
      <c r="B11" s="14" t="s">
        <v>34</v>
      </c>
      <c r="C11" s="14">
        <v>166</v>
      </c>
      <c r="D11" s="14"/>
      <c r="E11" s="18">
        <v>108</v>
      </c>
      <c r="F11" s="18">
        <v>45</v>
      </c>
      <c r="G11" s="15">
        <v>0</v>
      </c>
      <c r="H11" s="14"/>
      <c r="I11" s="14" t="s">
        <v>45</v>
      </c>
      <c r="J11" s="14" t="s">
        <v>48</v>
      </c>
      <c r="K11" s="14">
        <v>78</v>
      </c>
      <c r="L11" s="14">
        <f t="shared" si="1"/>
        <v>30</v>
      </c>
      <c r="M11" s="14"/>
      <c r="N11" s="14"/>
      <c r="O11" s="14"/>
      <c r="P11" s="14">
        <f t="shared" si="2"/>
        <v>21.6</v>
      </c>
      <c r="Q11" s="16"/>
      <c r="R11" s="16"/>
      <c r="S11" s="16"/>
      <c r="T11" s="23"/>
      <c r="U11" s="23"/>
      <c r="V11" s="14">
        <f t="shared" si="3"/>
        <v>2.083333333333333</v>
      </c>
      <c r="W11" s="14">
        <f t="shared" si="4"/>
        <v>2.083333333333333</v>
      </c>
      <c r="X11" s="14">
        <v>13.2</v>
      </c>
      <c r="Y11" s="14">
        <v>2.8</v>
      </c>
      <c r="Z11" s="14"/>
      <c r="AA11" s="14"/>
      <c r="AB11" s="15"/>
      <c r="AC11" s="17"/>
      <c r="AD11" s="14"/>
      <c r="AE11" s="14"/>
      <c r="AF11" s="14"/>
      <c r="AG11" s="17"/>
      <c r="AH11" s="1">
        <f t="shared" si="5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4" t="s">
        <v>49</v>
      </c>
      <c r="B12" s="14" t="s">
        <v>34</v>
      </c>
      <c r="C12" s="14">
        <v>322</v>
      </c>
      <c r="D12" s="14">
        <v>76</v>
      </c>
      <c r="E12" s="18">
        <v>248</v>
      </c>
      <c r="F12" s="18">
        <v>20</v>
      </c>
      <c r="G12" s="15">
        <v>0</v>
      </c>
      <c r="H12" s="14">
        <v>180</v>
      </c>
      <c r="I12" s="14" t="s">
        <v>45</v>
      </c>
      <c r="J12" s="14" t="s">
        <v>50</v>
      </c>
      <c r="K12" s="14">
        <v>340</v>
      </c>
      <c r="L12" s="14">
        <f t="shared" si="1"/>
        <v>-92</v>
      </c>
      <c r="M12" s="14"/>
      <c r="N12" s="14"/>
      <c r="O12" s="14"/>
      <c r="P12" s="14">
        <f t="shared" si="2"/>
        <v>49.6</v>
      </c>
      <c r="Q12" s="16"/>
      <c r="R12" s="16"/>
      <c r="S12" s="16"/>
      <c r="T12" s="23"/>
      <c r="U12" s="23"/>
      <c r="V12" s="14">
        <f t="shared" si="3"/>
        <v>0.40322580645161288</v>
      </c>
      <c r="W12" s="14">
        <f t="shared" si="4"/>
        <v>0.40322580645161288</v>
      </c>
      <c r="X12" s="14">
        <v>27</v>
      </c>
      <c r="Y12" s="14">
        <v>21.2</v>
      </c>
      <c r="Z12" s="14"/>
      <c r="AA12" s="14"/>
      <c r="AB12" s="15"/>
      <c r="AC12" s="17"/>
      <c r="AD12" s="14"/>
      <c r="AE12" s="14"/>
      <c r="AF12" s="14"/>
      <c r="AG12" s="17"/>
      <c r="AH12" s="1">
        <f t="shared" si="5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4" t="s">
        <v>51</v>
      </c>
      <c r="B13" s="14" t="s">
        <v>34</v>
      </c>
      <c r="C13" s="14">
        <v>318</v>
      </c>
      <c r="D13" s="14">
        <v>24</v>
      </c>
      <c r="E13" s="18">
        <v>212</v>
      </c>
      <c r="F13" s="18">
        <v>72</v>
      </c>
      <c r="G13" s="15">
        <v>0</v>
      </c>
      <c r="H13" s="14"/>
      <c r="I13" s="14" t="s">
        <v>45</v>
      </c>
      <c r="J13" s="14" t="s">
        <v>52</v>
      </c>
      <c r="K13" s="14">
        <v>238</v>
      </c>
      <c r="L13" s="14">
        <f t="shared" si="1"/>
        <v>-26</v>
      </c>
      <c r="M13" s="14"/>
      <c r="N13" s="14"/>
      <c r="O13" s="14"/>
      <c r="P13" s="14">
        <f t="shared" si="2"/>
        <v>42.4</v>
      </c>
      <c r="Q13" s="16"/>
      <c r="R13" s="16"/>
      <c r="S13" s="16"/>
      <c r="T13" s="23"/>
      <c r="U13" s="23"/>
      <c r="V13" s="14">
        <f t="shared" si="3"/>
        <v>1.6981132075471699</v>
      </c>
      <c r="W13" s="14">
        <f t="shared" si="4"/>
        <v>1.6981132075471699</v>
      </c>
      <c r="X13" s="14">
        <v>25</v>
      </c>
      <c r="Y13" s="14">
        <v>8.4</v>
      </c>
      <c r="Z13" s="14"/>
      <c r="AA13" s="14"/>
      <c r="AB13" s="15"/>
      <c r="AC13" s="17"/>
      <c r="AD13" s="14"/>
      <c r="AE13" s="14"/>
      <c r="AF13" s="14"/>
      <c r="AG13" s="17"/>
      <c r="AH13" s="1">
        <f t="shared" si="5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53</v>
      </c>
      <c r="B14" s="1" t="s">
        <v>34</v>
      </c>
      <c r="C14" s="1">
        <v>252</v>
      </c>
      <c r="D14" s="1">
        <v>3</v>
      </c>
      <c r="E14" s="1">
        <v>85</v>
      </c>
      <c r="F14" s="1">
        <v>162</v>
      </c>
      <c r="G14" s="7">
        <v>0.28000000000000003</v>
      </c>
      <c r="H14" s="1">
        <v>180</v>
      </c>
      <c r="I14" s="1" t="s">
        <v>54</v>
      </c>
      <c r="J14" s="1"/>
      <c r="K14" s="1">
        <v>87</v>
      </c>
      <c r="L14" s="1">
        <f t="shared" si="1"/>
        <v>-2</v>
      </c>
      <c r="M14" s="1"/>
      <c r="N14" s="1"/>
      <c r="O14" s="1">
        <v>0</v>
      </c>
      <c r="P14" s="1">
        <f t="shared" si="2"/>
        <v>17</v>
      </c>
      <c r="Q14" s="5">
        <v>76</v>
      </c>
      <c r="R14" s="5">
        <f t="shared" ref="R14" si="6">14*P14-O14-F14</f>
        <v>76</v>
      </c>
      <c r="S14" s="5">
        <f>AB14*AC14</f>
        <v>84</v>
      </c>
      <c r="T14" s="23"/>
      <c r="U14" s="23"/>
      <c r="V14" s="1">
        <f t="shared" si="3"/>
        <v>14.470588235294118</v>
      </c>
      <c r="W14" s="1">
        <f t="shared" si="4"/>
        <v>9.5294117647058822</v>
      </c>
      <c r="X14" s="1">
        <v>11.2</v>
      </c>
      <c r="Y14" s="1">
        <v>2</v>
      </c>
      <c r="Z14" s="1"/>
      <c r="AA14" s="1">
        <f>G14*R14</f>
        <v>21.28</v>
      </c>
      <c r="AB14" s="7">
        <v>6</v>
      </c>
      <c r="AC14" s="9">
        <f>MROUND(R14, AB14*AE14)/AB14</f>
        <v>14</v>
      </c>
      <c r="AD14" s="1">
        <f>AC14*AB14*G14</f>
        <v>23.520000000000003</v>
      </c>
      <c r="AE14" s="1">
        <v>14</v>
      </c>
      <c r="AF14" s="1">
        <v>140</v>
      </c>
      <c r="AG14" s="9">
        <f>AC14/AF14</f>
        <v>0.1</v>
      </c>
      <c r="AH14" s="1">
        <f t="shared" si="5"/>
        <v>4.7600000000000007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" t="s">
        <v>55</v>
      </c>
      <c r="B15" s="1" t="s">
        <v>34</v>
      </c>
      <c r="C15" s="1">
        <v>94</v>
      </c>
      <c r="D15" s="1">
        <v>14</v>
      </c>
      <c r="E15" s="1">
        <v>82</v>
      </c>
      <c r="F15" s="1"/>
      <c r="G15" s="7">
        <v>0.24</v>
      </c>
      <c r="H15" s="1">
        <v>180</v>
      </c>
      <c r="I15" s="1" t="s">
        <v>56</v>
      </c>
      <c r="J15" s="1"/>
      <c r="K15" s="1">
        <v>126</v>
      </c>
      <c r="L15" s="1">
        <f t="shared" si="1"/>
        <v>-44</v>
      </c>
      <c r="M15" s="1"/>
      <c r="N15" s="1"/>
      <c r="O15" s="1">
        <v>168</v>
      </c>
      <c r="P15" s="1">
        <f t="shared" si="2"/>
        <v>16.399999999999999</v>
      </c>
      <c r="Q15" s="5">
        <v>94.399999999999977</v>
      </c>
      <c r="R15" s="5">
        <f>T15</f>
        <v>600</v>
      </c>
      <c r="S15" s="5">
        <f>AB15*AC15</f>
        <v>672</v>
      </c>
      <c r="T15" s="23">
        <f>VLOOKUP(A15,[1]Sheet!$A:$T,19,0)</f>
        <v>600</v>
      </c>
      <c r="U15" s="23" t="str">
        <f>VLOOKUP(A15,[1]Sheet!$A:$T,20,0)</f>
        <v>Сети</v>
      </c>
      <c r="V15" s="1">
        <f t="shared" si="3"/>
        <v>51.219512195121958</v>
      </c>
      <c r="W15" s="1">
        <f t="shared" si="4"/>
        <v>10.24390243902439</v>
      </c>
      <c r="X15" s="1">
        <v>17.600000000000001</v>
      </c>
      <c r="Y15" s="1">
        <v>14</v>
      </c>
      <c r="Z15" s="1"/>
      <c r="AA15" s="1">
        <f>G15*R15</f>
        <v>144</v>
      </c>
      <c r="AB15" s="7">
        <v>12</v>
      </c>
      <c r="AC15" s="9">
        <f>MROUND(R15, AB15*AE15)/AB15</f>
        <v>56</v>
      </c>
      <c r="AD15" s="1">
        <f>AC15*AB15*G15</f>
        <v>161.28</v>
      </c>
      <c r="AE15" s="1">
        <v>14</v>
      </c>
      <c r="AF15" s="1">
        <v>70</v>
      </c>
      <c r="AG15" s="9">
        <f>AC15/AF15</f>
        <v>0.8</v>
      </c>
      <c r="AH15" s="1">
        <f t="shared" si="5"/>
        <v>3.9359999999999995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4" t="s">
        <v>57</v>
      </c>
      <c r="B16" s="14" t="s">
        <v>34</v>
      </c>
      <c r="C16" s="14">
        <v>367</v>
      </c>
      <c r="D16" s="14">
        <v>47</v>
      </c>
      <c r="E16" s="18">
        <v>261</v>
      </c>
      <c r="F16" s="18">
        <v>91</v>
      </c>
      <c r="G16" s="15">
        <v>0</v>
      </c>
      <c r="H16" s="14">
        <v>180</v>
      </c>
      <c r="I16" s="14" t="s">
        <v>45</v>
      </c>
      <c r="J16" s="14" t="s">
        <v>58</v>
      </c>
      <c r="K16" s="14">
        <v>170</v>
      </c>
      <c r="L16" s="14">
        <f t="shared" si="1"/>
        <v>91</v>
      </c>
      <c r="M16" s="14"/>
      <c r="N16" s="14"/>
      <c r="O16" s="14"/>
      <c r="P16" s="14">
        <f t="shared" si="2"/>
        <v>52.2</v>
      </c>
      <c r="Q16" s="16"/>
      <c r="R16" s="16"/>
      <c r="S16" s="16"/>
      <c r="T16" s="23"/>
      <c r="U16" s="23"/>
      <c r="V16" s="14">
        <f t="shared" si="3"/>
        <v>1.743295019157088</v>
      </c>
      <c r="W16" s="14">
        <f t="shared" si="4"/>
        <v>1.743295019157088</v>
      </c>
      <c r="X16" s="14">
        <v>33.799999999999997</v>
      </c>
      <c r="Y16" s="14">
        <v>11.4</v>
      </c>
      <c r="Z16" s="14"/>
      <c r="AA16" s="14"/>
      <c r="AB16" s="15"/>
      <c r="AC16" s="17"/>
      <c r="AD16" s="14"/>
      <c r="AE16" s="14"/>
      <c r="AF16" s="14"/>
      <c r="AG16" s="17"/>
      <c r="AH16" s="1">
        <f t="shared" si="5"/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58</v>
      </c>
      <c r="B17" s="1" t="s">
        <v>34</v>
      </c>
      <c r="C17" s="1">
        <v>-48</v>
      </c>
      <c r="D17" s="1">
        <v>12</v>
      </c>
      <c r="E17" s="18">
        <f>15+E16</f>
        <v>276</v>
      </c>
      <c r="F17" s="18">
        <f>-51+F16</f>
        <v>40</v>
      </c>
      <c r="G17" s="7">
        <v>0.24</v>
      </c>
      <c r="H17" s="1">
        <v>180</v>
      </c>
      <c r="I17" s="1" t="s">
        <v>59</v>
      </c>
      <c r="J17" s="1"/>
      <c r="K17" s="1">
        <v>15</v>
      </c>
      <c r="L17" s="1">
        <f t="shared" si="1"/>
        <v>261</v>
      </c>
      <c r="M17" s="1"/>
      <c r="N17" s="1"/>
      <c r="O17" s="1">
        <v>168</v>
      </c>
      <c r="P17" s="1">
        <f t="shared" si="2"/>
        <v>55.2</v>
      </c>
      <c r="Q17" s="5">
        <v>564.80000000000007</v>
      </c>
      <c r="R17" s="5">
        <f t="shared" ref="R17:R18" si="7">14*P17-O17-F17</f>
        <v>564.80000000000007</v>
      </c>
      <c r="S17" s="5">
        <f>AB17*AC17</f>
        <v>504</v>
      </c>
      <c r="T17" s="23"/>
      <c r="U17" s="23"/>
      <c r="V17" s="1">
        <f t="shared" si="3"/>
        <v>12.89855072463768</v>
      </c>
      <c r="W17" s="1">
        <f t="shared" si="4"/>
        <v>3.7681159420289854</v>
      </c>
      <c r="X17" s="1">
        <v>31.4</v>
      </c>
      <c r="Y17" s="1">
        <v>18.600000000000001</v>
      </c>
      <c r="Z17" s="1"/>
      <c r="AA17" s="1">
        <f>G17*R17</f>
        <v>135.55200000000002</v>
      </c>
      <c r="AB17" s="7">
        <v>12</v>
      </c>
      <c r="AC17" s="9">
        <f>MROUND(R17, AB17*AE17)/AB17</f>
        <v>42</v>
      </c>
      <c r="AD17" s="1">
        <f>AC17*AB17*G17</f>
        <v>120.96</v>
      </c>
      <c r="AE17" s="1">
        <v>14</v>
      </c>
      <c r="AF17" s="1">
        <v>70</v>
      </c>
      <c r="AG17" s="9">
        <f>AC17/AF17</f>
        <v>0.6</v>
      </c>
      <c r="AH17" s="1">
        <f t="shared" si="5"/>
        <v>13.247999999999999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60</v>
      </c>
      <c r="B18" s="1" t="s">
        <v>34</v>
      </c>
      <c r="C18" s="1">
        <v>166</v>
      </c>
      <c r="D18" s="1">
        <v>43</v>
      </c>
      <c r="E18" s="1">
        <v>173</v>
      </c>
      <c r="F18" s="1">
        <v>-4</v>
      </c>
      <c r="G18" s="7">
        <v>0.24</v>
      </c>
      <c r="H18" s="1">
        <v>180</v>
      </c>
      <c r="I18" s="1" t="s">
        <v>61</v>
      </c>
      <c r="J18" s="1"/>
      <c r="K18" s="1">
        <v>177</v>
      </c>
      <c r="L18" s="1">
        <f t="shared" si="1"/>
        <v>-4</v>
      </c>
      <c r="M18" s="1"/>
      <c r="N18" s="1"/>
      <c r="O18" s="1">
        <v>168</v>
      </c>
      <c r="P18" s="1">
        <f t="shared" si="2"/>
        <v>34.6</v>
      </c>
      <c r="Q18" s="5">
        <v>320.40000000000003</v>
      </c>
      <c r="R18" s="5">
        <f t="shared" si="7"/>
        <v>320.40000000000003</v>
      </c>
      <c r="S18" s="5">
        <f>AB18*AC18</f>
        <v>336</v>
      </c>
      <c r="T18" s="23"/>
      <c r="U18" s="23"/>
      <c r="V18" s="1">
        <f t="shared" si="3"/>
        <v>14.450867052023121</v>
      </c>
      <c r="W18" s="1">
        <f t="shared" si="4"/>
        <v>4.7398843930635834</v>
      </c>
      <c r="X18" s="1">
        <v>20</v>
      </c>
      <c r="Y18" s="1">
        <v>18.399999999999999</v>
      </c>
      <c r="Z18" s="1"/>
      <c r="AA18" s="1">
        <f>G18*R18</f>
        <v>76.896000000000001</v>
      </c>
      <c r="AB18" s="7">
        <v>12</v>
      </c>
      <c r="AC18" s="9">
        <f>MROUND(R18, AB18*AE18)/AB18</f>
        <v>28</v>
      </c>
      <c r="AD18" s="1">
        <f>AC18*AB18*G18</f>
        <v>80.64</v>
      </c>
      <c r="AE18" s="1">
        <v>14</v>
      </c>
      <c r="AF18" s="1">
        <v>70</v>
      </c>
      <c r="AG18" s="9">
        <f>AC18/AF18</f>
        <v>0.4</v>
      </c>
      <c r="AH18" s="1">
        <f t="shared" si="5"/>
        <v>8.3040000000000003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4" t="s">
        <v>62</v>
      </c>
      <c r="B19" s="14" t="s">
        <v>34</v>
      </c>
      <c r="C19" s="14">
        <v>487</v>
      </c>
      <c r="D19" s="14">
        <v>8</v>
      </c>
      <c r="E19" s="18">
        <v>80</v>
      </c>
      <c r="F19" s="18">
        <v>415</v>
      </c>
      <c r="G19" s="15">
        <v>0</v>
      </c>
      <c r="H19" s="14">
        <v>180</v>
      </c>
      <c r="I19" s="14" t="s">
        <v>45</v>
      </c>
      <c r="J19" s="14" t="s">
        <v>36</v>
      </c>
      <c r="K19" s="14">
        <v>82</v>
      </c>
      <c r="L19" s="14">
        <f t="shared" si="1"/>
        <v>-2</v>
      </c>
      <c r="M19" s="14"/>
      <c r="N19" s="14"/>
      <c r="O19" s="14"/>
      <c r="P19" s="14">
        <f t="shared" si="2"/>
        <v>16</v>
      </c>
      <c r="Q19" s="16"/>
      <c r="R19" s="16"/>
      <c r="S19" s="16"/>
      <c r="T19" s="23"/>
      <c r="U19" s="23"/>
      <c r="V19" s="14">
        <f t="shared" si="3"/>
        <v>25.9375</v>
      </c>
      <c r="W19" s="14">
        <f t="shared" si="4"/>
        <v>25.9375</v>
      </c>
      <c r="X19" s="14">
        <v>3.8</v>
      </c>
      <c r="Y19" s="14">
        <v>3.4</v>
      </c>
      <c r="Z19" s="14"/>
      <c r="AA19" s="14"/>
      <c r="AB19" s="15"/>
      <c r="AC19" s="17"/>
      <c r="AD19" s="14"/>
      <c r="AE19" s="14"/>
      <c r="AF19" s="14"/>
      <c r="AG19" s="17"/>
      <c r="AH19" s="1">
        <f t="shared" si="5"/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4" t="s">
        <v>63</v>
      </c>
      <c r="B20" s="14" t="s">
        <v>34</v>
      </c>
      <c r="C20" s="14">
        <v>148</v>
      </c>
      <c r="D20" s="14">
        <v>10</v>
      </c>
      <c r="E20" s="18">
        <v>38</v>
      </c>
      <c r="F20" s="18">
        <v>114</v>
      </c>
      <c r="G20" s="15">
        <v>0</v>
      </c>
      <c r="H20" s="14">
        <v>180</v>
      </c>
      <c r="I20" s="14" t="s">
        <v>45</v>
      </c>
      <c r="J20" s="14" t="s">
        <v>64</v>
      </c>
      <c r="K20" s="14">
        <v>40</v>
      </c>
      <c r="L20" s="14">
        <f t="shared" si="1"/>
        <v>-2</v>
      </c>
      <c r="M20" s="14"/>
      <c r="N20" s="14"/>
      <c r="O20" s="14"/>
      <c r="P20" s="14">
        <f t="shared" si="2"/>
        <v>7.6</v>
      </c>
      <c r="Q20" s="16"/>
      <c r="R20" s="16"/>
      <c r="S20" s="16"/>
      <c r="T20" s="23"/>
      <c r="U20" s="23"/>
      <c r="V20" s="14">
        <f t="shared" si="3"/>
        <v>15</v>
      </c>
      <c r="W20" s="14">
        <f t="shared" si="4"/>
        <v>15</v>
      </c>
      <c r="X20" s="14">
        <v>1.2</v>
      </c>
      <c r="Y20" s="14">
        <v>2</v>
      </c>
      <c r="Z20" s="14"/>
      <c r="AA20" s="14"/>
      <c r="AB20" s="15"/>
      <c r="AC20" s="17"/>
      <c r="AD20" s="14"/>
      <c r="AE20" s="14"/>
      <c r="AF20" s="14"/>
      <c r="AG20" s="17"/>
      <c r="AH20" s="1">
        <f t="shared" si="5"/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36</v>
      </c>
      <c r="B21" s="1" t="s">
        <v>34</v>
      </c>
      <c r="C21" s="1">
        <v>24</v>
      </c>
      <c r="D21" s="1">
        <v>12</v>
      </c>
      <c r="E21" s="18">
        <f>36+E6+E19</f>
        <v>168</v>
      </c>
      <c r="F21" s="18">
        <f>-12+F6+F19</f>
        <v>338</v>
      </c>
      <c r="G21" s="7">
        <v>0.24</v>
      </c>
      <c r="H21" s="1">
        <v>180</v>
      </c>
      <c r="I21" s="1" t="s">
        <v>65</v>
      </c>
      <c r="J21" s="1"/>
      <c r="K21" s="1">
        <v>48</v>
      </c>
      <c r="L21" s="1">
        <f t="shared" si="1"/>
        <v>120</v>
      </c>
      <c r="M21" s="1"/>
      <c r="N21" s="1"/>
      <c r="O21" s="1">
        <v>0</v>
      </c>
      <c r="P21" s="1">
        <f t="shared" si="2"/>
        <v>33.6</v>
      </c>
      <c r="Q21" s="5">
        <v>132.40000000000003</v>
      </c>
      <c r="R21" s="5">
        <f t="shared" ref="R21:R72" si="8">14*P21-O21-F21</f>
        <v>132.40000000000003</v>
      </c>
      <c r="S21" s="5">
        <f t="shared" ref="S21:S52" si="9">AB21*AC21</f>
        <v>168</v>
      </c>
      <c r="T21" s="23"/>
      <c r="U21" s="23"/>
      <c r="V21" s="1">
        <f t="shared" si="3"/>
        <v>15.059523809523808</v>
      </c>
      <c r="W21" s="1">
        <f t="shared" si="4"/>
        <v>10.059523809523808</v>
      </c>
      <c r="X21" s="1">
        <v>21</v>
      </c>
      <c r="Y21" s="1">
        <v>17.399999999999999</v>
      </c>
      <c r="Z21" s="1"/>
      <c r="AA21" s="1">
        <f t="shared" ref="AA21:AA52" si="10">G21*R21</f>
        <v>31.776000000000007</v>
      </c>
      <c r="AB21" s="7">
        <v>12</v>
      </c>
      <c r="AC21" s="9">
        <f t="shared" ref="AC21:AC52" si="11">MROUND(R21, AB21*AE21)/AB21</f>
        <v>14</v>
      </c>
      <c r="AD21" s="1">
        <f t="shared" ref="AD21:AD52" si="12">AC21*AB21*G21</f>
        <v>40.32</v>
      </c>
      <c r="AE21" s="1">
        <v>14</v>
      </c>
      <c r="AF21" s="1">
        <v>70</v>
      </c>
      <c r="AG21" s="9">
        <f t="shared" ref="AG21:AG52" si="13">AC21/AF21</f>
        <v>0.2</v>
      </c>
      <c r="AH21" s="1">
        <f t="shared" si="5"/>
        <v>8.0640000000000001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9" t="s">
        <v>64</v>
      </c>
      <c r="B22" s="1" t="s">
        <v>34</v>
      </c>
      <c r="C22" s="1"/>
      <c r="D22" s="1"/>
      <c r="E22" s="18">
        <f>0+E20</f>
        <v>38</v>
      </c>
      <c r="F22" s="18">
        <f>0+F20</f>
        <v>114</v>
      </c>
      <c r="G22" s="7">
        <v>0.48</v>
      </c>
      <c r="H22" s="1">
        <v>180</v>
      </c>
      <c r="I22" s="1" t="s">
        <v>66</v>
      </c>
      <c r="J22" s="1"/>
      <c r="K22" s="1"/>
      <c r="L22" s="1">
        <f t="shared" si="1"/>
        <v>38</v>
      </c>
      <c r="M22" s="1"/>
      <c r="N22" s="1"/>
      <c r="O22" s="1">
        <v>0</v>
      </c>
      <c r="P22" s="1">
        <f t="shared" si="2"/>
        <v>7.6</v>
      </c>
      <c r="Q22" s="5"/>
      <c r="R22" s="5"/>
      <c r="S22" s="5">
        <f t="shared" si="9"/>
        <v>0</v>
      </c>
      <c r="T22" s="23"/>
      <c r="U22" s="23"/>
      <c r="V22" s="1">
        <f t="shared" si="3"/>
        <v>15</v>
      </c>
      <c r="W22" s="1">
        <f t="shared" si="4"/>
        <v>15</v>
      </c>
      <c r="X22" s="1">
        <v>1.2</v>
      </c>
      <c r="Y22" s="1">
        <v>2</v>
      </c>
      <c r="Z22" s="1"/>
      <c r="AA22" s="1">
        <f t="shared" si="10"/>
        <v>0</v>
      </c>
      <c r="AB22" s="7">
        <v>8</v>
      </c>
      <c r="AC22" s="9">
        <f t="shared" si="11"/>
        <v>0</v>
      </c>
      <c r="AD22" s="1">
        <f t="shared" si="12"/>
        <v>0</v>
      </c>
      <c r="AE22" s="1">
        <v>14</v>
      </c>
      <c r="AF22" s="1">
        <v>70</v>
      </c>
      <c r="AG22" s="9">
        <f t="shared" si="13"/>
        <v>0</v>
      </c>
      <c r="AH22" s="1">
        <f t="shared" si="5"/>
        <v>3.6479999999999997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9" t="s">
        <v>67</v>
      </c>
      <c r="B23" s="1" t="s">
        <v>34</v>
      </c>
      <c r="C23" s="1">
        <v>246</v>
      </c>
      <c r="D23" s="1">
        <v>33</v>
      </c>
      <c r="E23" s="1">
        <v>196</v>
      </c>
      <c r="F23" s="1">
        <v>74</v>
      </c>
      <c r="G23" s="7">
        <v>0.09</v>
      </c>
      <c r="H23" s="1">
        <v>180</v>
      </c>
      <c r="I23" s="1" t="s">
        <v>68</v>
      </c>
      <c r="J23" s="1"/>
      <c r="K23" s="1">
        <v>211</v>
      </c>
      <c r="L23" s="1">
        <f t="shared" si="1"/>
        <v>-15</v>
      </c>
      <c r="M23" s="1"/>
      <c r="N23" s="1"/>
      <c r="O23" s="1">
        <v>336</v>
      </c>
      <c r="P23" s="1">
        <f t="shared" si="2"/>
        <v>39.200000000000003</v>
      </c>
      <c r="Q23" s="5">
        <v>178</v>
      </c>
      <c r="R23" s="5">
        <f>T23</f>
        <v>400</v>
      </c>
      <c r="S23" s="5">
        <f t="shared" si="9"/>
        <v>336</v>
      </c>
      <c r="T23" s="23">
        <f>VLOOKUP(A23,[1]Sheet!$A:$T,19,0)</f>
        <v>400</v>
      </c>
      <c r="U23" s="23" t="str">
        <f>VLOOKUP(A23,[1]Sheet!$A:$T,20,0)</f>
        <v>Сети</v>
      </c>
      <c r="V23" s="1">
        <f t="shared" si="3"/>
        <v>19.030612244897959</v>
      </c>
      <c r="W23" s="1">
        <f t="shared" si="4"/>
        <v>10.459183673469386</v>
      </c>
      <c r="X23" s="1">
        <v>21.4</v>
      </c>
      <c r="Y23" s="1">
        <v>9.1999999999999993</v>
      </c>
      <c r="Z23" s="1"/>
      <c r="AA23" s="1">
        <f t="shared" si="10"/>
        <v>36</v>
      </c>
      <c r="AB23" s="7">
        <v>24</v>
      </c>
      <c r="AC23" s="9">
        <f t="shared" si="11"/>
        <v>14</v>
      </c>
      <c r="AD23" s="1">
        <f t="shared" si="12"/>
        <v>30.24</v>
      </c>
      <c r="AE23" s="1">
        <v>14</v>
      </c>
      <c r="AF23" s="1">
        <v>126</v>
      </c>
      <c r="AG23" s="9">
        <f t="shared" si="13"/>
        <v>0.1111111111111111</v>
      </c>
      <c r="AH23" s="1">
        <f t="shared" si="5"/>
        <v>3.528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9" t="s">
        <v>69</v>
      </c>
      <c r="B24" s="1" t="s">
        <v>34</v>
      </c>
      <c r="C24" s="1">
        <v>8</v>
      </c>
      <c r="D24" s="1">
        <v>1</v>
      </c>
      <c r="E24" s="1">
        <v>9</v>
      </c>
      <c r="F24" s="1"/>
      <c r="G24" s="7">
        <v>0.36</v>
      </c>
      <c r="H24" s="1">
        <v>180</v>
      </c>
      <c r="I24" s="1" t="s">
        <v>70</v>
      </c>
      <c r="J24" s="1"/>
      <c r="K24" s="1">
        <v>22</v>
      </c>
      <c r="L24" s="1">
        <f t="shared" si="1"/>
        <v>-13</v>
      </c>
      <c r="M24" s="1"/>
      <c r="N24" s="1"/>
      <c r="O24" s="1">
        <v>0</v>
      </c>
      <c r="P24" s="1">
        <f t="shared" si="2"/>
        <v>1.8</v>
      </c>
      <c r="Q24" s="22">
        <v>0</v>
      </c>
      <c r="R24" s="22">
        <v>0</v>
      </c>
      <c r="S24" s="22">
        <f t="shared" si="9"/>
        <v>0</v>
      </c>
      <c r="T24" s="23"/>
      <c r="U24" s="23"/>
      <c r="V24" s="1">
        <f t="shared" si="3"/>
        <v>0</v>
      </c>
      <c r="W24" s="1">
        <f t="shared" si="4"/>
        <v>0</v>
      </c>
      <c r="X24" s="1">
        <v>1.8</v>
      </c>
      <c r="Y24" s="1">
        <v>7.2</v>
      </c>
      <c r="Z24" s="13" t="s">
        <v>71</v>
      </c>
      <c r="AA24" s="1">
        <f t="shared" si="10"/>
        <v>0</v>
      </c>
      <c r="AB24" s="7">
        <v>10</v>
      </c>
      <c r="AC24" s="9">
        <f t="shared" si="11"/>
        <v>0</v>
      </c>
      <c r="AD24" s="1">
        <f t="shared" si="12"/>
        <v>0</v>
      </c>
      <c r="AE24" s="1">
        <v>14</v>
      </c>
      <c r="AF24" s="1">
        <v>70</v>
      </c>
      <c r="AG24" s="9">
        <f t="shared" si="13"/>
        <v>0</v>
      </c>
      <c r="AH24" s="1">
        <f t="shared" si="5"/>
        <v>0.64800000000000002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9" t="s">
        <v>72</v>
      </c>
      <c r="B25" s="1" t="s">
        <v>34</v>
      </c>
      <c r="C25" s="1">
        <v>96</v>
      </c>
      <c r="D25" s="1">
        <v>8</v>
      </c>
      <c r="E25" s="1">
        <v>23</v>
      </c>
      <c r="F25" s="1">
        <v>70</v>
      </c>
      <c r="G25" s="7">
        <v>0.2</v>
      </c>
      <c r="H25" s="1">
        <v>180</v>
      </c>
      <c r="I25" s="1" t="s">
        <v>73</v>
      </c>
      <c r="J25" s="1"/>
      <c r="K25" s="1">
        <v>31</v>
      </c>
      <c r="L25" s="1">
        <f t="shared" si="1"/>
        <v>-8</v>
      </c>
      <c r="M25" s="1"/>
      <c r="N25" s="1"/>
      <c r="O25" s="1">
        <v>0</v>
      </c>
      <c r="P25" s="1">
        <f t="shared" si="2"/>
        <v>4.5999999999999996</v>
      </c>
      <c r="Q25" s="5"/>
      <c r="R25" s="5"/>
      <c r="S25" s="5">
        <f t="shared" si="9"/>
        <v>0</v>
      </c>
      <c r="T25" s="23"/>
      <c r="U25" s="23"/>
      <c r="V25" s="1">
        <f t="shared" si="3"/>
        <v>15.217391304347828</v>
      </c>
      <c r="W25" s="1">
        <f t="shared" si="4"/>
        <v>15.217391304347828</v>
      </c>
      <c r="X25" s="1">
        <v>1.4</v>
      </c>
      <c r="Y25" s="1">
        <v>0.4</v>
      </c>
      <c r="Z25" s="1"/>
      <c r="AA25" s="1">
        <f t="shared" si="10"/>
        <v>0</v>
      </c>
      <c r="AB25" s="7">
        <v>12</v>
      </c>
      <c r="AC25" s="9">
        <f t="shared" si="11"/>
        <v>0</v>
      </c>
      <c r="AD25" s="1">
        <f t="shared" si="12"/>
        <v>0</v>
      </c>
      <c r="AE25" s="1">
        <v>14</v>
      </c>
      <c r="AF25" s="1">
        <v>70</v>
      </c>
      <c r="AG25" s="9">
        <f t="shared" si="13"/>
        <v>0</v>
      </c>
      <c r="AH25" s="1">
        <f t="shared" si="5"/>
        <v>0.91999999999999993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9" t="s">
        <v>74</v>
      </c>
      <c r="B26" s="1" t="s">
        <v>34</v>
      </c>
      <c r="C26" s="1">
        <v>497</v>
      </c>
      <c r="D26" s="1">
        <v>40</v>
      </c>
      <c r="E26" s="1">
        <v>313</v>
      </c>
      <c r="F26" s="1">
        <v>166</v>
      </c>
      <c r="G26" s="7">
        <v>0.2</v>
      </c>
      <c r="H26" s="1">
        <v>180</v>
      </c>
      <c r="I26" s="1" t="s">
        <v>75</v>
      </c>
      <c r="J26" s="1"/>
      <c r="K26" s="1">
        <v>294</v>
      </c>
      <c r="L26" s="1">
        <f t="shared" si="1"/>
        <v>19</v>
      </c>
      <c r="M26" s="1"/>
      <c r="N26" s="1"/>
      <c r="O26" s="1">
        <v>336</v>
      </c>
      <c r="P26" s="1">
        <f t="shared" si="2"/>
        <v>62.6</v>
      </c>
      <c r="Q26" s="5">
        <v>374.4</v>
      </c>
      <c r="R26" s="5">
        <f t="shared" si="8"/>
        <v>374.4</v>
      </c>
      <c r="S26" s="5">
        <f t="shared" si="9"/>
        <v>336</v>
      </c>
      <c r="T26" s="23"/>
      <c r="U26" s="23"/>
      <c r="V26" s="1">
        <f t="shared" si="3"/>
        <v>13.386581469648561</v>
      </c>
      <c r="W26" s="1">
        <f t="shared" si="4"/>
        <v>8.0191693290734829</v>
      </c>
      <c r="X26" s="1">
        <v>36</v>
      </c>
      <c r="Y26" s="1">
        <v>11.2</v>
      </c>
      <c r="Z26" s="1"/>
      <c r="AA26" s="1">
        <f t="shared" si="10"/>
        <v>74.88</v>
      </c>
      <c r="AB26" s="7">
        <v>12</v>
      </c>
      <c r="AC26" s="9">
        <f t="shared" si="11"/>
        <v>28</v>
      </c>
      <c r="AD26" s="1">
        <f t="shared" si="12"/>
        <v>67.2</v>
      </c>
      <c r="AE26" s="1">
        <v>14</v>
      </c>
      <c r="AF26" s="1">
        <v>70</v>
      </c>
      <c r="AG26" s="9">
        <f t="shared" si="13"/>
        <v>0.4</v>
      </c>
      <c r="AH26" s="1">
        <f t="shared" si="5"/>
        <v>12.520000000000001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9" t="s">
        <v>46</v>
      </c>
      <c r="B27" s="1" t="s">
        <v>34</v>
      </c>
      <c r="C27" s="1">
        <v>71</v>
      </c>
      <c r="D27" s="1">
        <v>2</v>
      </c>
      <c r="E27" s="18">
        <f>52+E10</f>
        <v>58</v>
      </c>
      <c r="F27" s="18">
        <f>7+F10</f>
        <v>1</v>
      </c>
      <c r="G27" s="7">
        <v>0.2</v>
      </c>
      <c r="H27" s="1">
        <v>180</v>
      </c>
      <c r="I27" s="1" t="s">
        <v>76</v>
      </c>
      <c r="J27" s="1"/>
      <c r="K27" s="1">
        <v>222</v>
      </c>
      <c r="L27" s="1">
        <f t="shared" si="1"/>
        <v>-164</v>
      </c>
      <c r="M27" s="1"/>
      <c r="N27" s="1"/>
      <c r="O27" s="1">
        <v>168</v>
      </c>
      <c r="P27" s="1">
        <f t="shared" si="2"/>
        <v>11.6</v>
      </c>
      <c r="Q27" s="5"/>
      <c r="R27" s="5">
        <f t="shared" ref="R27:R28" si="14">T27</f>
        <v>1100</v>
      </c>
      <c r="S27" s="5">
        <f t="shared" si="9"/>
        <v>1176</v>
      </c>
      <c r="T27" s="23">
        <f>VLOOKUP(A27,[1]Sheet!$A:$T,19,0)</f>
        <v>1100</v>
      </c>
      <c r="U27" s="23" t="str">
        <f>VLOOKUP(A27,[1]Sheet!$A:$T,20,0)</f>
        <v>Сети</v>
      </c>
      <c r="V27" s="1">
        <f t="shared" si="3"/>
        <v>115.94827586206897</v>
      </c>
      <c r="W27" s="1">
        <f t="shared" si="4"/>
        <v>14.568965517241379</v>
      </c>
      <c r="X27" s="1">
        <v>12.2</v>
      </c>
      <c r="Y27" s="1">
        <v>14.8</v>
      </c>
      <c r="Z27" s="1"/>
      <c r="AA27" s="1">
        <f t="shared" si="10"/>
        <v>220</v>
      </c>
      <c r="AB27" s="7">
        <v>12</v>
      </c>
      <c r="AC27" s="9">
        <f t="shared" si="11"/>
        <v>98</v>
      </c>
      <c r="AD27" s="1">
        <f t="shared" si="12"/>
        <v>235.20000000000002</v>
      </c>
      <c r="AE27" s="1">
        <v>14</v>
      </c>
      <c r="AF27" s="1">
        <v>70</v>
      </c>
      <c r="AG27" s="9">
        <f t="shared" si="13"/>
        <v>1.4</v>
      </c>
      <c r="AH27" s="1">
        <f t="shared" si="5"/>
        <v>2.3199999999999998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9" t="s">
        <v>77</v>
      </c>
      <c r="B28" s="1" t="s">
        <v>78</v>
      </c>
      <c r="C28" s="1">
        <v>103.6</v>
      </c>
      <c r="D28" s="1">
        <v>7.4</v>
      </c>
      <c r="E28" s="1">
        <v>14.1</v>
      </c>
      <c r="F28" s="1">
        <v>82.1</v>
      </c>
      <c r="G28" s="7">
        <v>1</v>
      </c>
      <c r="H28" s="1">
        <v>180</v>
      </c>
      <c r="I28" s="1" t="s">
        <v>79</v>
      </c>
      <c r="J28" s="1"/>
      <c r="K28" s="1">
        <v>27.8</v>
      </c>
      <c r="L28" s="1">
        <f t="shared" si="1"/>
        <v>-13.700000000000001</v>
      </c>
      <c r="M28" s="1"/>
      <c r="N28" s="1"/>
      <c r="O28" s="1">
        <v>0</v>
      </c>
      <c r="P28" s="1">
        <f t="shared" si="2"/>
        <v>2.82</v>
      </c>
      <c r="Q28" s="5"/>
      <c r="R28" s="5">
        <f t="shared" si="14"/>
        <v>200</v>
      </c>
      <c r="S28" s="5">
        <f t="shared" si="9"/>
        <v>207.20000000000002</v>
      </c>
      <c r="T28" s="23">
        <f>VLOOKUP(A28,[1]Sheet!$A:$T,19,0)</f>
        <v>200</v>
      </c>
      <c r="U28" s="23" t="str">
        <f>VLOOKUP(A28,[1]Sheet!$A:$T,20,0)</f>
        <v>Сети</v>
      </c>
      <c r="V28" s="1">
        <f t="shared" si="3"/>
        <v>102.58865248226951</v>
      </c>
      <c r="W28" s="1">
        <f t="shared" si="4"/>
        <v>29.113475177304963</v>
      </c>
      <c r="X28" s="1">
        <v>2.82</v>
      </c>
      <c r="Y28" s="1">
        <v>2.2200000000000002</v>
      </c>
      <c r="Z28" s="1"/>
      <c r="AA28" s="1">
        <f t="shared" si="10"/>
        <v>200</v>
      </c>
      <c r="AB28" s="7">
        <v>3.7</v>
      </c>
      <c r="AC28" s="9">
        <f t="shared" si="11"/>
        <v>56</v>
      </c>
      <c r="AD28" s="1">
        <f t="shared" si="12"/>
        <v>207.20000000000002</v>
      </c>
      <c r="AE28" s="1">
        <v>14</v>
      </c>
      <c r="AF28" s="1">
        <v>126</v>
      </c>
      <c r="AG28" s="9">
        <f t="shared" si="13"/>
        <v>0.44444444444444442</v>
      </c>
      <c r="AH28" s="1">
        <f t="shared" si="5"/>
        <v>2.82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9" t="s">
        <v>80</v>
      </c>
      <c r="B29" s="1" t="s">
        <v>78</v>
      </c>
      <c r="C29" s="1">
        <v>30</v>
      </c>
      <c r="D29" s="1">
        <v>3</v>
      </c>
      <c r="E29" s="1">
        <v>12</v>
      </c>
      <c r="F29" s="1">
        <v>15</v>
      </c>
      <c r="G29" s="7">
        <v>1</v>
      </c>
      <c r="H29" s="1">
        <v>180</v>
      </c>
      <c r="I29" s="1" t="s">
        <v>81</v>
      </c>
      <c r="J29" s="1"/>
      <c r="K29" s="1">
        <v>21</v>
      </c>
      <c r="L29" s="1">
        <f t="shared" si="1"/>
        <v>-9</v>
      </c>
      <c r="M29" s="1"/>
      <c r="N29" s="1"/>
      <c r="O29" s="1">
        <v>42</v>
      </c>
      <c r="P29" s="1">
        <f t="shared" si="2"/>
        <v>2.4</v>
      </c>
      <c r="Q29" s="5"/>
      <c r="R29" s="5"/>
      <c r="S29" s="5">
        <f t="shared" si="9"/>
        <v>0</v>
      </c>
      <c r="T29" s="23"/>
      <c r="U29" s="23"/>
      <c r="V29" s="1">
        <f t="shared" si="3"/>
        <v>23.75</v>
      </c>
      <c r="W29" s="1">
        <f t="shared" si="4"/>
        <v>23.75</v>
      </c>
      <c r="X29" s="1">
        <v>2.4</v>
      </c>
      <c r="Y29" s="1">
        <v>0.6</v>
      </c>
      <c r="Z29" s="1"/>
      <c r="AA29" s="1">
        <f t="shared" si="10"/>
        <v>0</v>
      </c>
      <c r="AB29" s="7">
        <v>3</v>
      </c>
      <c r="AC29" s="9">
        <f t="shared" si="11"/>
        <v>0</v>
      </c>
      <c r="AD29" s="1">
        <f t="shared" si="12"/>
        <v>0</v>
      </c>
      <c r="AE29" s="1">
        <v>14</v>
      </c>
      <c r="AF29" s="1">
        <v>126</v>
      </c>
      <c r="AG29" s="9">
        <f t="shared" si="13"/>
        <v>0</v>
      </c>
      <c r="AH29" s="1">
        <f t="shared" si="5"/>
        <v>2.4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9" t="s">
        <v>38</v>
      </c>
      <c r="B30" s="1" t="s">
        <v>34</v>
      </c>
      <c r="C30" s="1">
        <v>427</v>
      </c>
      <c r="D30" s="1">
        <v>55</v>
      </c>
      <c r="E30" s="18">
        <f>377+E7</f>
        <v>403</v>
      </c>
      <c r="F30" s="18">
        <f>21+F7</f>
        <v>-7</v>
      </c>
      <c r="G30" s="7">
        <v>0.25</v>
      </c>
      <c r="H30" s="1">
        <v>365</v>
      </c>
      <c r="I30" s="1" t="s">
        <v>82</v>
      </c>
      <c r="J30" s="1"/>
      <c r="K30" s="1">
        <v>350</v>
      </c>
      <c r="L30" s="1">
        <f t="shared" si="1"/>
        <v>53</v>
      </c>
      <c r="M30" s="1"/>
      <c r="N30" s="1"/>
      <c r="O30" s="1">
        <v>504</v>
      </c>
      <c r="P30" s="1">
        <f t="shared" si="2"/>
        <v>80.599999999999994</v>
      </c>
      <c r="Q30" s="5">
        <v>631.39999999999986</v>
      </c>
      <c r="R30" s="5">
        <f>T30</f>
        <v>1000</v>
      </c>
      <c r="S30" s="5">
        <f t="shared" si="9"/>
        <v>1008</v>
      </c>
      <c r="T30" s="23">
        <f>VLOOKUP(A30,[1]Sheet!$A:$T,19,0)</f>
        <v>1000</v>
      </c>
      <c r="U30" s="23" t="str">
        <f>VLOOKUP(A30,[1]Sheet!$A:$T,20,0)</f>
        <v>Сети</v>
      </c>
      <c r="V30" s="1">
        <f t="shared" si="3"/>
        <v>18.672456575682382</v>
      </c>
      <c r="W30" s="1">
        <f t="shared" si="4"/>
        <v>6.1662531017369728</v>
      </c>
      <c r="X30" s="1">
        <v>56.2</v>
      </c>
      <c r="Y30" s="1">
        <v>34</v>
      </c>
      <c r="Z30" s="1"/>
      <c r="AA30" s="1">
        <f t="shared" si="10"/>
        <v>250</v>
      </c>
      <c r="AB30" s="7">
        <v>6</v>
      </c>
      <c r="AC30" s="9">
        <f t="shared" si="11"/>
        <v>168</v>
      </c>
      <c r="AD30" s="1">
        <f t="shared" si="12"/>
        <v>252</v>
      </c>
      <c r="AE30" s="1">
        <v>14</v>
      </c>
      <c r="AF30" s="1">
        <v>140</v>
      </c>
      <c r="AG30" s="9">
        <f t="shared" si="13"/>
        <v>1.2</v>
      </c>
      <c r="AH30" s="1">
        <f t="shared" si="5"/>
        <v>20.149999999999999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9" t="s">
        <v>83</v>
      </c>
      <c r="B31" s="1" t="s">
        <v>34</v>
      </c>
      <c r="C31" s="1"/>
      <c r="D31" s="1"/>
      <c r="E31" s="1"/>
      <c r="F31" s="1"/>
      <c r="G31" s="7">
        <v>0.25</v>
      </c>
      <c r="H31" s="1">
        <v>365</v>
      </c>
      <c r="I31" s="1" t="s">
        <v>84</v>
      </c>
      <c r="J31" s="1"/>
      <c r="K31" s="1">
        <v>135</v>
      </c>
      <c r="L31" s="1">
        <f t="shared" si="1"/>
        <v>-135</v>
      </c>
      <c r="M31" s="1"/>
      <c r="N31" s="1"/>
      <c r="O31" s="1">
        <v>252</v>
      </c>
      <c r="P31" s="1">
        <f t="shared" si="2"/>
        <v>0</v>
      </c>
      <c r="Q31" s="5"/>
      <c r="R31" s="5"/>
      <c r="S31" s="5">
        <f t="shared" si="9"/>
        <v>0</v>
      </c>
      <c r="T31" s="23"/>
      <c r="U31" s="23"/>
      <c r="V31" s="1" t="e">
        <f t="shared" si="3"/>
        <v>#DIV/0!</v>
      </c>
      <c r="W31" s="1" t="e">
        <f t="shared" si="4"/>
        <v>#DIV/0!</v>
      </c>
      <c r="X31" s="1">
        <v>0</v>
      </c>
      <c r="Y31" s="1">
        <v>0</v>
      </c>
      <c r="Z31" s="1"/>
      <c r="AA31" s="1">
        <f t="shared" si="10"/>
        <v>0</v>
      </c>
      <c r="AB31" s="7">
        <v>6</v>
      </c>
      <c r="AC31" s="9">
        <f t="shared" si="11"/>
        <v>0</v>
      </c>
      <c r="AD31" s="1">
        <f t="shared" si="12"/>
        <v>0</v>
      </c>
      <c r="AE31" s="1">
        <v>14</v>
      </c>
      <c r="AF31" s="1">
        <v>140</v>
      </c>
      <c r="AG31" s="9">
        <f t="shared" si="13"/>
        <v>0</v>
      </c>
      <c r="AH31" s="1">
        <f t="shared" si="5"/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9" t="s">
        <v>85</v>
      </c>
      <c r="B32" s="1" t="s">
        <v>78</v>
      </c>
      <c r="C32" s="1">
        <v>54</v>
      </c>
      <c r="D32" s="1"/>
      <c r="E32" s="1">
        <v>30</v>
      </c>
      <c r="F32" s="1">
        <v>18</v>
      </c>
      <c r="G32" s="7">
        <v>1</v>
      </c>
      <c r="H32" s="1">
        <v>180</v>
      </c>
      <c r="I32" s="1" t="s">
        <v>86</v>
      </c>
      <c r="J32" s="1"/>
      <c r="K32" s="1">
        <v>30</v>
      </c>
      <c r="L32" s="1">
        <f t="shared" si="1"/>
        <v>0</v>
      </c>
      <c r="M32" s="1"/>
      <c r="N32" s="1"/>
      <c r="O32" s="1">
        <v>72</v>
      </c>
      <c r="P32" s="1">
        <f t="shared" si="2"/>
        <v>6</v>
      </c>
      <c r="Q32" s="5"/>
      <c r="R32" s="5"/>
      <c r="S32" s="5">
        <f t="shared" si="9"/>
        <v>0</v>
      </c>
      <c r="T32" s="23"/>
      <c r="U32" s="23"/>
      <c r="V32" s="1">
        <f t="shared" si="3"/>
        <v>15</v>
      </c>
      <c r="W32" s="1">
        <f t="shared" si="4"/>
        <v>15</v>
      </c>
      <c r="X32" s="1">
        <v>3.6</v>
      </c>
      <c r="Y32" s="1">
        <v>7.2</v>
      </c>
      <c r="Z32" s="1"/>
      <c r="AA32" s="1">
        <f t="shared" si="10"/>
        <v>0</v>
      </c>
      <c r="AB32" s="7">
        <v>6</v>
      </c>
      <c r="AC32" s="9">
        <f t="shared" si="11"/>
        <v>0</v>
      </c>
      <c r="AD32" s="1">
        <f t="shared" si="12"/>
        <v>0</v>
      </c>
      <c r="AE32" s="1">
        <v>12</v>
      </c>
      <c r="AF32" s="1">
        <v>84</v>
      </c>
      <c r="AG32" s="9">
        <f t="shared" si="13"/>
        <v>0</v>
      </c>
      <c r="AH32" s="1">
        <f t="shared" si="5"/>
        <v>6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9" t="s">
        <v>87</v>
      </c>
      <c r="B33" s="1" t="s">
        <v>34</v>
      </c>
      <c r="C33" s="1">
        <v>72</v>
      </c>
      <c r="D33" s="1">
        <v>14</v>
      </c>
      <c r="E33" s="1">
        <v>48</v>
      </c>
      <c r="F33" s="1">
        <v>12</v>
      </c>
      <c r="G33" s="7">
        <v>0.23</v>
      </c>
      <c r="H33" s="1">
        <v>180</v>
      </c>
      <c r="I33" s="1" t="s">
        <v>88</v>
      </c>
      <c r="J33" s="1"/>
      <c r="K33" s="1">
        <v>55</v>
      </c>
      <c r="L33" s="1">
        <f t="shared" si="1"/>
        <v>-7</v>
      </c>
      <c r="M33" s="1"/>
      <c r="N33" s="1"/>
      <c r="O33" s="1">
        <v>168</v>
      </c>
      <c r="P33" s="1">
        <f t="shared" si="2"/>
        <v>9.6</v>
      </c>
      <c r="Q33" s="5"/>
      <c r="R33" s="5">
        <f t="shared" ref="R33:R37" si="15">T33</f>
        <v>210</v>
      </c>
      <c r="S33" s="5">
        <f t="shared" si="9"/>
        <v>168</v>
      </c>
      <c r="T33" s="23">
        <f>VLOOKUP(A33,[1]Sheet!$A:$T,19,0)</f>
        <v>210</v>
      </c>
      <c r="U33" s="23" t="str">
        <f>VLOOKUP(A33,[1]Sheet!$A:$T,20,0)</f>
        <v>Сети</v>
      </c>
      <c r="V33" s="1">
        <f t="shared" si="3"/>
        <v>36.25</v>
      </c>
      <c r="W33" s="1">
        <f t="shared" si="4"/>
        <v>18.75</v>
      </c>
      <c r="X33" s="1">
        <v>6.2</v>
      </c>
      <c r="Y33" s="1">
        <v>4.8</v>
      </c>
      <c r="Z33" s="1"/>
      <c r="AA33" s="1">
        <f t="shared" si="10"/>
        <v>48.300000000000004</v>
      </c>
      <c r="AB33" s="7">
        <v>12</v>
      </c>
      <c r="AC33" s="9">
        <f t="shared" si="11"/>
        <v>14</v>
      </c>
      <c r="AD33" s="1">
        <f t="shared" si="12"/>
        <v>38.64</v>
      </c>
      <c r="AE33" s="1">
        <v>14</v>
      </c>
      <c r="AF33" s="1">
        <v>70</v>
      </c>
      <c r="AG33" s="9">
        <f t="shared" si="13"/>
        <v>0.2</v>
      </c>
      <c r="AH33" s="1">
        <f t="shared" si="5"/>
        <v>2.2080000000000002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9" t="s">
        <v>89</v>
      </c>
      <c r="B34" s="1" t="s">
        <v>34</v>
      </c>
      <c r="C34" s="1">
        <v>262</v>
      </c>
      <c r="D34" s="1">
        <v>14</v>
      </c>
      <c r="E34" s="1">
        <v>155</v>
      </c>
      <c r="F34" s="1">
        <v>76</v>
      </c>
      <c r="G34" s="7">
        <v>0.25</v>
      </c>
      <c r="H34" s="1">
        <v>365</v>
      </c>
      <c r="I34" s="1" t="s">
        <v>90</v>
      </c>
      <c r="J34" s="1"/>
      <c r="K34" s="1">
        <v>159</v>
      </c>
      <c r="L34" s="1">
        <f t="shared" si="1"/>
        <v>-4</v>
      </c>
      <c r="M34" s="1"/>
      <c r="N34" s="1"/>
      <c r="O34" s="1">
        <v>168</v>
      </c>
      <c r="P34" s="1">
        <f t="shared" si="2"/>
        <v>31</v>
      </c>
      <c r="Q34" s="5">
        <v>190</v>
      </c>
      <c r="R34" s="5">
        <f t="shared" si="15"/>
        <v>500</v>
      </c>
      <c r="S34" s="5">
        <f t="shared" si="9"/>
        <v>504</v>
      </c>
      <c r="T34" s="23">
        <f>VLOOKUP(A34,[1]Sheet!$A:$T,19,0)</f>
        <v>500</v>
      </c>
      <c r="U34" s="23" t="str">
        <f>VLOOKUP(A34,[1]Sheet!$A:$T,20,0)</f>
        <v>Сети</v>
      </c>
      <c r="V34" s="1">
        <f t="shared" si="3"/>
        <v>24.129032258064516</v>
      </c>
      <c r="W34" s="1">
        <f t="shared" si="4"/>
        <v>7.870967741935484</v>
      </c>
      <c r="X34" s="1">
        <v>24.4</v>
      </c>
      <c r="Y34" s="1">
        <v>24</v>
      </c>
      <c r="Z34" s="1"/>
      <c r="AA34" s="1">
        <f t="shared" si="10"/>
        <v>125</v>
      </c>
      <c r="AB34" s="7">
        <v>12</v>
      </c>
      <c r="AC34" s="9">
        <f t="shared" si="11"/>
        <v>42</v>
      </c>
      <c r="AD34" s="1">
        <f t="shared" si="12"/>
        <v>126</v>
      </c>
      <c r="AE34" s="1">
        <v>14</v>
      </c>
      <c r="AF34" s="1">
        <v>70</v>
      </c>
      <c r="AG34" s="9">
        <f t="shared" si="13"/>
        <v>0.6</v>
      </c>
      <c r="AH34" s="1">
        <f t="shared" si="5"/>
        <v>7.75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9" t="s">
        <v>91</v>
      </c>
      <c r="B35" s="1" t="s">
        <v>34</v>
      </c>
      <c r="C35" s="1">
        <v>325</v>
      </c>
      <c r="D35" s="1">
        <v>55</v>
      </c>
      <c r="E35" s="1">
        <v>189</v>
      </c>
      <c r="F35" s="1">
        <v>111</v>
      </c>
      <c r="G35" s="7">
        <v>0.25</v>
      </c>
      <c r="H35" s="1">
        <v>365</v>
      </c>
      <c r="I35" s="1" t="s">
        <v>92</v>
      </c>
      <c r="J35" s="1"/>
      <c r="K35" s="1">
        <v>226</v>
      </c>
      <c r="L35" s="1">
        <f t="shared" si="1"/>
        <v>-37</v>
      </c>
      <c r="M35" s="1"/>
      <c r="N35" s="1"/>
      <c r="O35" s="1">
        <v>168</v>
      </c>
      <c r="P35" s="1">
        <f t="shared" si="2"/>
        <v>37.799999999999997</v>
      </c>
      <c r="Q35" s="5">
        <v>250.19999999999993</v>
      </c>
      <c r="R35" s="5">
        <f t="shared" si="15"/>
        <v>300</v>
      </c>
      <c r="S35" s="5">
        <f t="shared" si="9"/>
        <v>336</v>
      </c>
      <c r="T35" s="23">
        <f>VLOOKUP(A35,[1]Sheet!$A:$T,19,0)</f>
        <v>300</v>
      </c>
      <c r="U35" s="23" t="str">
        <f>VLOOKUP(A35,[1]Sheet!$A:$T,20,0)</f>
        <v>Сети</v>
      </c>
      <c r="V35" s="1">
        <f t="shared" si="3"/>
        <v>16.269841269841272</v>
      </c>
      <c r="W35" s="1">
        <f t="shared" si="4"/>
        <v>7.3809523809523814</v>
      </c>
      <c r="X35" s="1">
        <v>27.4</v>
      </c>
      <c r="Y35" s="1">
        <v>10.199999999999999</v>
      </c>
      <c r="Z35" s="1"/>
      <c r="AA35" s="1">
        <f t="shared" si="10"/>
        <v>75</v>
      </c>
      <c r="AB35" s="7">
        <v>12</v>
      </c>
      <c r="AC35" s="9">
        <f t="shared" si="11"/>
        <v>28</v>
      </c>
      <c r="AD35" s="1">
        <f t="shared" si="12"/>
        <v>84</v>
      </c>
      <c r="AE35" s="1">
        <v>14</v>
      </c>
      <c r="AF35" s="1">
        <v>70</v>
      </c>
      <c r="AG35" s="9">
        <f t="shared" si="13"/>
        <v>0.4</v>
      </c>
      <c r="AH35" s="1">
        <f t="shared" si="5"/>
        <v>9.4499999999999993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9" t="s">
        <v>93</v>
      </c>
      <c r="B36" s="1" t="s">
        <v>34</v>
      </c>
      <c r="C36" s="1">
        <v>221</v>
      </c>
      <c r="D36" s="1">
        <v>18</v>
      </c>
      <c r="E36" s="1">
        <v>147</v>
      </c>
      <c r="F36" s="1">
        <v>55</v>
      </c>
      <c r="G36" s="7">
        <v>0.25</v>
      </c>
      <c r="H36" s="1">
        <v>180</v>
      </c>
      <c r="I36" s="1" t="s">
        <v>94</v>
      </c>
      <c r="J36" s="1"/>
      <c r="K36" s="1">
        <v>149</v>
      </c>
      <c r="L36" s="1">
        <f t="shared" si="1"/>
        <v>-2</v>
      </c>
      <c r="M36" s="1"/>
      <c r="N36" s="1"/>
      <c r="O36" s="1">
        <v>168</v>
      </c>
      <c r="P36" s="1">
        <f t="shared" si="2"/>
        <v>29.4</v>
      </c>
      <c r="Q36" s="5">
        <v>188.59999999999997</v>
      </c>
      <c r="R36" s="5">
        <f t="shared" si="15"/>
        <v>400</v>
      </c>
      <c r="S36" s="5">
        <f t="shared" si="9"/>
        <v>336</v>
      </c>
      <c r="T36" s="23">
        <f>VLOOKUP(A36,[1]Sheet!$A:$T,19,0)</f>
        <v>400</v>
      </c>
      <c r="U36" s="23" t="str">
        <f>VLOOKUP(A36,[1]Sheet!$A:$T,20,0)</f>
        <v>Сети</v>
      </c>
      <c r="V36" s="1">
        <f t="shared" si="3"/>
        <v>19.013605442176871</v>
      </c>
      <c r="W36" s="1">
        <f t="shared" si="4"/>
        <v>7.5850340136054424</v>
      </c>
      <c r="X36" s="1">
        <v>24</v>
      </c>
      <c r="Y36" s="1">
        <v>11.6</v>
      </c>
      <c r="Z36" s="1"/>
      <c r="AA36" s="1">
        <f t="shared" si="10"/>
        <v>100</v>
      </c>
      <c r="AB36" s="7">
        <v>12</v>
      </c>
      <c r="AC36" s="9">
        <f t="shared" si="11"/>
        <v>28</v>
      </c>
      <c r="AD36" s="1">
        <f t="shared" si="12"/>
        <v>84</v>
      </c>
      <c r="AE36" s="1">
        <v>14</v>
      </c>
      <c r="AF36" s="1">
        <v>70</v>
      </c>
      <c r="AG36" s="9">
        <f t="shared" si="13"/>
        <v>0.4</v>
      </c>
      <c r="AH36" s="1">
        <f t="shared" si="5"/>
        <v>7.35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9" t="s">
        <v>48</v>
      </c>
      <c r="B37" s="1" t="s">
        <v>34</v>
      </c>
      <c r="C37" s="1"/>
      <c r="D37" s="1"/>
      <c r="E37" s="18">
        <f>0+E11</f>
        <v>108</v>
      </c>
      <c r="F37" s="18">
        <f>0+F11</f>
        <v>45</v>
      </c>
      <c r="G37" s="7">
        <v>0.25</v>
      </c>
      <c r="H37" s="1">
        <v>180</v>
      </c>
      <c r="I37" s="1" t="s">
        <v>95</v>
      </c>
      <c r="J37" s="1"/>
      <c r="K37" s="1"/>
      <c r="L37" s="1">
        <f t="shared" si="1"/>
        <v>108</v>
      </c>
      <c r="M37" s="1"/>
      <c r="N37" s="1"/>
      <c r="O37" s="1">
        <v>168</v>
      </c>
      <c r="P37" s="1">
        <f t="shared" si="2"/>
        <v>21.6</v>
      </c>
      <c r="Q37" s="5">
        <v>89.400000000000034</v>
      </c>
      <c r="R37" s="5">
        <f t="shared" si="15"/>
        <v>300</v>
      </c>
      <c r="S37" s="5">
        <f t="shared" si="9"/>
        <v>336</v>
      </c>
      <c r="T37" s="23">
        <f>VLOOKUP(A37,[1]Sheet!$A:$T,19,0)</f>
        <v>300</v>
      </c>
      <c r="U37" s="23" t="str">
        <f>VLOOKUP(A37,[1]Sheet!$A:$T,20,0)</f>
        <v>Сети</v>
      </c>
      <c r="V37" s="1">
        <f t="shared" si="3"/>
        <v>25.416666666666664</v>
      </c>
      <c r="W37" s="1">
        <f t="shared" si="4"/>
        <v>9.8611111111111107</v>
      </c>
      <c r="X37" s="1">
        <v>13.2</v>
      </c>
      <c r="Y37" s="1">
        <v>6.6</v>
      </c>
      <c r="Z37" s="1"/>
      <c r="AA37" s="1">
        <f t="shared" si="10"/>
        <v>75</v>
      </c>
      <c r="AB37" s="7">
        <v>12</v>
      </c>
      <c r="AC37" s="9">
        <f t="shared" si="11"/>
        <v>28</v>
      </c>
      <c r="AD37" s="1">
        <f t="shared" si="12"/>
        <v>84</v>
      </c>
      <c r="AE37" s="1">
        <v>14</v>
      </c>
      <c r="AF37" s="1">
        <v>70</v>
      </c>
      <c r="AG37" s="9">
        <f t="shared" si="13"/>
        <v>0.4</v>
      </c>
      <c r="AH37" s="1">
        <f t="shared" si="5"/>
        <v>5.4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9" t="s">
        <v>96</v>
      </c>
      <c r="B38" s="1" t="s">
        <v>34</v>
      </c>
      <c r="C38" s="1">
        <v>188</v>
      </c>
      <c r="D38" s="1">
        <v>36</v>
      </c>
      <c r="E38" s="1">
        <v>145</v>
      </c>
      <c r="F38" s="1">
        <v>21</v>
      </c>
      <c r="G38" s="7">
        <v>0.7</v>
      </c>
      <c r="H38" s="1">
        <v>180</v>
      </c>
      <c r="I38" s="1" t="s">
        <v>97</v>
      </c>
      <c r="J38" s="1"/>
      <c r="K38" s="1">
        <v>123</v>
      </c>
      <c r="L38" s="1">
        <f t="shared" ref="L38:L69" si="16">E38-K38</f>
        <v>22</v>
      </c>
      <c r="M38" s="1"/>
      <c r="N38" s="1"/>
      <c r="O38" s="1">
        <v>192</v>
      </c>
      <c r="P38" s="1">
        <f t="shared" ref="P38:P74" si="17">E38/5</f>
        <v>29</v>
      </c>
      <c r="Q38" s="5">
        <v>193</v>
      </c>
      <c r="R38" s="5">
        <f t="shared" si="8"/>
        <v>193</v>
      </c>
      <c r="S38" s="5">
        <f t="shared" si="9"/>
        <v>192</v>
      </c>
      <c r="T38" s="23"/>
      <c r="U38" s="23"/>
      <c r="V38" s="1">
        <f t="shared" ref="V38:V69" si="18">(F38+O38+S38)/P38</f>
        <v>13.96551724137931</v>
      </c>
      <c r="W38" s="1">
        <f t="shared" ref="W38:W74" si="19">(F38+O38)/P38</f>
        <v>7.3448275862068968</v>
      </c>
      <c r="X38" s="1">
        <v>25.6</v>
      </c>
      <c r="Y38" s="1">
        <v>5.2</v>
      </c>
      <c r="Z38" s="1"/>
      <c r="AA38" s="1">
        <f t="shared" si="10"/>
        <v>135.1</v>
      </c>
      <c r="AB38" s="7">
        <v>8</v>
      </c>
      <c r="AC38" s="9">
        <f t="shared" si="11"/>
        <v>24</v>
      </c>
      <c r="AD38" s="1">
        <f t="shared" si="12"/>
        <v>134.39999999999998</v>
      </c>
      <c r="AE38" s="1">
        <v>12</v>
      </c>
      <c r="AF38" s="1">
        <v>84</v>
      </c>
      <c r="AG38" s="9">
        <f t="shared" si="13"/>
        <v>0.2857142857142857</v>
      </c>
      <c r="AH38" s="1">
        <f t="shared" si="5"/>
        <v>20.299999999999997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9" t="s">
        <v>98</v>
      </c>
      <c r="B39" s="1" t="s">
        <v>34</v>
      </c>
      <c r="C39" s="1">
        <v>92</v>
      </c>
      <c r="D39" s="1">
        <v>32</v>
      </c>
      <c r="E39" s="1">
        <v>78</v>
      </c>
      <c r="F39" s="1">
        <v>-2</v>
      </c>
      <c r="G39" s="7">
        <v>0.7</v>
      </c>
      <c r="H39" s="1">
        <v>180</v>
      </c>
      <c r="I39" s="1" t="s">
        <v>99</v>
      </c>
      <c r="J39" s="1"/>
      <c r="K39" s="1">
        <v>103</v>
      </c>
      <c r="L39" s="1">
        <f t="shared" si="16"/>
        <v>-25</v>
      </c>
      <c r="M39" s="1"/>
      <c r="N39" s="1"/>
      <c r="O39" s="1">
        <v>192</v>
      </c>
      <c r="P39" s="1">
        <f t="shared" si="17"/>
        <v>15.6</v>
      </c>
      <c r="Q39" s="5">
        <v>59.599999999999994</v>
      </c>
      <c r="R39" s="5">
        <f>16*P39-O39-F39</f>
        <v>59.599999999999994</v>
      </c>
      <c r="S39" s="5">
        <f t="shared" si="9"/>
        <v>96</v>
      </c>
      <c r="T39" s="23"/>
      <c r="U39" s="23"/>
      <c r="V39" s="1">
        <f t="shared" si="18"/>
        <v>18.333333333333332</v>
      </c>
      <c r="W39" s="1">
        <f t="shared" si="19"/>
        <v>12.179487179487181</v>
      </c>
      <c r="X39" s="1">
        <v>18.399999999999999</v>
      </c>
      <c r="Y39" s="1">
        <v>7.2</v>
      </c>
      <c r="Z39" s="1"/>
      <c r="AA39" s="1">
        <f t="shared" si="10"/>
        <v>41.719999999999992</v>
      </c>
      <c r="AB39" s="7">
        <v>8</v>
      </c>
      <c r="AC39" s="9">
        <f t="shared" si="11"/>
        <v>12</v>
      </c>
      <c r="AD39" s="1">
        <f t="shared" si="12"/>
        <v>67.199999999999989</v>
      </c>
      <c r="AE39" s="1">
        <v>12</v>
      </c>
      <c r="AF39" s="1">
        <v>84</v>
      </c>
      <c r="AG39" s="9">
        <f t="shared" si="13"/>
        <v>0.14285714285714285</v>
      </c>
      <c r="AH39" s="1">
        <f t="shared" si="5"/>
        <v>10.92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9" t="s">
        <v>100</v>
      </c>
      <c r="B40" s="1" t="s">
        <v>34</v>
      </c>
      <c r="C40" s="1"/>
      <c r="D40" s="1"/>
      <c r="E40" s="1"/>
      <c r="F40" s="1"/>
      <c r="G40" s="7">
        <v>0.7</v>
      </c>
      <c r="H40" s="1">
        <v>180</v>
      </c>
      <c r="I40" s="1" t="s">
        <v>101</v>
      </c>
      <c r="J40" s="1"/>
      <c r="K40" s="1">
        <v>104</v>
      </c>
      <c r="L40" s="1">
        <f t="shared" si="16"/>
        <v>-104</v>
      </c>
      <c r="M40" s="1"/>
      <c r="N40" s="1"/>
      <c r="O40" s="1">
        <v>0</v>
      </c>
      <c r="P40" s="1">
        <f t="shared" si="17"/>
        <v>0</v>
      </c>
      <c r="Q40" s="22">
        <v>0</v>
      </c>
      <c r="R40" s="22">
        <v>0</v>
      </c>
      <c r="S40" s="22">
        <f t="shared" si="9"/>
        <v>0</v>
      </c>
      <c r="T40" s="23"/>
      <c r="U40" s="23"/>
      <c r="V40" s="1" t="e">
        <f t="shared" si="18"/>
        <v>#DIV/0!</v>
      </c>
      <c r="W40" s="1" t="e">
        <f t="shared" si="19"/>
        <v>#DIV/0!</v>
      </c>
      <c r="X40" s="1">
        <v>0</v>
      </c>
      <c r="Y40" s="1">
        <v>0</v>
      </c>
      <c r="Z40" s="13" t="s">
        <v>71</v>
      </c>
      <c r="AA40" s="1">
        <f t="shared" si="10"/>
        <v>0</v>
      </c>
      <c r="AB40" s="7">
        <v>8</v>
      </c>
      <c r="AC40" s="9">
        <f t="shared" si="11"/>
        <v>0</v>
      </c>
      <c r="AD40" s="1">
        <f t="shared" si="12"/>
        <v>0</v>
      </c>
      <c r="AE40" s="1">
        <v>12</v>
      </c>
      <c r="AF40" s="1">
        <v>84</v>
      </c>
      <c r="AG40" s="9">
        <f t="shared" si="13"/>
        <v>0</v>
      </c>
      <c r="AH40" s="1">
        <f t="shared" si="5"/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102</v>
      </c>
      <c r="B41" s="1" t="s">
        <v>34</v>
      </c>
      <c r="C41" s="1">
        <v>224</v>
      </c>
      <c r="D41" s="1">
        <v>55</v>
      </c>
      <c r="E41" s="1">
        <v>214</v>
      </c>
      <c r="F41" s="1">
        <v>8</v>
      </c>
      <c r="G41" s="7">
        <v>0.7</v>
      </c>
      <c r="H41" s="1">
        <v>180</v>
      </c>
      <c r="I41" s="1" t="s">
        <v>103</v>
      </c>
      <c r="J41" s="1"/>
      <c r="K41" s="1">
        <v>222</v>
      </c>
      <c r="L41" s="1">
        <f t="shared" si="16"/>
        <v>-8</v>
      </c>
      <c r="M41" s="1"/>
      <c r="N41" s="1"/>
      <c r="O41" s="1">
        <v>360</v>
      </c>
      <c r="P41" s="1">
        <f t="shared" si="17"/>
        <v>42.8</v>
      </c>
      <c r="Q41" s="5">
        <v>231.19999999999993</v>
      </c>
      <c r="R41" s="5">
        <f t="shared" si="8"/>
        <v>231.19999999999993</v>
      </c>
      <c r="S41" s="5">
        <f t="shared" si="9"/>
        <v>240</v>
      </c>
      <c r="T41" s="23"/>
      <c r="U41" s="23"/>
      <c r="V41" s="1">
        <f t="shared" si="18"/>
        <v>14.205607476635516</v>
      </c>
      <c r="W41" s="1">
        <f t="shared" si="19"/>
        <v>8.5981308411214954</v>
      </c>
      <c r="X41" s="1">
        <v>32.200000000000003</v>
      </c>
      <c r="Y41" s="1">
        <v>13.4</v>
      </c>
      <c r="Z41" s="1"/>
      <c r="AA41" s="1">
        <f t="shared" si="10"/>
        <v>161.83999999999995</v>
      </c>
      <c r="AB41" s="7">
        <v>10</v>
      </c>
      <c r="AC41" s="9">
        <f t="shared" si="11"/>
        <v>24</v>
      </c>
      <c r="AD41" s="1">
        <f t="shared" si="12"/>
        <v>168</v>
      </c>
      <c r="AE41" s="1">
        <v>12</v>
      </c>
      <c r="AF41" s="1">
        <v>84</v>
      </c>
      <c r="AG41" s="9">
        <f t="shared" si="13"/>
        <v>0.2857142857142857</v>
      </c>
      <c r="AH41" s="1">
        <f t="shared" si="5"/>
        <v>29.959999999999997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104</v>
      </c>
      <c r="B42" s="1" t="s">
        <v>34</v>
      </c>
      <c r="C42" s="1">
        <v>213</v>
      </c>
      <c r="D42" s="1">
        <v>50</v>
      </c>
      <c r="E42" s="1">
        <v>236</v>
      </c>
      <c r="F42" s="1">
        <v>-2</v>
      </c>
      <c r="G42" s="7">
        <v>0.7</v>
      </c>
      <c r="H42" s="1">
        <v>180</v>
      </c>
      <c r="I42" s="1" t="s">
        <v>105</v>
      </c>
      <c r="J42" s="1"/>
      <c r="K42" s="1">
        <v>240</v>
      </c>
      <c r="L42" s="1">
        <f t="shared" si="16"/>
        <v>-4</v>
      </c>
      <c r="M42" s="1"/>
      <c r="N42" s="1"/>
      <c r="O42" s="1">
        <v>360</v>
      </c>
      <c r="P42" s="1">
        <f t="shared" si="17"/>
        <v>47.2</v>
      </c>
      <c r="Q42" s="5">
        <v>302.80000000000007</v>
      </c>
      <c r="R42" s="5">
        <f t="shared" si="8"/>
        <v>302.80000000000007</v>
      </c>
      <c r="S42" s="5">
        <f t="shared" si="9"/>
        <v>360</v>
      </c>
      <c r="T42" s="23"/>
      <c r="U42" s="23"/>
      <c r="V42" s="1">
        <f t="shared" si="18"/>
        <v>15.211864406779661</v>
      </c>
      <c r="W42" s="1">
        <f t="shared" si="19"/>
        <v>7.5847457627118642</v>
      </c>
      <c r="X42" s="1">
        <v>32</v>
      </c>
      <c r="Y42" s="1">
        <v>6.6</v>
      </c>
      <c r="Z42" s="1"/>
      <c r="AA42" s="1">
        <f t="shared" si="10"/>
        <v>211.96000000000004</v>
      </c>
      <c r="AB42" s="7">
        <v>10</v>
      </c>
      <c r="AC42" s="9">
        <f t="shared" si="11"/>
        <v>36</v>
      </c>
      <c r="AD42" s="1">
        <f t="shared" si="12"/>
        <v>251.99999999999997</v>
      </c>
      <c r="AE42" s="1">
        <v>12</v>
      </c>
      <c r="AF42" s="1">
        <v>84</v>
      </c>
      <c r="AG42" s="9">
        <f t="shared" si="13"/>
        <v>0.42857142857142855</v>
      </c>
      <c r="AH42" s="1">
        <f t="shared" si="5"/>
        <v>33.04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106</v>
      </c>
      <c r="B43" s="1" t="s">
        <v>34</v>
      </c>
      <c r="C43" s="1">
        <v>457</v>
      </c>
      <c r="D43" s="1">
        <v>75</v>
      </c>
      <c r="E43" s="1">
        <v>280</v>
      </c>
      <c r="F43" s="1">
        <v>174</v>
      </c>
      <c r="G43" s="7">
        <v>0.7</v>
      </c>
      <c r="H43" s="1">
        <v>180</v>
      </c>
      <c r="I43" s="1" t="s">
        <v>107</v>
      </c>
      <c r="J43" s="1"/>
      <c r="K43" s="1">
        <v>260</v>
      </c>
      <c r="L43" s="1">
        <f t="shared" si="16"/>
        <v>20</v>
      </c>
      <c r="M43" s="1"/>
      <c r="N43" s="1"/>
      <c r="O43" s="1">
        <v>360</v>
      </c>
      <c r="P43" s="1">
        <f t="shared" si="17"/>
        <v>56</v>
      </c>
      <c r="Q43" s="5">
        <v>250</v>
      </c>
      <c r="R43" s="5">
        <f t="shared" si="8"/>
        <v>250</v>
      </c>
      <c r="S43" s="5">
        <f t="shared" si="9"/>
        <v>240</v>
      </c>
      <c r="T43" s="23"/>
      <c r="U43" s="23"/>
      <c r="V43" s="1">
        <f t="shared" si="18"/>
        <v>13.821428571428571</v>
      </c>
      <c r="W43" s="1">
        <f t="shared" si="19"/>
        <v>9.5357142857142865</v>
      </c>
      <c r="X43" s="1">
        <v>39.6</v>
      </c>
      <c r="Y43" s="1">
        <v>9</v>
      </c>
      <c r="Z43" s="1"/>
      <c r="AA43" s="1">
        <f t="shared" si="10"/>
        <v>175</v>
      </c>
      <c r="AB43" s="7">
        <v>10</v>
      </c>
      <c r="AC43" s="9">
        <f t="shared" si="11"/>
        <v>24</v>
      </c>
      <c r="AD43" s="1">
        <f t="shared" si="12"/>
        <v>168</v>
      </c>
      <c r="AE43" s="1">
        <v>12</v>
      </c>
      <c r="AF43" s="1">
        <v>84</v>
      </c>
      <c r="AG43" s="9">
        <f t="shared" si="13"/>
        <v>0.2857142857142857</v>
      </c>
      <c r="AH43" s="1">
        <f t="shared" si="5"/>
        <v>39.199999999999996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108</v>
      </c>
      <c r="B44" s="1" t="s">
        <v>34</v>
      </c>
      <c r="C44" s="1">
        <v>76</v>
      </c>
      <c r="D44" s="1">
        <v>29</v>
      </c>
      <c r="E44" s="1">
        <v>58</v>
      </c>
      <c r="F44" s="1"/>
      <c r="G44" s="7">
        <v>0.7</v>
      </c>
      <c r="H44" s="1">
        <v>180</v>
      </c>
      <c r="I44" s="1" t="s">
        <v>109</v>
      </c>
      <c r="J44" s="1"/>
      <c r="K44" s="1">
        <v>73</v>
      </c>
      <c r="L44" s="1">
        <f t="shared" si="16"/>
        <v>-15</v>
      </c>
      <c r="M44" s="1"/>
      <c r="N44" s="1"/>
      <c r="O44" s="1">
        <v>120</v>
      </c>
      <c r="P44" s="1">
        <f t="shared" si="17"/>
        <v>11.6</v>
      </c>
      <c r="Q44" s="5">
        <v>65.599999999999994</v>
      </c>
      <c r="R44" s="5">
        <f>T44</f>
        <v>160</v>
      </c>
      <c r="S44" s="5">
        <f t="shared" si="9"/>
        <v>120</v>
      </c>
      <c r="T44" s="23">
        <f>VLOOKUP(A44,[1]Sheet!$A:$T,19,0)</f>
        <v>160</v>
      </c>
      <c r="U44" s="23" t="str">
        <f>VLOOKUP(A44,[1]Sheet!$A:$T,20,0)</f>
        <v>Сети</v>
      </c>
      <c r="V44" s="1">
        <f t="shared" si="18"/>
        <v>20.689655172413794</v>
      </c>
      <c r="W44" s="1">
        <f t="shared" si="19"/>
        <v>10.344827586206897</v>
      </c>
      <c r="X44" s="1">
        <v>8.6</v>
      </c>
      <c r="Y44" s="1">
        <v>7.4</v>
      </c>
      <c r="Z44" s="1"/>
      <c r="AA44" s="1">
        <f t="shared" si="10"/>
        <v>112</v>
      </c>
      <c r="AB44" s="7">
        <v>10</v>
      </c>
      <c r="AC44" s="9">
        <f t="shared" si="11"/>
        <v>12</v>
      </c>
      <c r="AD44" s="1">
        <f t="shared" si="12"/>
        <v>84</v>
      </c>
      <c r="AE44" s="1">
        <v>12</v>
      </c>
      <c r="AF44" s="1">
        <v>84</v>
      </c>
      <c r="AG44" s="9">
        <f t="shared" si="13"/>
        <v>0.14285714285714285</v>
      </c>
      <c r="AH44" s="1">
        <f t="shared" si="5"/>
        <v>8.1199999999999992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110</v>
      </c>
      <c r="B45" s="1" t="s">
        <v>78</v>
      </c>
      <c r="C45" s="1">
        <v>855</v>
      </c>
      <c r="D45" s="1">
        <v>95</v>
      </c>
      <c r="E45" s="1">
        <v>860</v>
      </c>
      <c r="F45" s="1">
        <v>25</v>
      </c>
      <c r="G45" s="7">
        <v>1</v>
      </c>
      <c r="H45" s="1">
        <v>180</v>
      </c>
      <c r="I45" s="1" t="s">
        <v>111</v>
      </c>
      <c r="J45" s="1"/>
      <c r="K45" s="1">
        <v>585</v>
      </c>
      <c r="L45" s="1">
        <f t="shared" si="16"/>
        <v>275</v>
      </c>
      <c r="M45" s="1"/>
      <c r="N45" s="1"/>
      <c r="O45" s="1">
        <v>1080</v>
      </c>
      <c r="P45" s="1">
        <f t="shared" si="17"/>
        <v>172</v>
      </c>
      <c r="Q45" s="5">
        <v>1303</v>
      </c>
      <c r="R45" s="5">
        <f t="shared" si="8"/>
        <v>1303</v>
      </c>
      <c r="S45" s="5">
        <f t="shared" si="9"/>
        <v>1320</v>
      </c>
      <c r="T45" s="23"/>
      <c r="U45" s="23"/>
      <c r="V45" s="1">
        <f t="shared" si="18"/>
        <v>14.098837209302326</v>
      </c>
      <c r="W45" s="1">
        <f t="shared" si="19"/>
        <v>6.4244186046511631</v>
      </c>
      <c r="X45" s="1">
        <v>137</v>
      </c>
      <c r="Y45" s="1">
        <v>10</v>
      </c>
      <c r="Z45" s="1"/>
      <c r="AA45" s="1">
        <f t="shared" si="10"/>
        <v>1303</v>
      </c>
      <c r="AB45" s="7">
        <v>5</v>
      </c>
      <c r="AC45" s="9">
        <f t="shared" si="11"/>
        <v>264</v>
      </c>
      <c r="AD45" s="1">
        <f t="shared" si="12"/>
        <v>1320</v>
      </c>
      <c r="AE45" s="1">
        <v>12</v>
      </c>
      <c r="AF45" s="1">
        <v>144</v>
      </c>
      <c r="AG45" s="9">
        <f t="shared" si="13"/>
        <v>1.8333333333333333</v>
      </c>
      <c r="AH45" s="1">
        <f t="shared" si="5"/>
        <v>172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112</v>
      </c>
      <c r="B46" s="1" t="s">
        <v>34</v>
      </c>
      <c r="C46" s="1">
        <v>89</v>
      </c>
      <c r="D46" s="1">
        <v>46</v>
      </c>
      <c r="E46" s="1">
        <v>75</v>
      </c>
      <c r="F46" s="1"/>
      <c r="G46" s="7">
        <v>0.4</v>
      </c>
      <c r="H46" s="1">
        <v>180</v>
      </c>
      <c r="I46" s="1" t="s">
        <v>113</v>
      </c>
      <c r="J46" s="1"/>
      <c r="K46" s="1">
        <v>236</v>
      </c>
      <c r="L46" s="1">
        <f t="shared" si="16"/>
        <v>-161</v>
      </c>
      <c r="M46" s="1"/>
      <c r="N46" s="1"/>
      <c r="O46" s="1">
        <v>192</v>
      </c>
      <c r="P46" s="1">
        <f t="shared" si="17"/>
        <v>15</v>
      </c>
      <c r="Q46" s="5">
        <v>108</v>
      </c>
      <c r="R46" s="5">
        <f>20*P46-O46-F46</f>
        <v>108</v>
      </c>
      <c r="S46" s="5">
        <f t="shared" si="9"/>
        <v>192</v>
      </c>
      <c r="T46" s="23"/>
      <c r="U46" s="23"/>
      <c r="V46" s="1">
        <f t="shared" si="18"/>
        <v>25.6</v>
      </c>
      <c r="W46" s="1">
        <f t="shared" si="19"/>
        <v>12.8</v>
      </c>
      <c r="X46" s="1">
        <v>18.399999999999999</v>
      </c>
      <c r="Y46" s="1">
        <v>11.2</v>
      </c>
      <c r="Z46" s="1"/>
      <c r="AA46" s="1">
        <f t="shared" si="10"/>
        <v>43.2</v>
      </c>
      <c r="AB46" s="7">
        <v>16</v>
      </c>
      <c r="AC46" s="9">
        <f t="shared" si="11"/>
        <v>12</v>
      </c>
      <c r="AD46" s="1">
        <f t="shared" si="12"/>
        <v>76.800000000000011</v>
      </c>
      <c r="AE46" s="1">
        <v>12</v>
      </c>
      <c r="AF46" s="1">
        <v>84</v>
      </c>
      <c r="AG46" s="9">
        <f t="shared" si="13"/>
        <v>0.14285714285714285</v>
      </c>
      <c r="AH46" s="1">
        <f t="shared" si="5"/>
        <v>6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114</v>
      </c>
      <c r="B47" s="1" t="s">
        <v>34</v>
      </c>
      <c r="C47" s="1">
        <v>314</v>
      </c>
      <c r="D47" s="1">
        <v>71</v>
      </c>
      <c r="E47" s="1">
        <v>339</v>
      </c>
      <c r="F47" s="1">
        <v>9</v>
      </c>
      <c r="G47" s="7">
        <v>0.7</v>
      </c>
      <c r="H47" s="1">
        <v>180</v>
      </c>
      <c r="I47" s="1" t="s">
        <v>115</v>
      </c>
      <c r="J47" s="1"/>
      <c r="K47" s="1">
        <v>379</v>
      </c>
      <c r="L47" s="1">
        <f t="shared" si="16"/>
        <v>-40</v>
      </c>
      <c r="M47" s="1"/>
      <c r="N47" s="1"/>
      <c r="O47" s="1">
        <v>480</v>
      </c>
      <c r="P47" s="1">
        <f t="shared" si="17"/>
        <v>67.8</v>
      </c>
      <c r="Q47" s="5">
        <v>460.19999999999993</v>
      </c>
      <c r="R47" s="5">
        <f t="shared" si="8"/>
        <v>460.19999999999993</v>
      </c>
      <c r="S47" s="5">
        <f t="shared" si="9"/>
        <v>480</v>
      </c>
      <c r="T47" s="23"/>
      <c r="U47" s="23"/>
      <c r="V47" s="1">
        <f t="shared" si="18"/>
        <v>14.292035398230089</v>
      </c>
      <c r="W47" s="1">
        <f t="shared" si="19"/>
        <v>7.2123893805309738</v>
      </c>
      <c r="X47" s="1">
        <v>63.4</v>
      </c>
      <c r="Y47" s="1">
        <v>18.600000000000001</v>
      </c>
      <c r="Z47" s="1"/>
      <c r="AA47" s="1">
        <f t="shared" si="10"/>
        <v>322.13999999999993</v>
      </c>
      <c r="AB47" s="7">
        <v>10</v>
      </c>
      <c r="AC47" s="9">
        <f t="shared" si="11"/>
        <v>48</v>
      </c>
      <c r="AD47" s="1">
        <f t="shared" si="12"/>
        <v>336</v>
      </c>
      <c r="AE47" s="1">
        <v>12</v>
      </c>
      <c r="AF47" s="1">
        <v>84</v>
      </c>
      <c r="AG47" s="9">
        <f t="shared" si="13"/>
        <v>0.5714285714285714</v>
      </c>
      <c r="AH47" s="1">
        <f t="shared" si="5"/>
        <v>47.459999999999994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116</v>
      </c>
      <c r="B48" s="1" t="s">
        <v>34</v>
      </c>
      <c r="C48" s="1">
        <v>57</v>
      </c>
      <c r="D48" s="1">
        <v>36</v>
      </c>
      <c r="E48" s="1">
        <v>45</v>
      </c>
      <c r="F48" s="1">
        <v>-1</v>
      </c>
      <c r="G48" s="7">
        <v>0.4</v>
      </c>
      <c r="H48" s="1">
        <v>180</v>
      </c>
      <c r="I48" s="1" t="s">
        <v>117</v>
      </c>
      <c r="J48" s="1"/>
      <c r="K48" s="1">
        <v>234</v>
      </c>
      <c r="L48" s="1">
        <f t="shared" si="16"/>
        <v>-189</v>
      </c>
      <c r="M48" s="1"/>
      <c r="N48" s="1"/>
      <c r="O48" s="1">
        <v>192</v>
      </c>
      <c r="P48" s="1">
        <f t="shared" si="17"/>
        <v>9</v>
      </c>
      <c r="Q48" s="5"/>
      <c r="R48" s="5">
        <f>T48</f>
        <v>250</v>
      </c>
      <c r="S48" s="5">
        <f t="shared" si="9"/>
        <v>192</v>
      </c>
      <c r="T48" s="23">
        <f>VLOOKUP(A48,[1]Sheet!$A:$T,19,0)</f>
        <v>250</v>
      </c>
      <c r="U48" s="23" t="str">
        <f>VLOOKUP(A48,[1]Sheet!$A:$T,20,0)</f>
        <v>Сети</v>
      </c>
      <c r="V48" s="1">
        <f t="shared" si="18"/>
        <v>42.555555555555557</v>
      </c>
      <c r="W48" s="1">
        <f t="shared" si="19"/>
        <v>21.222222222222221</v>
      </c>
      <c r="X48" s="1">
        <v>14</v>
      </c>
      <c r="Y48" s="1">
        <v>20.6</v>
      </c>
      <c r="Z48" s="1"/>
      <c r="AA48" s="1">
        <f t="shared" si="10"/>
        <v>100</v>
      </c>
      <c r="AB48" s="7">
        <v>16</v>
      </c>
      <c r="AC48" s="9">
        <f t="shared" si="11"/>
        <v>12</v>
      </c>
      <c r="AD48" s="1">
        <f t="shared" si="12"/>
        <v>76.800000000000011</v>
      </c>
      <c r="AE48" s="1">
        <v>12</v>
      </c>
      <c r="AF48" s="1">
        <v>84</v>
      </c>
      <c r="AG48" s="9">
        <f t="shared" si="13"/>
        <v>0.14285714285714285</v>
      </c>
      <c r="AH48" s="1">
        <f t="shared" si="5"/>
        <v>3.6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118</v>
      </c>
      <c r="B49" s="1" t="s">
        <v>34</v>
      </c>
      <c r="C49" s="1">
        <v>441</v>
      </c>
      <c r="D49" s="1">
        <v>89</v>
      </c>
      <c r="E49" s="1">
        <v>420</v>
      </c>
      <c r="F49" s="1">
        <v>11</v>
      </c>
      <c r="G49" s="7">
        <v>0.7</v>
      </c>
      <c r="H49" s="1">
        <v>180</v>
      </c>
      <c r="I49" s="1" t="s">
        <v>119</v>
      </c>
      <c r="J49" s="1"/>
      <c r="K49" s="1">
        <v>444</v>
      </c>
      <c r="L49" s="1">
        <f t="shared" si="16"/>
        <v>-24</v>
      </c>
      <c r="M49" s="1"/>
      <c r="N49" s="1"/>
      <c r="O49" s="1">
        <v>600</v>
      </c>
      <c r="P49" s="1">
        <f t="shared" si="17"/>
        <v>84</v>
      </c>
      <c r="Q49" s="5">
        <v>565</v>
      </c>
      <c r="R49" s="5">
        <f t="shared" si="8"/>
        <v>565</v>
      </c>
      <c r="S49" s="5">
        <f t="shared" si="9"/>
        <v>600</v>
      </c>
      <c r="T49" s="23"/>
      <c r="U49" s="23"/>
      <c r="V49" s="1">
        <f t="shared" si="18"/>
        <v>14.416666666666666</v>
      </c>
      <c r="W49" s="1">
        <f t="shared" si="19"/>
        <v>7.2738095238095237</v>
      </c>
      <c r="X49" s="1">
        <v>61.2</v>
      </c>
      <c r="Y49" s="1">
        <v>21</v>
      </c>
      <c r="Z49" s="1"/>
      <c r="AA49" s="1">
        <f t="shared" si="10"/>
        <v>395.5</v>
      </c>
      <c r="AB49" s="7">
        <v>10</v>
      </c>
      <c r="AC49" s="9">
        <f t="shared" si="11"/>
        <v>60</v>
      </c>
      <c r="AD49" s="1">
        <f t="shared" si="12"/>
        <v>420</v>
      </c>
      <c r="AE49" s="1">
        <v>12</v>
      </c>
      <c r="AF49" s="1">
        <v>84</v>
      </c>
      <c r="AG49" s="9">
        <f t="shared" si="13"/>
        <v>0.7142857142857143</v>
      </c>
      <c r="AH49" s="1">
        <f t="shared" si="5"/>
        <v>58.8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9" t="s">
        <v>120</v>
      </c>
      <c r="B50" s="1" t="s">
        <v>34</v>
      </c>
      <c r="C50" s="1"/>
      <c r="D50" s="1"/>
      <c r="E50" s="1"/>
      <c r="F50" s="1"/>
      <c r="G50" s="7">
        <v>0.7</v>
      </c>
      <c r="H50" s="1">
        <v>180</v>
      </c>
      <c r="I50" s="1" t="s">
        <v>121</v>
      </c>
      <c r="J50" s="1"/>
      <c r="K50" s="1">
        <v>10</v>
      </c>
      <c r="L50" s="1">
        <f t="shared" si="16"/>
        <v>-10</v>
      </c>
      <c r="M50" s="1"/>
      <c r="N50" s="1"/>
      <c r="O50" s="1">
        <v>120</v>
      </c>
      <c r="P50" s="1">
        <f t="shared" si="17"/>
        <v>0</v>
      </c>
      <c r="Q50" s="5"/>
      <c r="R50" s="5"/>
      <c r="S50" s="5">
        <f t="shared" si="9"/>
        <v>0</v>
      </c>
      <c r="T50" s="23"/>
      <c r="U50" s="23"/>
      <c r="V50" s="1" t="e">
        <f t="shared" si="18"/>
        <v>#DIV/0!</v>
      </c>
      <c r="W50" s="1" t="e">
        <f t="shared" si="19"/>
        <v>#DIV/0!</v>
      </c>
      <c r="X50" s="1">
        <v>0</v>
      </c>
      <c r="Y50" s="1">
        <v>0</v>
      </c>
      <c r="Z50" s="1"/>
      <c r="AA50" s="1">
        <f t="shared" si="10"/>
        <v>0</v>
      </c>
      <c r="AB50" s="7">
        <v>10</v>
      </c>
      <c r="AC50" s="9">
        <f t="shared" si="11"/>
        <v>0</v>
      </c>
      <c r="AD50" s="1">
        <f t="shared" si="12"/>
        <v>0</v>
      </c>
      <c r="AE50" s="1">
        <v>12</v>
      </c>
      <c r="AF50" s="1">
        <v>84</v>
      </c>
      <c r="AG50" s="9">
        <f t="shared" si="13"/>
        <v>0</v>
      </c>
      <c r="AH50" s="1">
        <f t="shared" si="5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9" t="s">
        <v>122</v>
      </c>
      <c r="B51" s="1" t="s">
        <v>34</v>
      </c>
      <c r="C51" s="1">
        <v>-3</v>
      </c>
      <c r="D51" s="1"/>
      <c r="E51" s="1"/>
      <c r="F51" s="1">
        <v>-3</v>
      </c>
      <c r="G51" s="7">
        <v>0.8</v>
      </c>
      <c r="H51" s="1">
        <v>180</v>
      </c>
      <c r="I51" s="1" t="s">
        <v>123</v>
      </c>
      <c r="J51" s="1"/>
      <c r="K51" s="1">
        <v>19</v>
      </c>
      <c r="L51" s="1">
        <f t="shared" si="16"/>
        <v>-19</v>
      </c>
      <c r="M51" s="1"/>
      <c r="N51" s="1"/>
      <c r="O51" s="1">
        <v>288</v>
      </c>
      <c r="P51" s="1">
        <f t="shared" si="17"/>
        <v>0</v>
      </c>
      <c r="Q51" s="5"/>
      <c r="R51" s="5">
        <f>T51</f>
        <v>350</v>
      </c>
      <c r="S51" s="5">
        <f t="shared" si="9"/>
        <v>384</v>
      </c>
      <c r="T51" s="23">
        <f>VLOOKUP(A51,[1]Sheet!$A:$T,19,0)</f>
        <v>350</v>
      </c>
      <c r="U51" s="23" t="str">
        <f>VLOOKUP(A51,[1]Sheet!$A:$T,20,0)</f>
        <v>Промо Октябрь</v>
      </c>
      <c r="V51" s="1" t="e">
        <f t="shared" si="18"/>
        <v>#DIV/0!</v>
      </c>
      <c r="W51" s="1" t="e">
        <f t="shared" si="19"/>
        <v>#DIV/0!</v>
      </c>
      <c r="X51" s="1">
        <v>0</v>
      </c>
      <c r="Y51" s="1">
        <v>2.2000000000000002</v>
      </c>
      <c r="Z51" s="1"/>
      <c r="AA51" s="1">
        <f t="shared" si="10"/>
        <v>280</v>
      </c>
      <c r="AB51" s="7">
        <v>8</v>
      </c>
      <c r="AC51" s="9">
        <f t="shared" si="11"/>
        <v>48</v>
      </c>
      <c r="AD51" s="1">
        <f t="shared" si="12"/>
        <v>307.20000000000005</v>
      </c>
      <c r="AE51" s="1">
        <v>12</v>
      </c>
      <c r="AF51" s="1">
        <v>84</v>
      </c>
      <c r="AG51" s="9">
        <f t="shared" si="13"/>
        <v>0.5714285714285714</v>
      </c>
      <c r="AH51" s="1">
        <f t="shared" si="5"/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9" t="s">
        <v>124</v>
      </c>
      <c r="B52" s="1" t="s">
        <v>34</v>
      </c>
      <c r="C52" s="1">
        <v>93</v>
      </c>
      <c r="D52" s="1">
        <v>24</v>
      </c>
      <c r="E52" s="1">
        <v>90</v>
      </c>
      <c r="F52" s="1">
        <v>6</v>
      </c>
      <c r="G52" s="7">
        <v>1</v>
      </c>
      <c r="H52" s="1">
        <v>180</v>
      </c>
      <c r="I52" s="1" t="s">
        <v>125</v>
      </c>
      <c r="J52" s="1"/>
      <c r="K52" s="1">
        <v>115</v>
      </c>
      <c r="L52" s="1">
        <f t="shared" si="16"/>
        <v>-25</v>
      </c>
      <c r="M52" s="1"/>
      <c r="N52" s="1"/>
      <c r="O52" s="1">
        <v>120</v>
      </c>
      <c r="P52" s="1">
        <f t="shared" si="17"/>
        <v>18</v>
      </c>
      <c r="Q52" s="5">
        <v>126</v>
      </c>
      <c r="R52" s="5">
        <f t="shared" si="8"/>
        <v>126</v>
      </c>
      <c r="S52" s="5">
        <f t="shared" si="9"/>
        <v>120</v>
      </c>
      <c r="T52" s="23"/>
      <c r="U52" s="23"/>
      <c r="V52" s="1">
        <f t="shared" si="18"/>
        <v>13.666666666666666</v>
      </c>
      <c r="W52" s="1">
        <f t="shared" si="19"/>
        <v>7</v>
      </c>
      <c r="X52" s="1">
        <v>12.8</v>
      </c>
      <c r="Y52" s="1">
        <v>10</v>
      </c>
      <c r="Z52" s="1"/>
      <c r="AA52" s="1">
        <f t="shared" si="10"/>
        <v>126</v>
      </c>
      <c r="AB52" s="7">
        <v>5</v>
      </c>
      <c r="AC52" s="9">
        <f t="shared" si="11"/>
        <v>24</v>
      </c>
      <c r="AD52" s="1">
        <f t="shared" si="12"/>
        <v>120</v>
      </c>
      <c r="AE52" s="1">
        <v>12</v>
      </c>
      <c r="AF52" s="1">
        <v>84</v>
      </c>
      <c r="AG52" s="9">
        <f t="shared" si="13"/>
        <v>0.2857142857142857</v>
      </c>
      <c r="AH52" s="1">
        <f t="shared" si="5"/>
        <v>18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9" t="s">
        <v>126</v>
      </c>
      <c r="B53" s="1" t="s">
        <v>34</v>
      </c>
      <c r="C53" s="1">
        <v>-7</v>
      </c>
      <c r="D53" s="1"/>
      <c r="E53" s="1"/>
      <c r="F53" s="1">
        <v>-7</v>
      </c>
      <c r="G53" s="7">
        <v>0.9</v>
      </c>
      <c r="H53" s="1">
        <v>180</v>
      </c>
      <c r="I53" s="1" t="s">
        <v>127</v>
      </c>
      <c r="J53" s="1"/>
      <c r="K53" s="1">
        <v>4</v>
      </c>
      <c r="L53" s="1">
        <f t="shared" si="16"/>
        <v>-4</v>
      </c>
      <c r="M53" s="1"/>
      <c r="N53" s="1"/>
      <c r="O53" s="1">
        <v>96</v>
      </c>
      <c r="P53" s="1">
        <f t="shared" si="17"/>
        <v>0</v>
      </c>
      <c r="Q53" s="5"/>
      <c r="R53" s="5"/>
      <c r="S53" s="5">
        <f t="shared" ref="S53:S74" si="20">AB53*AC53</f>
        <v>0</v>
      </c>
      <c r="T53" s="23"/>
      <c r="U53" s="23"/>
      <c r="V53" s="1" t="e">
        <f t="shared" si="18"/>
        <v>#DIV/0!</v>
      </c>
      <c r="W53" s="1" t="e">
        <f t="shared" si="19"/>
        <v>#DIV/0!</v>
      </c>
      <c r="X53" s="1">
        <v>0</v>
      </c>
      <c r="Y53" s="1">
        <v>1.4</v>
      </c>
      <c r="Z53" s="1"/>
      <c r="AA53" s="1">
        <f t="shared" ref="AA53:AA74" si="21">G53*R53</f>
        <v>0</v>
      </c>
      <c r="AB53" s="7">
        <v>8</v>
      </c>
      <c r="AC53" s="9">
        <f t="shared" ref="AC53:AC74" si="22">MROUND(R53, AB53*AE53)/AB53</f>
        <v>0</v>
      </c>
      <c r="AD53" s="1">
        <f t="shared" ref="AD53:AD74" si="23">AC53*AB53*G53</f>
        <v>0</v>
      </c>
      <c r="AE53" s="1">
        <v>12</v>
      </c>
      <c r="AF53" s="1">
        <v>84</v>
      </c>
      <c r="AG53" s="9">
        <f t="shared" ref="AG53:AG74" si="24">AC53/AF53</f>
        <v>0</v>
      </c>
      <c r="AH53" s="1">
        <f t="shared" si="5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9" t="s">
        <v>128</v>
      </c>
      <c r="B54" s="1" t="s">
        <v>34</v>
      </c>
      <c r="C54" s="1">
        <v>24</v>
      </c>
      <c r="D54" s="1">
        <v>3</v>
      </c>
      <c r="E54" s="1">
        <v>17</v>
      </c>
      <c r="F54" s="1">
        <v>9</v>
      </c>
      <c r="G54" s="7">
        <v>0.9</v>
      </c>
      <c r="H54" s="1">
        <v>180</v>
      </c>
      <c r="I54" s="1" t="s">
        <v>129</v>
      </c>
      <c r="J54" s="1"/>
      <c r="K54" s="1">
        <v>36</v>
      </c>
      <c r="L54" s="1">
        <f t="shared" si="16"/>
        <v>-19</v>
      </c>
      <c r="M54" s="1"/>
      <c r="N54" s="1"/>
      <c r="O54" s="1">
        <v>96</v>
      </c>
      <c r="P54" s="1">
        <f t="shared" si="17"/>
        <v>3.4</v>
      </c>
      <c r="Q54" s="5"/>
      <c r="R54" s="5"/>
      <c r="S54" s="5">
        <f t="shared" si="20"/>
        <v>0</v>
      </c>
      <c r="T54" s="23"/>
      <c r="U54" s="23"/>
      <c r="V54" s="1">
        <f t="shared" si="18"/>
        <v>30.882352941176471</v>
      </c>
      <c r="W54" s="1">
        <f t="shared" si="19"/>
        <v>30.882352941176471</v>
      </c>
      <c r="X54" s="1">
        <v>3.8</v>
      </c>
      <c r="Y54" s="1">
        <v>3.2</v>
      </c>
      <c r="Z54" s="1"/>
      <c r="AA54" s="1">
        <f t="shared" si="21"/>
        <v>0</v>
      </c>
      <c r="AB54" s="7">
        <v>8</v>
      </c>
      <c r="AC54" s="9">
        <f t="shared" si="22"/>
        <v>0</v>
      </c>
      <c r="AD54" s="1">
        <f t="shared" si="23"/>
        <v>0</v>
      </c>
      <c r="AE54" s="1">
        <v>12</v>
      </c>
      <c r="AF54" s="1">
        <v>84</v>
      </c>
      <c r="AG54" s="9">
        <f t="shared" si="24"/>
        <v>0</v>
      </c>
      <c r="AH54" s="1">
        <f t="shared" si="5"/>
        <v>3.06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9" t="s">
        <v>130</v>
      </c>
      <c r="B55" s="1" t="s">
        <v>78</v>
      </c>
      <c r="C55" s="1"/>
      <c r="D55" s="1"/>
      <c r="E55" s="1">
        <v>15</v>
      </c>
      <c r="F55" s="1">
        <v>-20</v>
      </c>
      <c r="G55" s="7">
        <v>1</v>
      </c>
      <c r="H55" s="1">
        <v>180</v>
      </c>
      <c r="I55" s="1" t="s">
        <v>131</v>
      </c>
      <c r="J55" s="1"/>
      <c r="K55" s="1">
        <v>25</v>
      </c>
      <c r="L55" s="1">
        <f t="shared" si="16"/>
        <v>-10</v>
      </c>
      <c r="M55" s="1"/>
      <c r="N55" s="1"/>
      <c r="O55" s="1">
        <v>180</v>
      </c>
      <c r="P55" s="1">
        <f t="shared" si="17"/>
        <v>3</v>
      </c>
      <c r="Q55" s="5"/>
      <c r="R55" s="5">
        <f t="shared" ref="R55:R56" si="25">T55</f>
        <v>150</v>
      </c>
      <c r="S55" s="5">
        <f t="shared" si="20"/>
        <v>180</v>
      </c>
      <c r="T55" s="23">
        <f>VLOOKUP(A55,[1]Sheet!$A:$T,19,0)</f>
        <v>150</v>
      </c>
      <c r="U55" s="23" t="str">
        <f>VLOOKUP(A55,[1]Sheet!$A:$T,20,0)</f>
        <v>Есть спрос</v>
      </c>
      <c r="V55" s="1">
        <f t="shared" si="18"/>
        <v>113.33333333333333</v>
      </c>
      <c r="W55" s="1">
        <f t="shared" si="19"/>
        <v>53.333333333333336</v>
      </c>
      <c r="X55" s="1">
        <v>3</v>
      </c>
      <c r="Y55" s="1">
        <v>5</v>
      </c>
      <c r="Z55" s="1"/>
      <c r="AA55" s="1">
        <f t="shared" si="21"/>
        <v>150</v>
      </c>
      <c r="AB55" s="7">
        <v>5</v>
      </c>
      <c r="AC55" s="9">
        <f t="shared" si="22"/>
        <v>36</v>
      </c>
      <c r="AD55" s="1">
        <f t="shared" si="23"/>
        <v>180</v>
      </c>
      <c r="AE55" s="1">
        <v>12</v>
      </c>
      <c r="AF55" s="1">
        <v>144</v>
      </c>
      <c r="AG55" s="9">
        <f t="shared" si="24"/>
        <v>0.25</v>
      </c>
      <c r="AH55" s="1">
        <f t="shared" si="5"/>
        <v>3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9" t="s">
        <v>132</v>
      </c>
      <c r="B56" s="1" t="s">
        <v>34</v>
      </c>
      <c r="C56" s="1"/>
      <c r="D56" s="1"/>
      <c r="E56" s="1"/>
      <c r="F56" s="1"/>
      <c r="G56" s="7">
        <v>1</v>
      </c>
      <c r="H56" s="1">
        <v>180</v>
      </c>
      <c r="I56" s="1" t="s">
        <v>133</v>
      </c>
      <c r="J56" s="1"/>
      <c r="K56" s="1"/>
      <c r="L56" s="1">
        <f t="shared" si="16"/>
        <v>0</v>
      </c>
      <c r="M56" s="1"/>
      <c r="N56" s="1"/>
      <c r="O56" s="1">
        <v>240</v>
      </c>
      <c r="P56" s="1">
        <f t="shared" si="17"/>
        <v>0</v>
      </c>
      <c r="Q56" s="5"/>
      <c r="R56" s="5">
        <f t="shared" si="25"/>
        <v>250</v>
      </c>
      <c r="S56" s="5">
        <f t="shared" si="20"/>
        <v>240</v>
      </c>
      <c r="T56" s="23">
        <f>VLOOKUP(A56,[1]Sheet!$A:$T,19,0)</f>
        <v>250</v>
      </c>
      <c r="U56" s="23" t="str">
        <f>VLOOKUP(A56,[1]Sheet!$A:$T,20,0)</f>
        <v>Промо Октябрь</v>
      </c>
      <c r="V56" s="1" t="e">
        <f t="shared" si="18"/>
        <v>#DIV/0!</v>
      </c>
      <c r="W56" s="1" t="e">
        <f t="shared" si="19"/>
        <v>#DIV/0!</v>
      </c>
      <c r="X56" s="1">
        <v>0</v>
      </c>
      <c r="Y56" s="1">
        <v>0</v>
      </c>
      <c r="Z56" s="1"/>
      <c r="AA56" s="1">
        <f t="shared" si="21"/>
        <v>250</v>
      </c>
      <c r="AB56" s="7">
        <v>5</v>
      </c>
      <c r="AC56" s="9">
        <f t="shared" si="22"/>
        <v>48</v>
      </c>
      <c r="AD56" s="1">
        <f t="shared" si="23"/>
        <v>240</v>
      </c>
      <c r="AE56" s="1">
        <v>12</v>
      </c>
      <c r="AF56" s="1">
        <v>84</v>
      </c>
      <c r="AG56" s="9">
        <f t="shared" si="24"/>
        <v>0.5714285714285714</v>
      </c>
      <c r="AH56" s="1">
        <f t="shared" si="5"/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9" t="s">
        <v>134</v>
      </c>
      <c r="B57" s="1" t="s">
        <v>78</v>
      </c>
      <c r="C57" s="1">
        <v>44.4</v>
      </c>
      <c r="D57" s="1">
        <v>3.7</v>
      </c>
      <c r="E57" s="1"/>
      <c r="F57" s="1">
        <v>44.4</v>
      </c>
      <c r="G57" s="7">
        <v>1</v>
      </c>
      <c r="H57" s="1">
        <v>180</v>
      </c>
      <c r="I57" s="1" t="s">
        <v>135</v>
      </c>
      <c r="J57" s="1"/>
      <c r="K57" s="1">
        <v>3.7</v>
      </c>
      <c r="L57" s="1">
        <f t="shared" si="16"/>
        <v>-3.7</v>
      </c>
      <c r="M57" s="1"/>
      <c r="N57" s="1"/>
      <c r="O57" s="1">
        <v>0</v>
      </c>
      <c r="P57" s="1">
        <f t="shared" si="17"/>
        <v>0</v>
      </c>
      <c r="Q57" s="5"/>
      <c r="R57" s="5"/>
      <c r="S57" s="5">
        <f t="shared" si="20"/>
        <v>0</v>
      </c>
      <c r="T57" s="23"/>
      <c r="U57" s="23"/>
      <c r="V57" s="1" t="e">
        <f t="shared" si="18"/>
        <v>#DIV/0!</v>
      </c>
      <c r="W57" s="1" t="e">
        <f t="shared" si="19"/>
        <v>#DIV/0!</v>
      </c>
      <c r="X57" s="1">
        <v>0</v>
      </c>
      <c r="Y57" s="1">
        <v>0</v>
      </c>
      <c r="Z57" s="21" t="s">
        <v>167</v>
      </c>
      <c r="AA57" s="1">
        <f t="shared" si="21"/>
        <v>0</v>
      </c>
      <c r="AB57" s="7">
        <v>3.7</v>
      </c>
      <c r="AC57" s="9">
        <f t="shared" si="22"/>
        <v>0</v>
      </c>
      <c r="AD57" s="1">
        <f t="shared" si="23"/>
        <v>0</v>
      </c>
      <c r="AE57" s="1">
        <v>14</v>
      </c>
      <c r="AF57" s="1">
        <v>126</v>
      </c>
      <c r="AG57" s="9">
        <f t="shared" si="24"/>
        <v>0</v>
      </c>
      <c r="AH57" s="1">
        <f t="shared" si="5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9" t="s">
        <v>136</v>
      </c>
      <c r="B58" s="1" t="s">
        <v>34</v>
      </c>
      <c r="C58" s="1">
        <v>82</v>
      </c>
      <c r="D58" s="1"/>
      <c r="E58" s="1">
        <v>68</v>
      </c>
      <c r="F58" s="1">
        <v>13</v>
      </c>
      <c r="G58" s="7">
        <v>0.23</v>
      </c>
      <c r="H58" s="1">
        <v>180</v>
      </c>
      <c r="I58" s="1" t="s">
        <v>137</v>
      </c>
      <c r="J58" s="1"/>
      <c r="K58" s="1">
        <v>65</v>
      </c>
      <c r="L58" s="1">
        <f t="shared" si="16"/>
        <v>3</v>
      </c>
      <c r="M58" s="1"/>
      <c r="N58" s="1"/>
      <c r="O58" s="1">
        <v>84</v>
      </c>
      <c r="P58" s="1">
        <f t="shared" si="17"/>
        <v>13.6</v>
      </c>
      <c r="Q58" s="5">
        <v>93.4</v>
      </c>
      <c r="R58" s="5">
        <f t="shared" si="8"/>
        <v>93.4</v>
      </c>
      <c r="S58" s="5">
        <f t="shared" si="20"/>
        <v>84</v>
      </c>
      <c r="T58" s="23"/>
      <c r="U58" s="23"/>
      <c r="V58" s="1">
        <f t="shared" si="18"/>
        <v>13.308823529411764</v>
      </c>
      <c r="W58" s="1">
        <f t="shared" si="19"/>
        <v>7.132352941176471</v>
      </c>
      <c r="X58" s="1">
        <v>7.2</v>
      </c>
      <c r="Y58" s="1">
        <v>2.6</v>
      </c>
      <c r="Z58" s="1"/>
      <c r="AA58" s="1">
        <f t="shared" si="21"/>
        <v>21.482000000000003</v>
      </c>
      <c r="AB58" s="7">
        <v>6</v>
      </c>
      <c r="AC58" s="9">
        <f t="shared" si="22"/>
        <v>14</v>
      </c>
      <c r="AD58" s="1">
        <f t="shared" si="23"/>
        <v>19.32</v>
      </c>
      <c r="AE58" s="1">
        <v>14</v>
      </c>
      <c r="AF58" s="1">
        <v>140</v>
      </c>
      <c r="AG58" s="9">
        <f t="shared" si="24"/>
        <v>0.1</v>
      </c>
      <c r="AH58" s="1">
        <f t="shared" si="5"/>
        <v>3.1280000000000001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9" t="s">
        <v>50</v>
      </c>
      <c r="B59" s="1" t="s">
        <v>34</v>
      </c>
      <c r="C59" s="1">
        <v>-22</v>
      </c>
      <c r="D59" s="1">
        <v>4</v>
      </c>
      <c r="E59" s="18">
        <f>0+E12</f>
        <v>248</v>
      </c>
      <c r="F59" s="18">
        <f>-18+F12</f>
        <v>2</v>
      </c>
      <c r="G59" s="7">
        <v>0.25</v>
      </c>
      <c r="H59" s="1">
        <v>180</v>
      </c>
      <c r="I59" s="1" t="s">
        <v>138</v>
      </c>
      <c r="J59" s="1"/>
      <c r="K59" s="1"/>
      <c r="L59" s="1">
        <f t="shared" si="16"/>
        <v>248</v>
      </c>
      <c r="M59" s="1"/>
      <c r="N59" s="1"/>
      <c r="O59" s="1">
        <v>336</v>
      </c>
      <c r="P59" s="1">
        <f t="shared" si="17"/>
        <v>49.6</v>
      </c>
      <c r="Q59" s="5">
        <v>356.4</v>
      </c>
      <c r="R59" s="5">
        <f t="shared" ref="R59:R60" si="26">T59</f>
        <v>700</v>
      </c>
      <c r="S59" s="5">
        <f t="shared" si="20"/>
        <v>672</v>
      </c>
      <c r="T59" s="23">
        <f>VLOOKUP(A59,[1]Sheet!$A:$T,19,0)</f>
        <v>700</v>
      </c>
      <c r="U59" s="23" t="str">
        <f>VLOOKUP(A59,[1]Sheet!$A:$T,20,0)</f>
        <v>Сети</v>
      </c>
      <c r="V59" s="1">
        <f t="shared" si="18"/>
        <v>20.362903225806452</v>
      </c>
      <c r="W59" s="1">
        <f t="shared" si="19"/>
        <v>6.814516129032258</v>
      </c>
      <c r="X59" s="1">
        <v>27</v>
      </c>
      <c r="Y59" s="1">
        <v>26.4</v>
      </c>
      <c r="Z59" s="1"/>
      <c r="AA59" s="1">
        <f t="shared" si="21"/>
        <v>175</v>
      </c>
      <c r="AB59" s="7">
        <v>12</v>
      </c>
      <c r="AC59" s="9">
        <f t="shared" si="22"/>
        <v>56</v>
      </c>
      <c r="AD59" s="1">
        <f t="shared" si="23"/>
        <v>168</v>
      </c>
      <c r="AE59" s="1">
        <v>14</v>
      </c>
      <c r="AF59" s="1">
        <v>70</v>
      </c>
      <c r="AG59" s="9">
        <f t="shared" si="24"/>
        <v>0.8</v>
      </c>
      <c r="AH59" s="1">
        <f t="shared" si="5"/>
        <v>12.4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9" t="s">
        <v>52</v>
      </c>
      <c r="B60" s="1" t="s">
        <v>34</v>
      </c>
      <c r="C60" s="1"/>
      <c r="D60" s="1"/>
      <c r="E60" s="18">
        <f>0+E13</f>
        <v>212</v>
      </c>
      <c r="F60" s="18">
        <f>0+F13</f>
        <v>72</v>
      </c>
      <c r="G60" s="7">
        <v>0.25</v>
      </c>
      <c r="H60" s="1">
        <v>180</v>
      </c>
      <c r="I60" s="1" t="s">
        <v>139</v>
      </c>
      <c r="J60" s="1"/>
      <c r="K60" s="1">
        <v>6</v>
      </c>
      <c r="L60" s="1">
        <f t="shared" si="16"/>
        <v>206</v>
      </c>
      <c r="M60" s="1"/>
      <c r="N60" s="1"/>
      <c r="O60" s="1">
        <v>168</v>
      </c>
      <c r="P60" s="1">
        <f t="shared" si="17"/>
        <v>42.4</v>
      </c>
      <c r="Q60" s="5">
        <v>353.6</v>
      </c>
      <c r="R60" s="5">
        <f t="shared" si="26"/>
        <v>600</v>
      </c>
      <c r="S60" s="5">
        <f t="shared" si="20"/>
        <v>672</v>
      </c>
      <c r="T60" s="23">
        <f>VLOOKUP(A60,[1]Sheet!$A:$T,19,0)</f>
        <v>600</v>
      </c>
      <c r="U60" s="23" t="str">
        <f>VLOOKUP(A60,[1]Sheet!$A:$T,20,0)</f>
        <v>Сети</v>
      </c>
      <c r="V60" s="1">
        <f t="shared" si="18"/>
        <v>21.509433962264151</v>
      </c>
      <c r="W60" s="1">
        <f t="shared" si="19"/>
        <v>5.6603773584905666</v>
      </c>
      <c r="X60" s="1">
        <v>25</v>
      </c>
      <c r="Y60" s="1">
        <v>8.4</v>
      </c>
      <c r="Z60" s="1"/>
      <c r="AA60" s="1">
        <f t="shared" si="21"/>
        <v>150</v>
      </c>
      <c r="AB60" s="7">
        <v>12</v>
      </c>
      <c r="AC60" s="9">
        <f t="shared" si="22"/>
        <v>56</v>
      </c>
      <c r="AD60" s="1">
        <f t="shared" si="23"/>
        <v>168</v>
      </c>
      <c r="AE60" s="1">
        <v>14</v>
      </c>
      <c r="AF60" s="1">
        <v>70</v>
      </c>
      <c r="AG60" s="9">
        <f t="shared" si="24"/>
        <v>0.8</v>
      </c>
      <c r="AH60" s="1">
        <f t="shared" si="5"/>
        <v>10.6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140</v>
      </c>
      <c r="B61" s="1" t="s">
        <v>34</v>
      </c>
      <c r="C61" s="1">
        <v>60</v>
      </c>
      <c r="D61" s="1"/>
      <c r="E61" s="1">
        <v>2</v>
      </c>
      <c r="F61" s="1">
        <v>58</v>
      </c>
      <c r="G61" s="7">
        <v>0.18</v>
      </c>
      <c r="H61" s="1">
        <v>180</v>
      </c>
      <c r="I61" s="1" t="s">
        <v>141</v>
      </c>
      <c r="J61" s="1"/>
      <c r="K61" s="1">
        <v>2</v>
      </c>
      <c r="L61" s="1">
        <f t="shared" si="16"/>
        <v>0</v>
      </c>
      <c r="M61" s="1"/>
      <c r="N61" s="1"/>
      <c r="O61" s="1">
        <v>0</v>
      </c>
      <c r="P61" s="1">
        <f t="shared" si="17"/>
        <v>0.4</v>
      </c>
      <c r="Q61" s="5"/>
      <c r="R61" s="5"/>
      <c r="S61" s="5">
        <f t="shared" si="20"/>
        <v>0</v>
      </c>
      <c r="T61" s="23"/>
      <c r="U61" s="23"/>
      <c r="V61" s="1">
        <f t="shared" si="18"/>
        <v>145</v>
      </c>
      <c r="W61" s="1">
        <f t="shared" si="19"/>
        <v>145</v>
      </c>
      <c r="X61" s="1">
        <v>0</v>
      </c>
      <c r="Y61" s="1">
        <v>0</v>
      </c>
      <c r="Z61" s="21" t="s">
        <v>167</v>
      </c>
      <c r="AA61" s="1">
        <f t="shared" si="21"/>
        <v>0</v>
      </c>
      <c r="AB61" s="7">
        <v>6</v>
      </c>
      <c r="AC61" s="9">
        <f t="shared" si="22"/>
        <v>0</v>
      </c>
      <c r="AD61" s="1">
        <f t="shared" si="23"/>
        <v>0</v>
      </c>
      <c r="AE61" s="1">
        <v>14</v>
      </c>
      <c r="AF61" s="1">
        <v>140</v>
      </c>
      <c r="AG61" s="9">
        <f t="shared" si="24"/>
        <v>0</v>
      </c>
      <c r="AH61" s="1">
        <f t="shared" si="5"/>
        <v>7.1999999999999995E-2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142</v>
      </c>
      <c r="B62" s="1" t="s">
        <v>34</v>
      </c>
      <c r="C62" s="1">
        <v>18</v>
      </c>
      <c r="D62" s="1">
        <v>2</v>
      </c>
      <c r="E62" s="1">
        <v>8</v>
      </c>
      <c r="F62" s="1">
        <v>6</v>
      </c>
      <c r="G62" s="7">
        <v>0.18</v>
      </c>
      <c r="H62" s="1">
        <v>180</v>
      </c>
      <c r="I62" s="1" t="s">
        <v>143</v>
      </c>
      <c r="J62" s="1"/>
      <c r="K62" s="1">
        <v>10</v>
      </c>
      <c r="L62" s="1">
        <f t="shared" si="16"/>
        <v>-2</v>
      </c>
      <c r="M62" s="1"/>
      <c r="N62" s="1"/>
      <c r="O62" s="1">
        <v>84</v>
      </c>
      <c r="P62" s="1">
        <f t="shared" si="17"/>
        <v>1.6</v>
      </c>
      <c r="Q62" s="5"/>
      <c r="R62" s="5"/>
      <c r="S62" s="5">
        <f t="shared" si="20"/>
        <v>0</v>
      </c>
      <c r="T62" s="23"/>
      <c r="U62" s="23"/>
      <c r="V62" s="1">
        <f t="shared" si="18"/>
        <v>56.25</v>
      </c>
      <c r="W62" s="1">
        <f t="shared" si="19"/>
        <v>56.25</v>
      </c>
      <c r="X62" s="1">
        <v>3.6</v>
      </c>
      <c r="Y62" s="1">
        <v>3.6</v>
      </c>
      <c r="Z62" s="1"/>
      <c r="AA62" s="1">
        <f t="shared" si="21"/>
        <v>0</v>
      </c>
      <c r="AB62" s="7">
        <v>6</v>
      </c>
      <c r="AC62" s="9">
        <f t="shared" si="22"/>
        <v>0</v>
      </c>
      <c r="AD62" s="1">
        <f t="shared" si="23"/>
        <v>0</v>
      </c>
      <c r="AE62" s="1">
        <v>14</v>
      </c>
      <c r="AF62" s="1">
        <v>140</v>
      </c>
      <c r="AG62" s="9">
        <f t="shared" si="24"/>
        <v>0</v>
      </c>
      <c r="AH62" s="1">
        <f t="shared" si="5"/>
        <v>0.28799999999999998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144</v>
      </c>
      <c r="B63" s="1" t="s">
        <v>34</v>
      </c>
      <c r="C63" s="1">
        <v>24</v>
      </c>
      <c r="D63" s="1"/>
      <c r="E63" s="1"/>
      <c r="F63" s="1">
        <v>24</v>
      </c>
      <c r="G63" s="7">
        <v>0.18</v>
      </c>
      <c r="H63" s="1">
        <v>180</v>
      </c>
      <c r="I63" s="1" t="s">
        <v>145</v>
      </c>
      <c r="J63" s="1"/>
      <c r="K63" s="1"/>
      <c r="L63" s="1">
        <f t="shared" si="16"/>
        <v>0</v>
      </c>
      <c r="M63" s="1"/>
      <c r="N63" s="1"/>
      <c r="O63" s="1">
        <v>0</v>
      </c>
      <c r="P63" s="1">
        <f t="shared" si="17"/>
        <v>0</v>
      </c>
      <c r="Q63" s="5"/>
      <c r="R63" s="5"/>
      <c r="S63" s="5">
        <f t="shared" si="20"/>
        <v>0</v>
      </c>
      <c r="T63" s="23"/>
      <c r="U63" s="23"/>
      <c r="V63" s="1" t="e">
        <f t="shared" si="18"/>
        <v>#DIV/0!</v>
      </c>
      <c r="W63" s="1" t="e">
        <f t="shared" si="19"/>
        <v>#DIV/0!</v>
      </c>
      <c r="X63" s="1">
        <v>1.2</v>
      </c>
      <c r="Y63" s="1">
        <v>1.2</v>
      </c>
      <c r="Z63" s="21" t="s">
        <v>167</v>
      </c>
      <c r="AA63" s="1">
        <f t="shared" si="21"/>
        <v>0</v>
      </c>
      <c r="AB63" s="7">
        <v>6</v>
      </c>
      <c r="AC63" s="9">
        <f t="shared" si="22"/>
        <v>0</v>
      </c>
      <c r="AD63" s="1">
        <f t="shared" si="23"/>
        <v>0</v>
      </c>
      <c r="AE63" s="1">
        <v>14</v>
      </c>
      <c r="AF63" s="1">
        <v>140</v>
      </c>
      <c r="AG63" s="9">
        <f t="shared" si="24"/>
        <v>0</v>
      </c>
      <c r="AH63" s="1">
        <f t="shared" si="5"/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146</v>
      </c>
      <c r="B64" s="1" t="s">
        <v>34</v>
      </c>
      <c r="C64" s="1">
        <v>327</v>
      </c>
      <c r="D64" s="1">
        <v>16</v>
      </c>
      <c r="E64" s="1">
        <v>189</v>
      </c>
      <c r="F64" s="1">
        <v>124</v>
      </c>
      <c r="G64" s="7">
        <v>0.3</v>
      </c>
      <c r="H64" s="1">
        <v>180</v>
      </c>
      <c r="I64" s="1" t="s">
        <v>147</v>
      </c>
      <c r="J64" s="1"/>
      <c r="K64" s="1">
        <v>197</v>
      </c>
      <c r="L64" s="1">
        <f t="shared" si="16"/>
        <v>-8</v>
      </c>
      <c r="M64" s="1"/>
      <c r="N64" s="1"/>
      <c r="O64" s="1">
        <v>168</v>
      </c>
      <c r="P64" s="1">
        <f t="shared" si="17"/>
        <v>37.799999999999997</v>
      </c>
      <c r="Q64" s="5">
        <v>237.19999999999993</v>
      </c>
      <c r="R64" s="5">
        <f t="shared" si="8"/>
        <v>237.19999999999993</v>
      </c>
      <c r="S64" s="5">
        <f t="shared" si="20"/>
        <v>168</v>
      </c>
      <c r="T64" s="23"/>
      <c r="U64" s="23"/>
      <c r="V64" s="1">
        <f t="shared" si="18"/>
        <v>12.169312169312171</v>
      </c>
      <c r="W64" s="1">
        <f t="shared" si="19"/>
        <v>7.7248677248677255</v>
      </c>
      <c r="X64" s="1">
        <v>18.600000000000001</v>
      </c>
      <c r="Y64" s="1">
        <v>5.8</v>
      </c>
      <c r="Z64" s="1"/>
      <c r="AA64" s="1">
        <f t="shared" si="21"/>
        <v>71.159999999999982</v>
      </c>
      <c r="AB64" s="7">
        <v>12</v>
      </c>
      <c r="AC64" s="9">
        <f t="shared" si="22"/>
        <v>14</v>
      </c>
      <c r="AD64" s="1">
        <f t="shared" si="23"/>
        <v>50.4</v>
      </c>
      <c r="AE64" s="1">
        <v>14</v>
      </c>
      <c r="AF64" s="1">
        <v>70</v>
      </c>
      <c r="AG64" s="9">
        <f t="shared" si="24"/>
        <v>0.2</v>
      </c>
      <c r="AH64" s="1">
        <f t="shared" si="5"/>
        <v>11.339999999999998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 t="s">
        <v>148</v>
      </c>
      <c r="B65" s="1" t="s">
        <v>34</v>
      </c>
      <c r="C65" s="1">
        <v>200</v>
      </c>
      <c r="D65" s="1">
        <v>7</v>
      </c>
      <c r="E65" s="1">
        <v>127</v>
      </c>
      <c r="F65" s="1">
        <v>79</v>
      </c>
      <c r="G65" s="7">
        <v>0.3</v>
      </c>
      <c r="H65" s="1">
        <v>180</v>
      </c>
      <c r="I65" s="1" t="s">
        <v>149</v>
      </c>
      <c r="J65" s="1"/>
      <c r="K65" s="1">
        <v>123</v>
      </c>
      <c r="L65" s="1">
        <f t="shared" si="16"/>
        <v>4</v>
      </c>
      <c r="M65" s="1"/>
      <c r="N65" s="1"/>
      <c r="O65" s="1">
        <v>168</v>
      </c>
      <c r="P65" s="1">
        <f t="shared" si="17"/>
        <v>25.4</v>
      </c>
      <c r="Q65" s="5">
        <v>108.59999999999997</v>
      </c>
      <c r="R65" s="5">
        <f t="shared" si="8"/>
        <v>108.59999999999997</v>
      </c>
      <c r="S65" s="5">
        <f t="shared" si="20"/>
        <v>168</v>
      </c>
      <c r="T65" s="23"/>
      <c r="U65" s="23"/>
      <c r="V65" s="1">
        <f t="shared" si="18"/>
        <v>16.338582677165356</v>
      </c>
      <c r="W65" s="1">
        <f t="shared" si="19"/>
        <v>9.7244094488188981</v>
      </c>
      <c r="X65" s="1">
        <v>17.8</v>
      </c>
      <c r="Y65" s="1">
        <v>24</v>
      </c>
      <c r="Z65" s="1"/>
      <c r="AA65" s="1">
        <f t="shared" si="21"/>
        <v>32.579999999999991</v>
      </c>
      <c r="AB65" s="7">
        <v>12</v>
      </c>
      <c r="AC65" s="9">
        <f t="shared" si="22"/>
        <v>14</v>
      </c>
      <c r="AD65" s="1">
        <f t="shared" si="23"/>
        <v>50.4</v>
      </c>
      <c r="AE65" s="1">
        <v>14</v>
      </c>
      <c r="AF65" s="1">
        <v>70</v>
      </c>
      <c r="AG65" s="9">
        <f t="shared" si="24"/>
        <v>0.2</v>
      </c>
      <c r="AH65" s="1">
        <f t="shared" si="5"/>
        <v>7.6199999999999992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 t="s">
        <v>150</v>
      </c>
      <c r="B66" s="1" t="s">
        <v>34</v>
      </c>
      <c r="C66" s="1">
        <v>124</v>
      </c>
      <c r="D66" s="1">
        <v>38</v>
      </c>
      <c r="E66" s="1">
        <v>98</v>
      </c>
      <c r="F66" s="1">
        <v>7</v>
      </c>
      <c r="G66" s="7">
        <v>0.3</v>
      </c>
      <c r="H66" s="1">
        <v>180</v>
      </c>
      <c r="I66" s="1" t="s">
        <v>151</v>
      </c>
      <c r="J66" s="1"/>
      <c r="K66" s="1">
        <v>157</v>
      </c>
      <c r="L66" s="1">
        <f t="shared" si="16"/>
        <v>-59</v>
      </c>
      <c r="M66" s="1"/>
      <c r="N66" s="1"/>
      <c r="O66" s="1">
        <v>196</v>
      </c>
      <c r="P66" s="1">
        <f t="shared" si="17"/>
        <v>19.600000000000001</v>
      </c>
      <c r="Q66" s="5">
        <v>110.60000000000002</v>
      </c>
      <c r="R66" s="5">
        <f>16*P66-O66-F66</f>
        <v>110.60000000000002</v>
      </c>
      <c r="S66" s="5">
        <f t="shared" si="20"/>
        <v>196</v>
      </c>
      <c r="T66" s="23"/>
      <c r="U66" s="23"/>
      <c r="V66" s="1">
        <f t="shared" si="18"/>
        <v>20.357142857142854</v>
      </c>
      <c r="W66" s="1">
        <f t="shared" si="19"/>
        <v>10.357142857142856</v>
      </c>
      <c r="X66" s="1">
        <v>20.2</v>
      </c>
      <c r="Y66" s="1">
        <v>20.8</v>
      </c>
      <c r="Z66" s="1"/>
      <c r="AA66" s="1">
        <f t="shared" si="21"/>
        <v>33.180000000000007</v>
      </c>
      <c r="AB66" s="7">
        <v>14</v>
      </c>
      <c r="AC66" s="9">
        <f t="shared" si="22"/>
        <v>14</v>
      </c>
      <c r="AD66" s="1">
        <f t="shared" si="23"/>
        <v>58.8</v>
      </c>
      <c r="AE66" s="1">
        <v>14</v>
      </c>
      <c r="AF66" s="1">
        <v>70</v>
      </c>
      <c r="AG66" s="9">
        <f t="shared" si="24"/>
        <v>0.2</v>
      </c>
      <c r="AH66" s="1">
        <f t="shared" si="5"/>
        <v>5.88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 t="s">
        <v>152</v>
      </c>
      <c r="B67" s="1" t="s">
        <v>34</v>
      </c>
      <c r="C67" s="1">
        <v>84</v>
      </c>
      <c r="D67" s="1">
        <v>2</v>
      </c>
      <c r="E67" s="1">
        <v>37</v>
      </c>
      <c r="F67" s="1">
        <v>42</v>
      </c>
      <c r="G67" s="7">
        <v>0.22</v>
      </c>
      <c r="H67" s="1"/>
      <c r="I67" s="1" t="s">
        <v>153</v>
      </c>
      <c r="J67" s="1"/>
      <c r="K67" s="1">
        <v>38</v>
      </c>
      <c r="L67" s="1">
        <f t="shared" si="16"/>
        <v>-1</v>
      </c>
      <c r="M67" s="1"/>
      <c r="N67" s="1"/>
      <c r="O67" s="1">
        <v>0</v>
      </c>
      <c r="P67" s="1">
        <f t="shared" si="17"/>
        <v>7.4</v>
      </c>
      <c r="Q67" s="5">
        <v>61.600000000000009</v>
      </c>
      <c r="R67" s="5">
        <f t="shared" si="8"/>
        <v>61.600000000000009</v>
      </c>
      <c r="S67" s="5">
        <f t="shared" si="20"/>
        <v>84</v>
      </c>
      <c r="T67" s="23"/>
      <c r="U67" s="23"/>
      <c r="V67" s="1">
        <f t="shared" si="18"/>
        <v>17.027027027027025</v>
      </c>
      <c r="W67" s="1">
        <f t="shared" si="19"/>
        <v>5.6756756756756754</v>
      </c>
      <c r="X67" s="1">
        <v>4</v>
      </c>
      <c r="Y67" s="1">
        <v>0.6</v>
      </c>
      <c r="Z67" s="1"/>
      <c r="AA67" s="1">
        <f t="shared" si="21"/>
        <v>13.552000000000001</v>
      </c>
      <c r="AB67" s="7">
        <v>6</v>
      </c>
      <c r="AC67" s="9">
        <f t="shared" si="22"/>
        <v>14</v>
      </c>
      <c r="AD67" s="1">
        <f t="shared" si="23"/>
        <v>18.48</v>
      </c>
      <c r="AE67" s="1">
        <v>14</v>
      </c>
      <c r="AF67" s="1">
        <v>140</v>
      </c>
      <c r="AG67" s="9">
        <f t="shared" si="24"/>
        <v>0.1</v>
      </c>
      <c r="AH67" s="1">
        <f t="shared" si="5"/>
        <v>1.6280000000000001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 t="s">
        <v>154</v>
      </c>
      <c r="B68" s="1" t="s">
        <v>34</v>
      </c>
      <c r="C68" s="1">
        <v>678</v>
      </c>
      <c r="D68" s="1">
        <v>213</v>
      </c>
      <c r="E68" s="1">
        <v>623</v>
      </c>
      <c r="F68" s="1">
        <v>4</v>
      </c>
      <c r="G68" s="7">
        <v>0.25</v>
      </c>
      <c r="H68" s="1">
        <v>180</v>
      </c>
      <c r="I68" s="1" t="s">
        <v>155</v>
      </c>
      <c r="J68" s="1"/>
      <c r="K68" s="1">
        <v>565</v>
      </c>
      <c r="L68" s="1">
        <f t="shared" si="16"/>
        <v>58</v>
      </c>
      <c r="M68" s="1"/>
      <c r="N68" s="1"/>
      <c r="O68" s="1">
        <v>672</v>
      </c>
      <c r="P68" s="1">
        <f t="shared" si="17"/>
        <v>124.6</v>
      </c>
      <c r="Q68" s="5">
        <v>1068.3999999999999</v>
      </c>
      <c r="R68" s="5">
        <f t="shared" si="8"/>
        <v>1068.3999999999999</v>
      </c>
      <c r="S68" s="5">
        <f t="shared" si="20"/>
        <v>1008</v>
      </c>
      <c r="T68" s="23"/>
      <c r="U68" s="23"/>
      <c r="V68" s="1">
        <f t="shared" si="18"/>
        <v>13.515248796147674</v>
      </c>
      <c r="W68" s="1">
        <f t="shared" si="19"/>
        <v>5.4253611556982344</v>
      </c>
      <c r="X68" s="1">
        <v>75</v>
      </c>
      <c r="Y68" s="1">
        <v>52.6</v>
      </c>
      <c r="Z68" s="1"/>
      <c r="AA68" s="1">
        <f t="shared" si="21"/>
        <v>267.09999999999997</v>
      </c>
      <c r="AB68" s="7">
        <v>12</v>
      </c>
      <c r="AC68" s="9">
        <f t="shared" si="22"/>
        <v>84</v>
      </c>
      <c r="AD68" s="1">
        <f t="shared" si="23"/>
        <v>252</v>
      </c>
      <c r="AE68" s="1">
        <v>14</v>
      </c>
      <c r="AF68" s="1">
        <v>70</v>
      </c>
      <c r="AG68" s="9">
        <f t="shared" si="24"/>
        <v>1.2</v>
      </c>
      <c r="AH68" s="1">
        <f t="shared" si="5"/>
        <v>31.15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 t="s">
        <v>156</v>
      </c>
      <c r="B69" s="1" t="s">
        <v>34</v>
      </c>
      <c r="C69" s="1">
        <v>532</v>
      </c>
      <c r="D69" s="1">
        <v>28</v>
      </c>
      <c r="E69" s="1">
        <v>471</v>
      </c>
      <c r="F69" s="1">
        <v>18</v>
      </c>
      <c r="G69" s="7">
        <v>0.25</v>
      </c>
      <c r="H69" s="1">
        <v>180</v>
      </c>
      <c r="I69" s="1" t="s">
        <v>157</v>
      </c>
      <c r="J69" s="1"/>
      <c r="K69" s="1">
        <v>417</v>
      </c>
      <c r="L69" s="1">
        <f t="shared" si="16"/>
        <v>54</v>
      </c>
      <c r="M69" s="1"/>
      <c r="N69" s="1"/>
      <c r="O69" s="1">
        <v>504</v>
      </c>
      <c r="P69" s="1">
        <f t="shared" si="17"/>
        <v>94.2</v>
      </c>
      <c r="Q69" s="5">
        <v>796.8</v>
      </c>
      <c r="R69" s="5">
        <f t="shared" si="8"/>
        <v>796.8</v>
      </c>
      <c r="S69" s="5">
        <f t="shared" si="20"/>
        <v>840</v>
      </c>
      <c r="T69" s="23"/>
      <c r="U69" s="23"/>
      <c r="V69" s="1">
        <f t="shared" si="18"/>
        <v>14.45859872611465</v>
      </c>
      <c r="W69" s="1">
        <f t="shared" si="19"/>
        <v>5.5414012738853504</v>
      </c>
      <c r="X69" s="1">
        <v>63</v>
      </c>
      <c r="Y69" s="1">
        <v>43</v>
      </c>
      <c r="Z69" s="1"/>
      <c r="AA69" s="1">
        <f t="shared" si="21"/>
        <v>199.2</v>
      </c>
      <c r="AB69" s="7">
        <v>12</v>
      </c>
      <c r="AC69" s="9">
        <f t="shared" si="22"/>
        <v>70</v>
      </c>
      <c r="AD69" s="1">
        <f t="shared" si="23"/>
        <v>210</v>
      </c>
      <c r="AE69" s="1">
        <v>14</v>
      </c>
      <c r="AF69" s="1">
        <v>70</v>
      </c>
      <c r="AG69" s="9">
        <f t="shared" si="24"/>
        <v>1</v>
      </c>
      <c r="AH69" s="1">
        <f t="shared" si="5"/>
        <v>23.55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 t="s">
        <v>158</v>
      </c>
      <c r="B70" s="1" t="s">
        <v>34</v>
      </c>
      <c r="C70" s="1">
        <v>31</v>
      </c>
      <c r="D70" s="1">
        <v>10</v>
      </c>
      <c r="E70" s="1">
        <v>24</v>
      </c>
      <c r="F70" s="1">
        <v>4</v>
      </c>
      <c r="G70" s="7">
        <v>0.2</v>
      </c>
      <c r="H70" s="1">
        <v>365</v>
      </c>
      <c r="I70" s="1" t="s">
        <v>159</v>
      </c>
      <c r="J70" s="1"/>
      <c r="K70" s="1">
        <v>31</v>
      </c>
      <c r="L70" s="1">
        <f t="shared" ref="L70:L74" si="27">E70-K70</f>
        <v>-7</v>
      </c>
      <c r="M70" s="1"/>
      <c r="N70" s="1"/>
      <c r="O70" s="1">
        <v>84</v>
      </c>
      <c r="P70" s="1">
        <f t="shared" si="17"/>
        <v>4.8</v>
      </c>
      <c r="Q70" s="5"/>
      <c r="R70" s="5"/>
      <c r="S70" s="5">
        <f t="shared" si="20"/>
        <v>0</v>
      </c>
      <c r="T70" s="23"/>
      <c r="U70" s="23"/>
      <c r="V70" s="1">
        <f t="shared" ref="V70:V74" si="28">(F70+O70+S70)/P70</f>
        <v>18.333333333333336</v>
      </c>
      <c r="W70" s="1">
        <f t="shared" si="19"/>
        <v>18.333333333333336</v>
      </c>
      <c r="X70" s="1">
        <v>4.4000000000000004</v>
      </c>
      <c r="Y70" s="1">
        <v>7.8</v>
      </c>
      <c r="Z70" s="1"/>
      <c r="AA70" s="1">
        <f t="shared" si="21"/>
        <v>0</v>
      </c>
      <c r="AB70" s="7">
        <v>6</v>
      </c>
      <c r="AC70" s="9">
        <f t="shared" si="22"/>
        <v>0</v>
      </c>
      <c r="AD70" s="1">
        <f t="shared" si="23"/>
        <v>0</v>
      </c>
      <c r="AE70" s="1">
        <v>14</v>
      </c>
      <c r="AF70" s="1">
        <v>140</v>
      </c>
      <c r="AG70" s="9">
        <f t="shared" si="24"/>
        <v>0</v>
      </c>
      <c r="AH70" s="1">
        <f t="shared" si="5"/>
        <v>0.96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 t="s">
        <v>160</v>
      </c>
      <c r="B71" s="1" t="s">
        <v>34</v>
      </c>
      <c r="C71" s="1">
        <v>156</v>
      </c>
      <c r="D71" s="1">
        <v>6</v>
      </c>
      <c r="E71" s="1">
        <v>111</v>
      </c>
      <c r="F71" s="1">
        <v>37</v>
      </c>
      <c r="G71" s="7">
        <v>0.23</v>
      </c>
      <c r="H71" s="1">
        <v>180</v>
      </c>
      <c r="I71" s="1" t="s">
        <v>161</v>
      </c>
      <c r="J71" s="1"/>
      <c r="K71" s="1">
        <v>111</v>
      </c>
      <c r="L71" s="1">
        <f t="shared" si="27"/>
        <v>0</v>
      </c>
      <c r="M71" s="1"/>
      <c r="N71" s="1"/>
      <c r="O71" s="1">
        <v>84</v>
      </c>
      <c r="P71" s="1">
        <f t="shared" si="17"/>
        <v>22.2</v>
      </c>
      <c r="Q71" s="5">
        <v>189.8</v>
      </c>
      <c r="R71" s="5">
        <f t="shared" si="8"/>
        <v>189.8</v>
      </c>
      <c r="S71" s="5">
        <f t="shared" si="20"/>
        <v>168</v>
      </c>
      <c r="T71" s="23"/>
      <c r="U71" s="23"/>
      <c r="V71" s="1">
        <f t="shared" si="28"/>
        <v>13.018018018018019</v>
      </c>
      <c r="W71" s="1">
        <f t="shared" si="19"/>
        <v>5.4504504504504503</v>
      </c>
      <c r="X71" s="1">
        <v>11.6</v>
      </c>
      <c r="Y71" s="1">
        <v>5.4</v>
      </c>
      <c r="Z71" s="1"/>
      <c r="AA71" s="1">
        <f t="shared" si="21"/>
        <v>43.654000000000003</v>
      </c>
      <c r="AB71" s="7">
        <v>6</v>
      </c>
      <c r="AC71" s="9">
        <f t="shared" si="22"/>
        <v>28</v>
      </c>
      <c r="AD71" s="1">
        <f t="shared" si="23"/>
        <v>38.64</v>
      </c>
      <c r="AE71" s="1">
        <v>14</v>
      </c>
      <c r="AF71" s="1">
        <v>140</v>
      </c>
      <c r="AG71" s="9">
        <f t="shared" si="24"/>
        <v>0.2</v>
      </c>
      <c r="AH71" s="1">
        <f t="shared" ref="AH71:AH74" si="29">P71*G71</f>
        <v>5.1059999999999999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 t="s">
        <v>162</v>
      </c>
      <c r="B72" s="1" t="s">
        <v>34</v>
      </c>
      <c r="C72" s="1">
        <v>232</v>
      </c>
      <c r="D72" s="1">
        <v>3</v>
      </c>
      <c r="E72" s="1">
        <v>100</v>
      </c>
      <c r="F72" s="1">
        <v>130</v>
      </c>
      <c r="G72" s="7">
        <v>0.23</v>
      </c>
      <c r="H72" s="1"/>
      <c r="I72" s="1" t="s">
        <v>153</v>
      </c>
      <c r="J72" s="1"/>
      <c r="K72" s="1">
        <v>92</v>
      </c>
      <c r="L72" s="1">
        <f t="shared" si="27"/>
        <v>8</v>
      </c>
      <c r="M72" s="1"/>
      <c r="N72" s="1"/>
      <c r="O72" s="1">
        <v>84</v>
      </c>
      <c r="P72" s="1">
        <f t="shared" si="17"/>
        <v>20</v>
      </c>
      <c r="Q72" s="5">
        <v>66</v>
      </c>
      <c r="R72" s="5">
        <f t="shared" si="8"/>
        <v>66</v>
      </c>
      <c r="S72" s="5">
        <f t="shared" si="20"/>
        <v>84</v>
      </c>
      <c r="T72" s="23"/>
      <c r="U72" s="23"/>
      <c r="V72" s="1">
        <f t="shared" si="28"/>
        <v>14.9</v>
      </c>
      <c r="W72" s="1">
        <f t="shared" si="19"/>
        <v>10.7</v>
      </c>
      <c r="X72" s="1">
        <v>14.2</v>
      </c>
      <c r="Y72" s="1">
        <v>5</v>
      </c>
      <c r="Z72" s="1"/>
      <c r="AA72" s="1">
        <f t="shared" si="21"/>
        <v>15.180000000000001</v>
      </c>
      <c r="AB72" s="7">
        <v>6</v>
      </c>
      <c r="AC72" s="9">
        <f t="shared" si="22"/>
        <v>14</v>
      </c>
      <c r="AD72" s="1">
        <f t="shared" si="23"/>
        <v>19.32</v>
      </c>
      <c r="AE72" s="1">
        <v>14</v>
      </c>
      <c r="AF72" s="1">
        <v>140</v>
      </c>
      <c r="AG72" s="9">
        <f t="shared" si="24"/>
        <v>0.1</v>
      </c>
      <c r="AH72" s="1">
        <f t="shared" si="29"/>
        <v>4.6000000000000005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 t="s">
        <v>163</v>
      </c>
      <c r="B73" s="1" t="s">
        <v>78</v>
      </c>
      <c r="C73" s="1">
        <v>18.899999999999999</v>
      </c>
      <c r="D73" s="1"/>
      <c r="E73" s="1"/>
      <c r="F73" s="1">
        <v>18.899999999999999</v>
      </c>
      <c r="G73" s="7">
        <v>1</v>
      </c>
      <c r="H73" s="1">
        <v>180</v>
      </c>
      <c r="I73" s="1" t="s">
        <v>164</v>
      </c>
      <c r="J73" s="1"/>
      <c r="K73" s="1"/>
      <c r="L73" s="1">
        <f t="shared" si="27"/>
        <v>0</v>
      </c>
      <c r="M73" s="1"/>
      <c r="N73" s="1"/>
      <c r="O73" s="1">
        <v>0</v>
      </c>
      <c r="P73" s="1">
        <f t="shared" si="17"/>
        <v>0</v>
      </c>
      <c r="Q73" s="5"/>
      <c r="R73" s="5"/>
      <c r="S73" s="5">
        <f t="shared" si="20"/>
        <v>0</v>
      </c>
      <c r="T73" s="23"/>
      <c r="U73" s="23"/>
      <c r="V73" s="1" t="e">
        <f t="shared" si="28"/>
        <v>#DIV/0!</v>
      </c>
      <c r="W73" s="1" t="e">
        <f t="shared" si="19"/>
        <v>#DIV/0!</v>
      </c>
      <c r="X73" s="1">
        <v>0</v>
      </c>
      <c r="Y73" s="1">
        <v>0</v>
      </c>
      <c r="Z73" s="21" t="s">
        <v>167</v>
      </c>
      <c r="AA73" s="1">
        <f t="shared" si="21"/>
        <v>0</v>
      </c>
      <c r="AB73" s="7">
        <v>2.7</v>
      </c>
      <c r="AC73" s="9">
        <f t="shared" si="22"/>
        <v>0</v>
      </c>
      <c r="AD73" s="1">
        <f t="shared" si="23"/>
        <v>0</v>
      </c>
      <c r="AE73" s="1">
        <v>14</v>
      </c>
      <c r="AF73" s="1">
        <v>126</v>
      </c>
      <c r="AG73" s="9">
        <f t="shared" si="24"/>
        <v>0</v>
      </c>
      <c r="AH73" s="1">
        <f t="shared" si="29"/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 t="s">
        <v>165</v>
      </c>
      <c r="B74" s="1" t="s">
        <v>78</v>
      </c>
      <c r="C74" s="1">
        <v>125</v>
      </c>
      <c r="D74" s="1">
        <v>20</v>
      </c>
      <c r="E74" s="1">
        <v>50</v>
      </c>
      <c r="F74" s="1">
        <v>85</v>
      </c>
      <c r="G74" s="7">
        <v>1</v>
      </c>
      <c r="H74" s="1">
        <v>180</v>
      </c>
      <c r="I74" s="1" t="s">
        <v>166</v>
      </c>
      <c r="J74" s="1"/>
      <c r="K74" s="1">
        <v>50</v>
      </c>
      <c r="L74" s="1">
        <f t="shared" si="27"/>
        <v>0</v>
      </c>
      <c r="M74" s="1"/>
      <c r="N74" s="1"/>
      <c r="O74" s="1">
        <v>120</v>
      </c>
      <c r="P74" s="1">
        <f t="shared" si="17"/>
        <v>10</v>
      </c>
      <c r="Q74" s="5"/>
      <c r="R74" s="5"/>
      <c r="S74" s="5">
        <f t="shared" si="20"/>
        <v>0</v>
      </c>
      <c r="T74" s="23"/>
      <c r="U74" s="23"/>
      <c r="V74" s="1">
        <f t="shared" si="28"/>
        <v>20.5</v>
      </c>
      <c r="W74" s="1">
        <f t="shared" si="19"/>
        <v>20.5</v>
      </c>
      <c r="X74" s="1">
        <v>8</v>
      </c>
      <c r="Y74" s="1">
        <v>8</v>
      </c>
      <c r="Z74" s="1"/>
      <c r="AA74" s="1">
        <f t="shared" si="21"/>
        <v>0</v>
      </c>
      <c r="AB74" s="7">
        <v>5</v>
      </c>
      <c r="AC74" s="9">
        <f t="shared" si="22"/>
        <v>0</v>
      </c>
      <c r="AD74" s="1">
        <f t="shared" si="23"/>
        <v>0</v>
      </c>
      <c r="AE74" s="1">
        <v>12</v>
      </c>
      <c r="AF74" s="1">
        <v>84</v>
      </c>
      <c r="AG74" s="9">
        <f t="shared" si="24"/>
        <v>0</v>
      </c>
      <c r="AH74" s="1">
        <f t="shared" si="29"/>
        <v>10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7"/>
      <c r="AC75" s="9"/>
      <c r="AD75" s="1"/>
      <c r="AE75" s="1"/>
      <c r="AF75" s="1"/>
      <c r="AG75" s="9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7"/>
      <c r="AC76" s="9"/>
      <c r="AD76" s="1"/>
      <c r="AE76" s="1"/>
      <c r="AF76" s="1"/>
      <c r="AG76" s="9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7"/>
      <c r="AC77" s="9"/>
      <c r="AD77" s="1"/>
      <c r="AE77" s="1"/>
      <c r="AF77" s="1"/>
      <c r="AG77" s="9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7"/>
      <c r="AC78" s="9"/>
      <c r="AD78" s="1"/>
      <c r="AE78" s="1"/>
      <c r="AF78" s="1"/>
      <c r="AG78" s="9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7"/>
      <c r="AC79" s="9"/>
      <c r="AD79" s="1"/>
      <c r="AE79" s="1"/>
      <c r="AF79" s="1"/>
      <c r="AG79" s="9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7"/>
      <c r="AC80" s="9"/>
      <c r="AD80" s="1"/>
      <c r="AE80" s="1"/>
      <c r="AF80" s="1"/>
      <c r="AG80" s="9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7"/>
      <c r="AC81" s="9"/>
      <c r="AD81" s="1"/>
      <c r="AE81" s="1"/>
      <c r="AF81" s="1"/>
      <c r="AG81" s="9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7"/>
      <c r="AC82" s="9"/>
      <c r="AD82" s="1"/>
      <c r="AE82" s="1"/>
      <c r="AF82" s="1"/>
      <c r="AG82" s="9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7"/>
      <c r="AC83" s="9"/>
      <c r="AD83" s="1"/>
      <c r="AE83" s="1"/>
      <c r="AF83" s="1"/>
      <c r="AG83" s="9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7"/>
      <c r="AC84" s="9"/>
      <c r="AD84" s="1"/>
      <c r="AE84" s="1"/>
      <c r="AF84" s="1"/>
      <c r="AG84" s="9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7"/>
      <c r="AC85" s="9"/>
      <c r="AD85" s="1"/>
      <c r="AE85" s="1"/>
      <c r="AF85" s="1"/>
      <c r="AG85" s="9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7"/>
      <c r="AC86" s="9"/>
      <c r="AD86" s="1"/>
      <c r="AE86" s="1"/>
      <c r="AF86" s="1"/>
      <c r="AG86" s="9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7"/>
      <c r="AC87" s="9"/>
      <c r="AD87" s="1"/>
      <c r="AE87" s="1"/>
      <c r="AF87" s="1"/>
      <c r="AG87" s="9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7"/>
      <c r="AC88" s="9"/>
      <c r="AD88" s="1"/>
      <c r="AE88" s="1"/>
      <c r="AF88" s="1"/>
      <c r="AG88" s="9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7"/>
      <c r="AC89" s="9"/>
      <c r="AD89" s="1"/>
      <c r="AE89" s="1"/>
      <c r="AF89" s="1"/>
      <c r="AG89" s="9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7"/>
      <c r="AC90" s="9"/>
      <c r="AD90" s="1"/>
      <c r="AE90" s="1"/>
      <c r="AF90" s="1"/>
      <c r="AG90" s="9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7"/>
      <c r="AC91" s="9"/>
      <c r="AD91" s="1"/>
      <c r="AE91" s="1"/>
      <c r="AF91" s="1"/>
      <c r="AG91" s="9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7"/>
      <c r="AC92" s="9"/>
      <c r="AD92" s="1"/>
      <c r="AE92" s="1"/>
      <c r="AF92" s="1"/>
      <c r="AG92" s="9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7"/>
      <c r="AC93" s="9"/>
      <c r="AD93" s="1"/>
      <c r="AE93" s="1"/>
      <c r="AF93" s="1"/>
      <c r="AG93" s="9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7"/>
      <c r="AC94" s="9"/>
      <c r="AD94" s="1"/>
      <c r="AE94" s="1"/>
      <c r="AF94" s="1"/>
      <c r="AG94" s="9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7"/>
      <c r="AC95" s="9"/>
      <c r="AD95" s="1"/>
      <c r="AE95" s="1"/>
      <c r="AF95" s="1"/>
      <c r="AG95" s="9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7"/>
      <c r="AC96" s="9"/>
      <c r="AD96" s="1"/>
      <c r="AE96" s="1"/>
      <c r="AF96" s="1"/>
      <c r="AG96" s="9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7"/>
      <c r="AC97" s="9"/>
      <c r="AD97" s="1"/>
      <c r="AE97" s="1"/>
      <c r="AF97" s="1"/>
      <c r="AG97" s="9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7"/>
      <c r="AC98" s="9"/>
      <c r="AD98" s="1"/>
      <c r="AE98" s="1"/>
      <c r="AF98" s="1"/>
      <c r="AG98" s="9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7"/>
      <c r="AC99" s="9"/>
      <c r="AD99" s="1"/>
      <c r="AE99" s="1"/>
      <c r="AF99" s="1"/>
      <c r="AG99" s="9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7"/>
      <c r="AC100" s="9"/>
      <c r="AD100" s="1"/>
      <c r="AE100" s="1"/>
      <c r="AF100" s="1"/>
      <c r="AG100" s="9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7"/>
      <c r="AC101" s="9"/>
      <c r="AD101" s="1"/>
      <c r="AE101" s="1"/>
      <c r="AF101" s="1"/>
      <c r="AG101" s="9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7"/>
      <c r="AC102" s="9"/>
      <c r="AD102" s="1"/>
      <c r="AE102" s="1"/>
      <c r="AF102" s="1"/>
      <c r="AG102" s="9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7"/>
      <c r="AC103" s="9"/>
      <c r="AD103" s="1"/>
      <c r="AE103" s="1"/>
      <c r="AF103" s="1"/>
      <c r="AG103" s="9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7"/>
      <c r="AC104" s="9"/>
      <c r="AD104" s="1"/>
      <c r="AE104" s="1"/>
      <c r="AF104" s="1"/>
      <c r="AG104" s="9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7"/>
      <c r="AC105" s="9"/>
      <c r="AD105" s="1"/>
      <c r="AE105" s="1"/>
      <c r="AF105" s="1"/>
      <c r="AG105" s="9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7"/>
      <c r="AC106" s="9"/>
      <c r="AD106" s="1"/>
      <c r="AE106" s="1"/>
      <c r="AF106" s="1"/>
      <c r="AG106" s="9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7"/>
      <c r="AC107" s="9"/>
      <c r="AD107" s="1"/>
      <c r="AE107" s="1"/>
      <c r="AF107" s="1"/>
      <c r="AG107" s="9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7"/>
      <c r="AC108" s="9"/>
      <c r="AD108" s="1"/>
      <c r="AE108" s="1"/>
      <c r="AF108" s="1"/>
      <c r="AG108" s="9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7"/>
      <c r="AC109" s="9"/>
      <c r="AD109" s="1"/>
      <c r="AE109" s="1"/>
      <c r="AF109" s="1"/>
      <c r="AG109" s="9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7"/>
      <c r="AC110" s="9"/>
      <c r="AD110" s="1"/>
      <c r="AE110" s="1"/>
      <c r="AF110" s="1"/>
      <c r="AG110" s="9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7"/>
      <c r="AC111" s="9"/>
      <c r="AD111" s="1"/>
      <c r="AE111" s="1"/>
      <c r="AF111" s="1"/>
      <c r="AG111" s="9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7"/>
      <c r="AC112" s="9"/>
      <c r="AD112" s="1"/>
      <c r="AE112" s="1"/>
      <c r="AF112" s="1"/>
      <c r="AG112" s="9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7"/>
      <c r="AC113" s="9"/>
      <c r="AD113" s="1"/>
      <c r="AE113" s="1"/>
      <c r="AF113" s="1"/>
      <c r="AG113" s="9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7"/>
      <c r="AC114" s="9"/>
      <c r="AD114" s="1"/>
      <c r="AE114" s="1"/>
      <c r="AF114" s="1"/>
      <c r="AG114" s="9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7"/>
      <c r="AC115" s="9"/>
      <c r="AD115" s="1"/>
      <c r="AE115" s="1"/>
      <c r="AF115" s="1"/>
      <c r="AG115" s="9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7"/>
      <c r="AC116" s="9"/>
      <c r="AD116" s="1"/>
      <c r="AE116" s="1"/>
      <c r="AF116" s="1"/>
      <c r="AG116" s="9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7"/>
      <c r="AC117" s="9"/>
      <c r="AD117" s="1"/>
      <c r="AE117" s="1"/>
      <c r="AF117" s="1"/>
      <c r="AG117" s="9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7"/>
      <c r="AC118" s="9"/>
      <c r="AD118" s="1"/>
      <c r="AE118" s="1"/>
      <c r="AF118" s="1"/>
      <c r="AG118" s="9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7"/>
      <c r="AC119" s="9"/>
      <c r="AD119" s="1"/>
      <c r="AE119" s="1"/>
      <c r="AF119" s="1"/>
      <c r="AG119" s="9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7"/>
      <c r="AC120" s="9"/>
      <c r="AD120" s="1"/>
      <c r="AE120" s="1"/>
      <c r="AF120" s="1"/>
      <c r="AG120" s="9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7"/>
      <c r="AC121" s="9"/>
      <c r="AD121" s="1"/>
      <c r="AE121" s="1"/>
      <c r="AF121" s="1"/>
      <c r="AG121" s="9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7"/>
      <c r="AC122" s="9"/>
      <c r="AD122" s="1"/>
      <c r="AE122" s="1"/>
      <c r="AF122" s="1"/>
      <c r="AG122" s="9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7"/>
      <c r="AC123" s="9"/>
      <c r="AD123" s="1"/>
      <c r="AE123" s="1"/>
      <c r="AF123" s="1"/>
      <c r="AG123" s="9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7"/>
      <c r="AC124" s="9"/>
      <c r="AD124" s="1"/>
      <c r="AE124" s="1"/>
      <c r="AF124" s="1"/>
      <c r="AG124" s="9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7"/>
      <c r="AC125" s="9"/>
      <c r="AD125" s="1"/>
      <c r="AE125" s="1"/>
      <c r="AF125" s="1"/>
      <c r="AG125" s="9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7"/>
      <c r="AC126" s="9"/>
      <c r="AD126" s="1"/>
      <c r="AE126" s="1"/>
      <c r="AF126" s="1"/>
      <c r="AG126" s="9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7"/>
      <c r="AC127" s="9"/>
      <c r="AD127" s="1"/>
      <c r="AE127" s="1"/>
      <c r="AF127" s="1"/>
      <c r="AG127" s="9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7"/>
      <c r="AC128" s="9"/>
      <c r="AD128" s="1"/>
      <c r="AE128" s="1"/>
      <c r="AF128" s="1"/>
      <c r="AG128" s="9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7"/>
      <c r="AC129" s="9"/>
      <c r="AD129" s="1"/>
      <c r="AE129" s="1"/>
      <c r="AF129" s="1"/>
      <c r="AG129" s="9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7"/>
      <c r="AC130" s="9"/>
      <c r="AD130" s="1"/>
      <c r="AE130" s="1"/>
      <c r="AF130" s="1"/>
      <c r="AG130" s="9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7"/>
      <c r="AC131" s="9"/>
      <c r="AD131" s="1"/>
      <c r="AE131" s="1"/>
      <c r="AF131" s="1"/>
      <c r="AG131" s="9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7"/>
      <c r="AC132" s="9"/>
      <c r="AD132" s="1"/>
      <c r="AE132" s="1"/>
      <c r="AF132" s="1"/>
      <c r="AG132" s="9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7"/>
      <c r="AC133" s="9"/>
      <c r="AD133" s="1"/>
      <c r="AE133" s="1"/>
      <c r="AF133" s="1"/>
      <c r="AG133" s="9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7"/>
      <c r="AC134" s="9"/>
      <c r="AD134" s="1"/>
      <c r="AE134" s="1"/>
      <c r="AF134" s="1"/>
      <c r="AG134" s="9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7"/>
      <c r="AC135" s="9"/>
      <c r="AD135" s="1"/>
      <c r="AE135" s="1"/>
      <c r="AF135" s="1"/>
      <c r="AG135" s="9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7"/>
      <c r="AC136" s="9"/>
      <c r="AD136" s="1"/>
      <c r="AE136" s="1"/>
      <c r="AF136" s="1"/>
      <c r="AG136" s="9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7"/>
      <c r="AC137" s="9"/>
      <c r="AD137" s="1"/>
      <c r="AE137" s="1"/>
      <c r="AF137" s="1"/>
      <c r="AG137" s="9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7"/>
      <c r="AC138" s="9"/>
      <c r="AD138" s="1"/>
      <c r="AE138" s="1"/>
      <c r="AF138" s="1"/>
      <c r="AG138" s="9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7"/>
      <c r="AC139" s="9"/>
      <c r="AD139" s="1"/>
      <c r="AE139" s="1"/>
      <c r="AF139" s="1"/>
      <c r="AG139" s="9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7"/>
      <c r="AC140" s="9"/>
      <c r="AD140" s="1"/>
      <c r="AE140" s="1"/>
      <c r="AF140" s="1"/>
      <c r="AG140" s="9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7"/>
      <c r="AC141" s="9"/>
      <c r="AD141" s="1"/>
      <c r="AE141" s="1"/>
      <c r="AF141" s="1"/>
      <c r="AG141" s="9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7"/>
      <c r="AC142" s="9"/>
      <c r="AD142" s="1"/>
      <c r="AE142" s="1"/>
      <c r="AF142" s="1"/>
      <c r="AG142" s="9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7"/>
      <c r="AC143" s="9"/>
      <c r="AD143" s="1"/>
      <c r="AE143" s="1"/>
      <c r="AF143" s="1"/>
      <c r="AG143" s="9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7"/>
      <c r="AC144" s="9"/>
      <c r="AD144" s="1"/>
      <c r="AE144" s="1"/>
      <c r="AF144" s="1"/>
      <c r="AG144" s="9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7"/>
      <c r="AC145" s="9"/>
      <c r="AD145" s="1"/>
      <c r="AE145" s="1"/>
      <c r="AF145" s="1"/>
      <c r="AG145" s="9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7"/>
      <c r="AC146" s="9"/>
      <c r="AD146" s="1"/>
      <c r="AE146" s="1"/>
      <c r="AF146" s="1"/>
      <c r="AG146" s="9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7"/>
      <c r="AC147" s="9"/>
      <c r="AD147" s="1"/>
      <c r="AE147" s="1"/>
      <c r="AF147" s="1"/>
      <c r="AG147" s="9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7"/>
      <c r="AC148" s="9"/>
      <c r="AD148" s="1"/>
      <c r="AE148" s="1"/>
      <c r="AF148" s="1"/>
      <c r="AG148" s="9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7"/>
      <c r="AC149" s="9"/>
      <c r="AD149" s="1"/>
      <c r="AE149" s="1"/>
      <c r="AF149" s="1"/>
      <c r="AG149" s="9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7"/>
      <c r="AC150" s="9"/>
      <c r="AD150" s="1"/>
      <c r="AE150" s="1"/>
      <c r="AF150" s="1"/>
      <c r="AG150" s="9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7"/>
      <c r="AC151" s="9"/>
      <c r="AD151" s="1"/>
      <c r="AE151" s="1"/>
      <c r="AF151" s="1"/>
      <c r="AG151" s="9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7"/>
      <c r="AC152" s="9"/>
      <c r="AD152" s="1"/>
      <c r="AE152" s="1"/>
      <c r="AF152" s="1"/>
      <c r="AG152" s="9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7"/>
      <c r="AC153" s="9"/>
      <c r="AD153" s="1"/>
      <c r="AE153" s="1"/>
      <c r="AF153" s="1"/>
      <c r="AG153" s="9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7"/>
      <c r="AC154" s="9"/>
      <c r="AD154" s="1"/>
      <c r="AE154" s="1"/>
      <c r="AF154" s="1"/>
      <c r="AG154" s="9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7"/>
      <c r="AC155" s="9"/>
      <c r="AD155" s="1"/>
      <c r="AE155" s="1"/>
      <c r="AF155" s="1"/>
      <c r="AG155" s="9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7"/>
      <c r="AC156" s="9"/>
      <c r="AD156" s="1"/>
      <c r="AE156" s="1"/>
      <c r="AF156" s="1"/>
      <c r="AG156" s="9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7"/>
      <c r="AC157" s="9"/>
      <c r="AD157" s="1"/>
      <c r="AE157" s="1"/>
      <c r="AF157" s="1"/>
      <c r="AG157" s="9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7"/>
      <c r="AC158" s="9"/>
      <c r="AD158" s="1"/>
      <c r="AE158" s="1"/>
      <c r="AF158" s="1"/>
      <c r="AG158" s="9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7"/>
      <c r="AC159" s="9"/>
      <c r="AD159" s="1"/>
      <c r="AE159" s="1"/>
      <c r="AF159" s="1"/>
      <c r="AG159" s="9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7"/>
      <c r="AC160" s="9"/>
      <c r="AD160" s="1"/>
      <c r="AE160" s="1"/>
      <c r="AF160" s="1"/>
      <c r="AG160" s="9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7"/>
      <c r="AC161" s="9"/>
      <c r="AD161" s="1"/>
      <c r="AE161" s="1"/>
      <c r="AF161" s="1"/>
      <c r="AG161" s="9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7"/>
      <c r="AC162" s="9"/>
      <c r="AD162" s="1"/>
      <c r="AE162" s="1"/>
      <c r="AF162" s="1"/>
      <c r="AG162" s="9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7"/>
      <c r="AC163" s="9"/>
      <c r="AD163" s="1"/>
      <c r="AE163" s="1"/>
      <c r="AF163" s="1"/>
      <c r="AG163" s="9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7"/>
      <c r="AC164" s="9"/>
      <c r="AD164" s="1"/>
      <c r="AE164" s="1"/>
      <c r="AF164" s="1"/>
      <c r="AG164" s="9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7"/>
      <c r="AC165" s="9"/>
      <c r="AD165" s="1"/>
      <c r="AE165" s="1"/>
      <c r="AF165" s="1"/>
      <c r="AG165" s="9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7"/>
      <c r="AC166" s="9"/>
      <c r="AD166" s="1"/>
      <c r="AE166" s="1"/>
      <c r="AF166" s="1"/>
      <c r="AG166" s="9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7"/>
      <c r="AC167" s="9"/>
      <c r="AD167" s="1"/>
      <c r="AE167" s="1"/>
      <c r="AF167" s="1"/>
      <c r="AG167" s="9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7"/>
      <c r="AC168" s="9"/>
      <c r="AD168" s="1"/>
      <c r="AE168" s="1"/>
      <c r="AF168" s="1"/>
      <c r="AG168" s="9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7"/>
      <c r="AC169" s="9"/>
      <c r="AD169" s="1"/>
      <c r="AE169" s="1"/>
      <c r="AF169" s="1"/>
      <c r="AG169" s="9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7"/>
      <c r="AC170" s="9"/>
      <c r="AD170" s="1"/>
      <c r="AE170" s="1"/>
      <c r="AF170" s="1"/>
      <c r="AG170" s="9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7"/>
      <c r="AC171" s="9"/>
      <c r="AD171" s="1"/>
      <c r="AE171" s="1"/>
      <c r="AF171" s="1"/>
      <c r="AG171" s="9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7"/>
      <c r="AC172" s="9"/>
      <c r="AD172" s="1"/>
      <c r="AE172" s="1"/>
      <c r="AF172" s="1"/>
      <c r="AG172" s="9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7"/>
      <c r="AC173" s="9"/>
      <c r="AD173" s="1"/>
      <c r="AE173" s="1"/>
      <c r="AF173" s="1"/>
      <c r="AG173" s="9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7"/>
      <c r="AC174" s="9"/>
      <c r="AD174" s="1"/>
      <c r="AE174" s="1"/>
      <c r="AF174" s="1"/>
      <c r="AG174" s="9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7"/>
      <c r="AC175" s="9"/>
      <c r="AD175" s="1"/>
      <c r="AE175" s="1"/>
      <c r="AF175" s="1"/>
      <c r="AG175" s="9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7"/>
      <c r="AC176" s="9"/>
      <c r="AD176" s="1"/>
      <c r="AE176" s="1"/>
      <c r="AF176" s="1"/>
      <c r="AG176" s="9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7"/>
      <c r="AC177" s="9"/>
      <c r="AD177" s="1"/>
      <c r="AE177" s="1"/>
      <c r="AF177" s="1"/>
      <c r="AG177" s="9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7"/>
      <c r="AC178" s="9"/>
      <c r="AD178" s="1"/>
      <c r="AE178" s="1"/>
      <c r="AF178" s="1"/>
      <c r="AG178" s="9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7"/>
      <c r="AC179" s="9"/>
      <c r="AD179" s="1"/>
      <c r="AE179" s="1"/>
      <c r="AF179" s="1"/>
      <c r="AG179" s="9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7"/>
      <c r="AC180" s="9"/>
      <c r="AD180" s="1"/>
      <c r="AE180" s="1"/>
      <c r="AF180" s="1"/>
      <c r="AG180" s="9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7"/>
      <c r="AC181" s="9"/>
      <c r="AD181" s="1"/>
      <c r="AE181" s="1"/>
      <c r="AF181" s="1"/>
      <c r="AG181" s="9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7"/>
      <c r="AC182" s="9"/>
      <c r="AD182" s="1"/>
      <c r="AE182" s="1"/>
      <c r="AF182" s="1"/>
      <c r="AG182" s="9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7"/>
      <c r="AC183" s="9"/>
      <c r="AD183" s="1"/>
      <c r="AE183" s="1"/>
      <c r="AF183" s="1"/>
      <c r="AG183" s="9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7"/>
      <c r="AC184" s="9"/>
      <c r="AD184" s="1"/>
      <c r="AE184" s="1"/>
      <c r="AF184" s="1"/>
      <c r="AG184" s="9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7"/>
      <c r="AC185" s="9"/>
      <c r="AD185" s="1"/>
      <c r="AE185" s="1"/>
      <c r="AF185" s="1"/>
      <c r="AG185" s="9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7"/>
      <c r="AC186" s="9"/>
      <c r="AD186" s="1"/>
      <c r="AE186" s="1"/>
      <c r="AF186" s="1"/>
      <c r="AG186" s="9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7"/>
      <c r="AC187" s="9"/>
      <c r="AD187" s="1"/>
      <c r="AE187" s="1"/>
      <c r="AF187" s="1"/>
      <c r="AG187" s="9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7"/>
      <c r="AC188" s="9"/>
      <c r="AD188" s="1"/>
      <c r="AE188" s="1"/>
      <c r="AF188" s="1"/>
      <c r="AG188" s="9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7"/>
      <c r="AC189" s="9"/>
      <c r="AD189" s="1"/>
      <c r="AE189" s="1"/>
      <c r="AF189" s="1"/>
      <c r="AG189" s="9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7"/>
      <c r="AC190" s="9"/>
      <c r="AD190" s="1"/>
      <c r="AE190" s="1"/>
      <c r="AF190" s="1"/>
      <c r="AG190" s="9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7"/>
      <c r="AC191" s="9"/>
      <c r="AD191" s="1"/>
      <c r="AE191" s="1"/>
      <c r="AF191" s="1"/>
      <c r="AG191" s="9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7"/>
      <c r="AC192" s="9"/>
      <c r="AD192" s="1"/>
      <c r="AE192" s="1"/>
      <c r="AF192" s="1"/>
      <c r="AG192" s="9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7"/>
      <c r="AC193" s="9"/>
      <c r="AD193" s="1"/>
      <c r="AE193" s="1"/>
      <c r="AF193" s="1"/>
      <c r="AG193" s="9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7"/>
      <c r="AC194" s="9"/>
      <c r="AD194" s="1"/>
      <c r="AE194" s="1"/>
      <c r="AF194" s="1"/>
      <c r="AG194" s="9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7"/>
      <c r="AC195" s="9"/>
      <c r="AD195" s="1"/>
      <c r="AE195" s="1"/>
      <c r="AF195" s="1"/>
      <c r="AG195" s="9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7"/>
      <c r="AC196" s="9"/>
      <c r="AD196" s="1"/>
      <c r="AE196" s="1"/>
      <c r="AF196" s="1"/>
      <c r="AG196" s="9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7"/>
      <c r="AC197" s="9"/>
      <c r="AD197" s="1"/>
      <c r="AE197" s="1"/>
      <c r="AF197" s="1"/>
      <c r="AG197" s="9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7"/>
      <c r="AC198" s="9"/>
      <c r="AD198" s="1"/>
      <c r="AE198" s="1"/>
      <c r="AF198" s="1"/>
      <c r="AG198" s="9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7"/>
      <c r="AC199" s="9"/>
      <c r="AD199" s="1"/>
      <c r="AE199" s="1"/>
      <c r="AF199" s="1"/>
      <c r="AG199" s="9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7"/>
      <c r="AC200" s="9"/>
      <c r="AD200" s="1"/>
      <c r="AE200" s="1"/>
      <c r="AF200" s="1"/>
      <c r="AG200" s="9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7"/>
      <c r="AC201" s="9"/>
      <c r="AD201" s="1"/>
      <c r="AE201" s="1"/>
      <c r="AF201" s="1"/>
      <c r="AG201" s="9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7"/>
      <c r="AC202" s="9"/>
      <c r="AD202" s="1"/>
      <c r="AE202" s="1"/>
      <c r="AF202" s="1"/>
      <c r="AG202" s="9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7"/>
      <c r="AC203" s="9"/>
      <c r="AD203" s="1"/>
      <c r="AE203" s="1"/>
      <c r="AF203" s="1"/>
      <c r="AG203" s="9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7"/>
      <c r="AC204" s="9"/>
      <c r="AD204" s="1"/>
      <c r="AE204" s="1"/>
      <c r="AF204" s="1"/>
      <c r="AG204" s="9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7"/>
      <c r="AC205" s="9"/>
      <c r="AD205" s="1"/>
      <c r="AE205" s="1"/>
      <c r="AF205" s="1"/>
      <c r="AG205" s="9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7"/>
      <c r="AC206" s="9"/>
      <c r="AD206" s="1"/>
      <c r="AE206" s="1"/>
      <c r="AF206" s="1"/>
      <c r="AG206" s="9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7"/>
      <c r="AC207" s="9"/>
      <c r="AD207" s="1"/>
      <c r="AE207" s="1"/>
      <c r="AF207" s="1"/>
      <c r="AG207" s="9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7"/>
      <c r="AC208" s="9"/>
      <c r="AD208" s="1"/>
      <c r="AE208" s="1"/>
      <c r="AF208" s="1"/>
      <c r="AG208" s="9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7"/>
      <c r="AC209" s="9"/>
      <c r="AD209" s="1"/>
      <c r="AE209" s="1"/>
      <c r="AF209" s="1"/>
      <c r="AG209" s="9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7"/>
      <c r="AC210" s="9"/>
      <c r="AD210" s="1"/>
      <c r="AE210" s="1"/>
      <c r="AF210" s="1"/>
      <c r="AG210" s="9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7"/>
      <c r="AC211" s="9"/>
      <c r="AD211" s="1"/>
      <c r="AE211" s="1"/>
      <c r="AF211" s="1"/>
      <c r="AG211" s="9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7"/>
      <c r="AC212" s="9"/>
      <c r="AD212" s="1"/>
      <c r="AE212" s="1"/>
      <c r="AF212" s="1"/>
      <c r="AG212" s="9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7"/>
      <c r="AC213" s="9"/>
      <c r="AD213" s="1"/>
      <c r="AE213" s="1"/>
      <c r="AF213" s="1"/>
      <c r="AG213" s="9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7"/>
      <c r="AC214" s="9"/>
      <c r="AD214" s="1"/>
      <c r="AE214" s="1"/>
      <c r="AF214" s="1"/>
      <c r="AG214" s="9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7"/>
      <c r="AC215" s="9"/>
      <c r="AD215" s="1"/>
      <c r="AE215" s="1"/>
      <c r="AF215" s="1"/>
      <c r="AG215" s="9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7"/>
      <c r="AC216" s="9"/>
      <c r="AD216" s="1"/>
      <c r="AE216" s="1"/>
      <c r="AF216" s="1"/>
      <c r="AG216" s="9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7"/>
      <c r="AC217" s="9"/>
      <c r="AD217" s="1"/>
      <c r="AE217" s="1"/>
      <c r="AF217" s="1"/>
      <c r="AG217" s="9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7"/>
      <c r="AC218" s="9"/>
      <c r="AD218" s="1"/>
      <c r="AE218" s="1"/>
      <c r="AF218" s="1"/>
      <c r="AG218" s="9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7"/>
      <c r="AC219" s="9"/>
      <c r="AD219" s="1"/>
      <c r="AE219" s="1"/>
      <c r="AF219" s="1"/>
      <c r="AG219" s="9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7"/>
      <c r="AC220" s="9"/>
      <c r="AD220" s="1"/>
      <c r="AE220" s="1"/>
      <c r="AF220" s="1"/>
      <c r="AG220" s="9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7"/>
      <c r="AC221" s="9"/>
      <c r="AD221" s="1"/>
      <c r="AE221" s="1"/>
      <c r="AF221" s="1"/>
      <c r="AG221" s="9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7"/>
      <c r="AC222" s="9"/>
      <c r="AD222" s="1"/>
      <c r="AE222" s="1"/>
      <c r="AF222" s="1"/>
      <c r="AG222" s="9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7"/>
      <c r="AC223" s="9"/>
      <c r="AD223" s="1"/>
      <c r="AE223" s="1"/>
      <c r="AF223" s="1"/>
      <c r="AG223" s="9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7"/>
      <c r="AC224" s="9"/>
      <c r="AD224" s="1"/>
      <c r="AE224" s="1"/>
      <c r="AF224" s="1"/>
      <c r="AG224" s="9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7"/>
      <c r="AC225" s="9"/>
      <c r="AD225" s="1"/>
      <c r="AE225" s="1"/>
      <c r="AF225" s="1"/>
      <c r="AG225" s="9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7"/>
      <c r="AC226" s="9"/>
      <c r="AD226" s="1"/>
      <c r="AE226" s="1"/>
      <c r="AF226" s="1"/>
      <c r="AG226" s="9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7"/>
      <c r="AC227" s="9"/>
      <c r="AD227" s="1"/>
      <c r="AE227" s="1"/>
      <c r="AF227" s="1"/>
      <c r="AG227" s="9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7"/>
      <c r="AC228" s="9"/>
      <c r="AD228" s="1"/>
      <c r="AE228" s="1"/>
      <c r="AF228" s="1"/>
      <c r="AG228" s="9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7"/>
      <c r="AC229" s="9"/>
      <c r="AD229" s="1"/>
      <c r="AE229" s="1"/>
      <c r="AF229" s="1"/>
      <c r="AG229" s="9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7"/>
      <c r="AC230" s="9"/>
      <c r="AD230" s="1"/>
      <c r="AE230" s="1"/>
      <c r="AF230" s="1"/>
      <c r="AG230" s="9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7"/>
      <c r="AC231" s="9"/>
      <c r="AD231" s="1"/>
      <c r="AE231" s="1"/>
      <c r="AF231" s="1"/>
      <c r="AG231" s="9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7"/>
      <c r="AC232" s="9"/>
      <c r="AD232" s="1"/>
      <c r="AE232" s="1"/>
      <c r="AF232" s="1"/>
      <c r="AG232" s="9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7"/>
      <c r="AC233" s="9"/>
      <c r="AD233" s="1"/>
      <c r="AE233" s="1"/>
      <c r="AF233" s="1"/>
      <c r="AG233" s="9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7"/>
      <c r="AC234" s="9"/>
      <c r="AD234" s="1"/>
      <c r="AE234" s="1"/>
      <c r="AF234" s="1"/>
      <c r="AG234" s="9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7"/>
      <c r="AC235" s="9"/>
      <c r="AD235" s="1"/>
      <c r="AE235" s="1"/>
      <c r="AF235" s="1"/>
      <c r="AG235" s="9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7"/>
      <c r="AC236" s="9"/>
      <c r="AD236" s="1"/>
      <c r="AE236" s="1"/>
      <c r="AF236" s="1"/>
      <c r="AG236" s="9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7"/>
      <c r="AC237" s="9"/>
      <c r="AD237" s="1"/>
      <c r="AE237" s="1"/>
      <c r="AF237" s="1"/>
      <c r="AG237" s="9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7"/>
      <c r="AC238" s="9"/>
      <c r="AD238" s="1"/>
      <c r="AE238" s="1"/>
      <c r="AF238" s="1"/>
      <c r="AG238" s="9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7"/>
      <c r="AC239" s="9"/>
      <c r="AD239" s="1"/>
      <c r="AE239" s="1"/>
      <c r="AF239" s="1"/>
      <c r="AG239" s="9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7"/>
      <c r="AC240" s="9"/>
      <c r="AD240" s="1"/>
      <c r="AE240" s="1"/>
      <c r="AF240" s="1"/>
      <c r="AG240" s="9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7"/>
      <c r="AC241" s="9"/>
      <c r="AD241" s="1"/>
      <c r="AE241" s="1"/>
      <c r="AF241" s="1"/>
      <c r="AG241" s="9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7"/>
      <c r="AC242" s="9"/>
      <c r="AD242" s="1"/>
      <c r="AE242" s="1"/>
      <c r="AF242" s="1"/>
      <c r="AG242" s="9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7"/>
      <c r="AC243" s="9"/>
      <c r="AD243" s="1"/>
      <c r="AE243" s="1"/>
      <c r="AF243" s="1"/>
      <c r="AG243" s="9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7"/>
      <c r="AC244" s="9"/>
      <c r="AD244" s="1"/>
      <c r="AE244" s="1"/>
      <c r="AF244" s="1"/>
      <c r="AG244" s="9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7"/>
      <c r="AC245" s="9"/>
      <c r="AD245" s="1"/>
      <c r="AE245" s="1"/>
      <c r="AF245" s="1"/>
      <c r="AG245" s="9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7"/>
      <c r="AC246" s="9"/>
      <c r="AD246" s="1"/>
      <c r="AE246" s="1"/>
      <c r="AF246" s="1"/>
      <c r="AG246" s="9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7"/>
      <c r="AC247" s="9"/>
      <c r="AD247" s="1"/>
      <c r="AE247" s="1"/>
      <c r="AF247" s="1"/>
      <c r="AG247" s="9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7"/>
      <c r="AC248" s="9"/>
      <c r="AD248" s="1"/>
      <c r="AE248" s="1"/>
      <c r="AF248" s="1"/>
      <c r="AG248" s="9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7"/>
      <c r="AC249" s="9"/>
      <c r="AD249" s="1"/>
      <c r="AE249" s="1"/>
      <c r="AF249" s="1"/>
      <c r="AG249" s="9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7"/>
      <c r="AC250" s="9"/>
      <c r="AD250" s="1"/>
      <c r="AE250" s="1"/>
      <c r="AF250" s="1"/>
      <c r="AG250" s="9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7"/>
      <c r="AC251" s="9"/>
      <c r="AD251" s="1"/>
      <c r="AE251" s="1"/>
      <c r="AF251" s="1"/>
      <c r="AG251" s="9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7"/>
      <c r="AC252" s="9"/>
      <c r="AD252" s="1"/>
      <c r="AE252" s="1"/>
      <c r="AF252" s="1"/>
      <c r="AG252" s="9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7"/>
      <c r="AC253" s="9"/>
      <c r="AD253" s="1"/>
      <c r="AE253" s="1"/>
      <c r="AF253" s="1"/>
      <c r="AG253" s="9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7"/>
      <c r="AC254" s="9"/>
      <c r="AD254" s="1"/>
      <c r="AE254" s="1"/>
      <c r="AF254" s="1"/>
      <c r="AG254" s="9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7"/>
      <c r="AC255" s="9"/>
      <c r="AD255" s="1"/>
      <c r="AE255" s="1"/>
      <c r="AF255" s="1"/>
      <c r="AG255" s="9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7"/>
      <c r="AC256" s="9"/>
      <c r="AD256" s="1"/>
      <c r="AE256" s="1"/>
      <c r="AF256" s="1"/>
      <c r="AG256" s="9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7"/>
      <c r="AC257" s="9"/>
      <c r="AD257" s="1"/>
      <c r="AE257" s="1"/>
      <c r="AF257" s="1"/>
      <c r="AG257" s="9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7"/>
      <c r="AC258" s="9"/>
      <c r="AD258" s="1"/>
      <c r="AE258" s="1"/>
      <c r="AF258" s="1"/>
      <c r="AG258" s="9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7"/>
      <c r="AC259" s="9"/>
      <c r="AD259" s="1"/>
      <c r="AE259" s="1"/>
      <c r="AF259" s="1"/>
      <c r="AG259" s="9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7"/>
      <c r="AC260" s="9"/>
      <c r="AD260" s="1"/>
      <c r="AE260" s="1"/>
      <c r="AF260" s="1"/>
      <c r="AG260" s="9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7"/>
      <c r="AC261" s="9"/>
      <c r="AD261" s="1"/>
      <c r="AE261" s="1"/>
      <c r="AF261" s="1"/>
      <c r="AG261" s="9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7"/>
      <c r="AC262" s="9"/>
      <c r="AD262" s="1"/>
      <c r="AE262" s="1"/>
      <c r="AF262" s="1"/>
      <c r="AG262" s="9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7"/>
      <c r="AC263" s="9"/>
      <c r="AD263" s="1"/>
      <c r="AE263" s="1"/>
      <c r="AF263" s="1"/>
      <c r="AG263" s="9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7"/>
      <c r="AC264" s="9"/>
      <c r="AD264" s="1"/>
      <c r="AE264" s="1"/>
      <c r="AF264" s="1"/>
      <c r="AG264" s="9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7"/>
      <c r="AC265" s="9"/>
      <c r="AD265" s="1"/>
      <c r="AE265" s="1"/>
      <c r="AF265" s="1"/>
      <c r="AG265" s="9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7"/>
      <c r="AC266" s="9"/>
      <c r="AD266" s="1"/>
      <c r="AE266" s="1"/>
      <c r="AF266" s="1"/>
      <c r="AG266" s="9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7"/>
      <c r="AC267" s="9"/>
      <c r="AD267" s="1"/>
      <c r="AE267" s="1"/>
      <c r="AF267" s="1"/>
      <c r="AG267" s="9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7"/>
      <c r="AC268" s="9"/>
      <c r="AD268" s="1"/>
      <c r="AE268" s="1"/>
      <c r="AF268" s="1"/>
      <c r="AG268" s="9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7"/>
      <c r="AC269" s="9"/>
      <c r="AD269" s="1"/>
      <c r="AE269" s="1"/>
      <c r="AF269" s="1"/>
      <c r="AG269" s="9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7"/>
      <c r="AC270" s="9"/>
      <c r="AD270" s="1"/>
      <c r="AE270" s="1"/>
      <c r="AF270" s="1"/>
      <c r="AG270" s="9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7"/>
      <c r="AC271" s="9"/>
      <c r="AD271" s="1"/>
      <c r="AE271" s="1"/>
      <c r="AF271" s="1"/>
      <c r="AG271" s="9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7"/>
      <c r="AC272" s="9"/>
      <c r="AD272" s="1"/>
      <c r="AE272" s="1"/>
      <c r="AF272" s="1"/>
      <c r="AG272" s="9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7"/>
      <c r="AC273" s="9"/>
      <c r="AD273" s="1"/>
      <c r="AE273" s="1"/>
      <c r="AF273" s="1"/>
      <c r="AG273" s="9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7"/>
      <c r="AC274" s="9"/>
      <c r="AD274" s="1"/>
      <c r="AE274" s="1"/>
      <c r="AF274" s="1"/>
      <c r="AG274" s="9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7"/>
      <c r="AC275" s="9"/>
      <c r="AD275" s="1"/>
      <c r="AE275" s="1"/>
      <c r="AF275" s="1"/>
      <c r="AG275" s="9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7"/>
      <c r="AC276" s="9"/>
      <c r="AD276" s="1"/>
      <c r="AE276" s="1"/>
      <c r="AF276" s="1"/>
      <c r="AG276" s="9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7"/>
      <c r="AC277" s="9"/>
      <c r="AD277" s="1"/>
      <c r="AE277" s="1"/>
      <c r="AF277" s="1"/>
      <c r="AG277" s="9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7"/>
      <c r="AC278" s="9"/>
      <c r="AD278" s="1"/>
      <c r="AE278" s="1"/>
      <c r="AF278" s="1"/>
      <c r="AG278" s="9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7"/>
      <c r="AC279" s="9"/>
      <c r="AD279" s="1"/>
      <c r="AE279" s="1"/>
      <c r="AF279" s="1"/>
      <c r="AG279" s="9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7"/>
      <c r="AC280" s="9"/>
      <c r="AD280" s="1"/>
      <c r="AE280" s="1"/>
      <c r="AF280" s="1"/>
      <c r="AG280" s="9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7"/>
      <c r="AC281" s="9"/>
      <c r="AD281" s="1"/>
      <c r="AE281" s="1"/>
      <c r="AF281" s="1"/>
      <c r="AG281" s="9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7"/>
      <c r="AC282" s="9"/>
      <c r="AD282" s="1"/>
      <c r="AE282" s="1"/>
      <c r="AF282" s="1"/>
      <c r="AG282" s="9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7"/>
      <c r="AC283" s="9"/>
      <c r="AD283" s="1"/>
      <c r="AE283" s="1"/>
      <c r="AF283" s="1"/>
      <c r="AG283" s="9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7"/>
      <c r="AC284" s="9"/>
      <c r="AD284" s="1"/>
      <c r="AE284" s="1"/>
      <c r="AF284" s="1"/>
      <c r="AG284" s="9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7"/>
      <c r="AC285" s="9"/>
      <c r="AD285" s="1"/>
      <c r="AE285" s="1"/>
      <c r="AF285" s="1"/>
      <c r="AG285" s="9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7"/>
      <c r="AC286" s="9"/>
      <c r="AD286" s="1"/>
      <c r="AE286" s="1"/>
      <c r="AF286" s="1"/>
      <c r="AG286" s="9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7"/>
      <c r="AC287" s="9"/>
      <c r="AD287" s="1"/>
      <c r="AE287" s="1"/>
      <c r="AF287" s="1"/>
      <c r="AG287" s="9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7"/>
      <c r="AC288" s="9"/>
      <c r="AD288" s="1"/>
      <c r="AE288" s="1"/>
      <c r="AF288" s="1"/>
      <c r="AG288" s="9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7"/>
      <c r="AC289" s="9"/>
      <c r="AD289" s="1"/>
      <c r="AE289" s="1"/>
      <c r="AF289" s="1"/>
      <c r="AG289" s="9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7"/>
      <c r="AC290" s="9"/>
      <c r="AD290" s="1"/>
      <c r="AE290" s="1"/>
      <c r="AF290" s="1"/>
      <c r="AG290" s="9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7"/>
      <c r="AC291" s="9"/>
      <c r="AD291" s="1"/>
      <c r="AE291" s="1"/>
      <c r="AF291" s="1"/>
      <c r="AG291" s="9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7"/>
      <c r="AC292" s="9"/>
      <c r="AD292" s="1"/>
      <c r="AE292" s="1"/>
      <c r="AF292" s="1"/>
      <c r="AG292" s="9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7"/>
      <c r="AC293" s="9"/>
      <c r="AD293" s="1"/>
      <c r="AE293" s="1"/>
      <c r="AF293" s="1"/>
      <c r="AG293" s="9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7"/>
      <c r="AC294" s="9"/>
      <c r="AD294" s="1"/>
      <c r="AE294" s="1"/>
      <c r="AF294" s="1"/>
      <c r="AG294" s="9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7"/>
      <c r="AC295" s="9"/>
      <c r="AD295" s="1"/>
      <c r="AE295" s="1"/>
      <c r="AF295" s="1"/>
      <c r="AG295" s="9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7"/>
      <c r="AC296" s="9"/>
      <c r="AD296" s="1"/>
      <c r="AE296" s="1"/>
      <c r="AF296" s="1"/>
      <c r="AG296" s="9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7"/>
      <c r="AC297" s="9"/>
      <c r="AD297" s="1"/>
      <c r="AE297" s="1"/>
      <c r="AF297" s="1"/>
      <c r="AG297" s="9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7"/>
      <c r="AC298" s="9"/>
      <c r="AD298" s="1"/>
      <c r="AE298" s="1"/>
      <c r="AF298" s="1"/>
      <c r="AG298" s="9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7"/>
      <c r="AC299" s="9"/>
      <c r="AD299" s="1"/>
      <c r="AE299" s="1"/>
      <c r="AF299" s="1"/>
      <c r="AG299" s="9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7"/>
      <c r="AC300" s="9"/>
      <c r="AD300" s="1"/>
      <c r="AE300" s="1"/>
      <c r="AF300" s="1"/>
      <c r="AG300" s="9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7"/>
      <c r="AC301" s="9"/>
      <c r="AD301" s="1"/>
      <c r="AE301" s="1"/>
      <c r="AF301" s="1"/>
      <c r="AG301" s="9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7"/>
      <c r="AC302" s="9"/>
      <c r="AD302" s="1"/>
      <c r="AE302" s="1"/>
      <c r="AF302" s="1"/>
      <c r="AG302" s="9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7"/>
      <c r="AC303" s="9"/>
      <c r="AD303" s="1"/>
      <c r="AE303" s="1"/>
      <c r="AF303" s="1"/>
      <c r="AG303" s="9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7"/>
      <c r="AC304" s="9"/>
      <c r="AD304" s="1"/>
      <c r="AE304" s="1"/>
      <c r="AF304" s="1"/>
      <c r="AG304" s="9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7"/>
      <c r="AC305" s="9"/>
      <c r="AD305" s="1"/>
      <c r="AE305" s="1"/>
      <c r="AF305" s="1"/>
      <c r="AG305" s="9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7"/>
      <c r="AC306" s="9"/>
      <c r="AD306" s="1"/>
      <c r="AE306" s="1"/>
      <c r="AF306" s="1"/>
      <c r="AG306" s="9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7"/>
      <c r="AC307" s="9"/>
      <c r="AD307" s="1"/>
      <c r="AE307" s="1"/>
      <c r="AF307" s="1"/>
      <c r="AG307" s="9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7"/>
      <c r="AC308" s="9"/>
      <c r="AD308" s="1"/>
      <c r="AE308" s="1"/>
      <c r="AF308" s="1"/>
      <c r="AG308" s="9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7"/>
      <c r="AC309" s="9"/>
      <c r="AD309" s="1"/>
      <c r="AE309" s="1"/>
      <c r="AF309" s="1"/>
      <c r="AG309" s="9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7"/>
      <c r="AC310" s="9"/>
      <c r="AD310" s="1"/>
      <c r="AE310" s="1"/>
      <c r="AF310" s="1"/>
      <c r="AG310" s="9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7"/>
      <c r="AC311" s="9"/>
      <c r="AD311" s="1"/>
      <c r="AE311" s="1"/>
      <c r="AF311" s="1"/>
      <c r="AG311" s="9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7"/>
      <c r="AC312" s="9"/>
      <c r="AD312" s="1"/>
      <c r="AE312" s="1"/>
      <c r="AF312" s="1"/>
      <c r="AG312" s="9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7"/>
      <c r="AC313" s="9"/>
      <c r="AD313" s="1"/>
      <c r="AE313" s="1"/>
      <c r="AF313" s="1"/>
      <c r="AG313" s="9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7"/>
      <c r="AC314" s="9"/>
      <c r="AD314" s="1"/>
      <c r="AE314" s="1"/>
      <c r="AF314" s="1"/>
      <c r="AG314" s="9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7"/>
      <c r="AC315" s="9"/>
      <c r="AD315" s="1"/>
      <c r="AE315" s="1"/>
      <c r="AF315" s="1"/>
      <c r="AG315" s="9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7"/>
      <c r="AC316" s="9"/>
      <c r="AD316" s="1"/>
      <c r="AE316" s="1"/>
      <c r="AF316" s="1"/>
      <c r="AG316" s="9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7"/>
      <c r="AC317" s="9"/>
      <c r="AD317" s="1"/>
      <c r="AE317" s="1"/>
      <c r="AF317" s="1"/>
      <c r="AG317" s="9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7"/>
      <c r="AC318" s="9"/>
      <c r="AD318" s="1"/>
      <c r="AE318" s="1"/>
      <c r="AF318" s="1"/>
      <c r="AG318" s="9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7"/>
      <c r="AC319" s="9"/>
      <c r="AD319" s="1"/>
      <c r="AE319" s="1"/>
      <c r="AF319" s="1"/>
      <c r="AG319" s="9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7"/>
      <c r="AC320" s="9"/>
      <c r="AD320" s="1"/>
      <c r="AE320" s="1"/>
      <c r="AF320" s="1"/>
      <c r="AG320" s="9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7"/>
      <c r="AC321" s="9"/>
      <c r="AD321" s="1"/>
      <c r="AE321" s="1"/>
      <c r="AF321" s="1"/>
      <c r="AG321" s="9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7"/>
      <c r="AC322" s="9"/>
      <c r="AD322" s="1"/>
      <c r="AE322" s="1"/>
      <c r="AF322" s="1"/>
      <c r="AG322" s="9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7"/>
      <c r="AC323" s="9"/>
      <c r="AD323" s="1"/>
      <c r="AE323" s="1"/>
      <c r="AF323" s="1"/>
      <c r="AG323" s="9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7"/>
      <c r="AC324" s="9"/>
      <c r="AD324" s="1"/>
      <c r="AE324" s="1"/>
      <c r="AF324" s="1"/>
      <c r="AG324" s="9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7"/>
      <c r="AC325" s="9"/>
      <c r="AD325" s="1"/>
      <c r="AE325" s="1"/>
      <c r="AF325" s="1"/>
      <c r="AG325" s="9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7"/>
      <c r="AC326" s="9"/>
      <c r="AD326" s="1"/>
      <c r="AE326" s="1"/>
      <c r="AF326" s="1"/>
      <c r="AG326" s="9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7"/>
      <c r="AC327" s="9"/>
      <c r="AD327" s="1"/>
      <c r="AE327" s="1"/>
      <c r="AF327" s="1"/>
      <c r="AG327" s="9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7"/>
      <c r="AC328" s="9"/>
      <c r="AD328" s="1"/>
      <c r="AE328" s="1"/>
      <c r="AF328" s="1"/>
      <c r="AG328" s="9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7"/>
      <c r="AC329" s="9"/>
      <c r="AD329" s="1"/>
      <c r="AE329" s="1"/>
      <c r="AF329" s="1"/>
      <c r="AG329" s="9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7"/>
      <c r="AC330" s="9"/>
      <c r="AD330" s="1"/>
      <c r="AE330" s="1"/>
      <c r="AF330" s="1"/>
      <c r="AG330" s="9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7"/>
      <c r="AC331" s="9"/>
      <c r="AD331" s="1"/>
      <c r="AE331" s="1"/>
      <c r="AF331" s="1"/>
      <c r="AG331" s="9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7"/>
      <c r="AC332" s="9"/>
      <c r="AD332" s="1"/>
      <c r="AE332" s="1"/>
      <c r="AF332" s="1"/>
      <c r="AG332" s="9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7"/>
      <c r="AC333" s="9"/>
      <c r="AD333" s="1"/>
      <c r="AE333" s="1"/>
      <c r="AF333" s="1"/>
      <c r="AG333" s="9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7"/>
      <c r="AC334" s="9"/>
      <c r="AD334" s="1"/>
      <c r="AE334" s="1"/>
      <c r="AF334" s="1"/>
      <c r="AG334" s="9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7"/>
      <c r="AC335" s="9"/>
      <c r="AD335" s="1"/>
      <c r="AE335" s="1"/>
      <c r="AF335" s="1"/>
      <c r="AG335" s="9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7"/>
      <c r="AC336" s="9"/>
      <c r="AD336" s="1"/>
      <c r="AE336" s="1"/>
      <c r="AF336" s="1"/>
      <c r="AG336" s="9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7"/>
      <c r="AC337" s="9"/>
      <c r="AD337" s="1"/>
      <c r="AE337" s="1"/>
      <c r="AF337" s="1"/>
      <c r="AG337" s="9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7"/>
      <c r="AC338" s="9"/>
      <c r="AD338" s="1"/>
      <c r="AE338" s="1"/>
      <c r="AF338" s="1"/>
      <c r="AG338" s="9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7"/>
      <c r="AC339" s="9"/>
      <c r="AD339" s="1"/>
      <c r="AE339" s="1"/>
      <c r="AF339" s="1"/>
      <c r="AG339" s="9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7"/>
      <c r="AC340" s="9"/>
      <c r="AD340" s="1"/>
      <c r="AE340" s="1"/>
      <c r="AF340" s="1"/>
      <c r="AG340" s="9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7"/>
      <c r="AC341" s="9"/>
      <c r="AD341" s="1"/>
      <c r="AE341" s="1"/>
      <c r="AF341" s="1"/>
      <c r="AG341" s="9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7"/>
      <c r="AC342" s="9"/>
      <c r="AD342" s="1"/>
      <c r="AE342" s="1"/>
      <c r="AF342" s="1"/>
      <c r="AG342" s="9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7"/>
      <c r="AC343" s="9"/>
      <c r="AD343" s="1"/>
      <c r="AE343" s="1"/>
      <c r="AF343" s="1"/>
      <c r="AG343" s="9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7"/>
      <c r="AC344" s="9"/>
      <c r="AD344" s="1"/>
      <c r="AE344" s="1"/>
      <c r="AF344" s="1"/>
      <c r="AG344" s="9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7"/>
      <c r="AC345" s="9"/>
      <c r="AD345" s="1"/>
      <c r="AE345" s="1"/>
      <c r="AF345" s="1"/>
      <c r="AG345" s="9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7"/>
      <c r="AC346" s="9"/>
      <c r="AD346" s="1"/>
      <c r="AE346" s="1"/>
      <c r="AF346" s="1"/>
      <c r="AG346" s="9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7"/>
      <c r="AC347" s="9"/>
      <c r="AD347" s="1"/>
      <c r="AE347" s="1"/>
      <c r="AF347" s="1"/>
      <c r="AG347" s="9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7"/>
      <c r="AC348" s="9"/>
      <c r="AD348" s="1"/>
      <c r="AE348" s="1"/>
      <c r="AF348" s="1"/>
      <c r="AG348" s="9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7"/>
      <c r="AC349" s="9"/>
      <c r="AD349" s="1"/>
      <c r="AE349" s="1"/>
      <c r="AF349" s="1"/>
      <c r="AG349" s="9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7"/>
      <c r="AC350" s="9"/>
      <c r="AD350" s="1"/>
      <c r="AE350" s="1"/>
      <c r="AF350" s="1"/>
      <c r="AG350" s="9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7"/>
      <c r="AC351" s="9"/>
      <c r="AD351" s="1"/>
      <c r="AE351" s="1"/>
      <c r="AF351" s="1"/>
      <c r="AG351" s="9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7"/>
      <c r="AC352" s="9"/>
      <c r="AD352" s="1"/>
      <c r="AE352" s="1"/>
      <c r="AF352" s="1"/>
      <c r="AG352" s="9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7"/>
      <c r="AC353" s="9"/>
      <c r="AD353" s="1"/>
      <c r="AE353" s="1"/>
      <c r="AF353" s="1"/>
      <c r="AG353" s="9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7"/>
      <c r="AC354" s="9"/>
      <c r="AD354" s="1"/>
      <c r="AE354" s="1"/>
      <c r="AF354" s="1"/>
      <c r="AG354" s="9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7"/>
      <c r="AC355" s="9"/>
      <c r="AD355" s="1"/>
      <c r="AE355" s="1"/>
      <c r="AF355" s="1"/>
      <c r="AG355" s="9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7"/>
      <c r="AC356" s="9"/>
      <c r="AD356" s="1"/>
      <c r="AE356" s="1"/>
      <c r="AF356" s="1"/>
      <c r="AG356" s="9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7"/>
      <c r="AC357" s="9"/>
      <c r="AD357" s="1"/>
      <c r="AE357" s="1"/>
      <c r="AF357" s="1"/>
      <c r="AG357" s="9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7"/>
      <c r="AC358" s="9"/>
      <c r="AD358" s="1"/>
      <c r="AE358" s="1"/>
      <c r="AF358" s="1"/>
      <c r="AG358" s="9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7"/>
      <c r="AC359" s="9"/>
      <c r="AD359" s="1"/>
      <c r="AE359" s="1"/>
      <c r="AF359" s="1"/>
      <c r="AG359" s="9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7"/>
      <c r="AC360" s="9"/>
      <c r="AD360" s="1"/>
      <c r="AE360" s="1"/>
      <c r="AF360" s="1"/>
      <c r="AG360" s="9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7"/>
      <c r="AC361" s="9"/>
      <c r="AD361" s="1"/>
      <c r="AE361" s="1"/>
      <c r="AF361" s="1"/>
      <c r="AG361" s="9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7"/>
      <c r="AC362" s="9"/>
      <c r="AD362" s="1"/>
      <c r="AE362" s="1"/>
      <c r="AF362" s="1"/>
      <c r="AG362" s="9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7"/>
      <c r="AC363" s="9"/>
      <c r="AD363" s="1"/>
      <c r="AE363" s="1"/>
      <c r="AF363" s="1"/>
      <c r="AG363" s="9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7"/>
      <c r="AC364" s="9"/>
      <c r="AD364" s="1"/>
      <c r="AE364" s="1"/>
      <c r="AF364" s="1"/>
      <c r="AG364" s="9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7"/>
      <c r="AC365" s="9"/>
      <c r="AD365" s="1"/>
      <c r="AE365" s="1"/>
      <c r="AF365" s="1"/>
      <c r="AG365" s="9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7"/>
      <c r="AC366" s="9"/>
      <c r="AD366" s="1"/>
      <c r="AE366" s="1"/>
      <c r="AF366" s="1"/>
      <c r="AG366" s="9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7"/>
      <c r="AC367" s="9"/>
      <c r="AD367" s="1"/>
      <c r="AE367" s="1"/>
      <c r="AF367" s="1"/>
      <c r="AG367" s="9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7"/>
      <c r="AC368" s="9"/>
      <c r="AD368" s="1"/>
      <c r="AE368" s="1"/>
      <c r="AF368" s="1"/>
      <c r="AG368" s="9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7"/>
      <c r="AC369" s="9"/>
      <c r="AD369" s="1"/>
      <c r="AE369" s="1"/>
      <c r="AF369" s="1"/>
      <c r="AG369" s="9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7"/>
      <c r="AC370" s="9"/>
      <c r="AD370" s="1"/>
      <c r="AE370" s="1"/>
      <c r="AF370" s="1"/>
      <c r="AG370" s="9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7"/>
      <c r="AC371" s="9"/>
      <c r="AD371" s="1"/>
      <c r="AE371" s="1"/>
      <c r="AF371" s="1"/>
      <c r="AG371" s="9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7"/>
      <c r="AC372" s="9"/>
      <c r="AD372" s="1"/>
      <c r="AE372" s="1"/>
      <c r="AF372" s="1"/>
      <c r="AG372" s="9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7"/>
      <c r="AC373" s="9"/>
      <c r="AD373" s="1"/>
      <c r="AE373" s="1"/>
      <c r="AF373" s="1"/>
      <c r="AG373" s="9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7"/>
      <c r="AC374" s="9"/>
      <c r="AD374" s="1"/>
      <c r="AE374" s="1"/>
      <c r="AF374" s="1"/>
      <c r="AG374" s="9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7"/>
      <c r="AC375" s="9"/>
      <c r="AD375" s="1"/>
      <c r="AE375" s="1"/>
      <c r="AF375" s="1"/>
      <c r="AG375" s="9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7"/>
      <c r="AC376" s="9"/>
      <c r="AD376" s="1"/>
      <c r="AE376" s="1"/>
      <c r="AF376" s="1"/>
      <c r="AG376" s="9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7"/>
      <c r="AC377" s="9"/>
      <c r="AD377" s="1"/>
      <c r="AE377" s="1"/>
      <c r="AF377" s="1"/>
      <c r="AG377" s="9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7"/>
      <c r="AC378" s="9"/>
      <c r="AD378" s="1"/>
      <c r="AE378" s="1"/>
      <c r="AF378" s="1"/>
      <c r="AG378" s="9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7"/>
      <c r="AC379" s="9"/>
      <c r="AD379" s="1"/>
      <c r="AE379" s="1"/>
      <c r="AF379" s="1"/>
      <c r="AG379" s="9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7"/>
      <c r="AC380" s="9"/>
      <c r="AD380" s="1"/>
      <c r="AE380" s="1"/>
      <c r="AF380" s="1"/>
      <c r="AG380" s="9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7"/>
      <c r="AC381" s="9"/>
      <c r="AD381" s="1"/>
      <c r="AE381" s="1"/>
      <c r="AF381" s="1"/>
      <c r="AG381" s="9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7"/>
      <c r="AC382" s="9"/>
      <c r="AD382" s="1"/>
      <c r="AE382" s="1"/>
      <c r="AF382" s="1"/>
      <c r="AG382" s="9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7"/>
      <c r="AC383" s="9"/>
      <c r="AD383" s="1"/>
      <c r="AE383" s="1"/>
      <c r="AF383" s="1"/>
      <c r="AG383" s="9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7"/>
      <c r="AC384" s="9"/>
      <c r="AD384" s="1"/>
      <c r="AE384" s="1"/>
      <c r="AF384" s="1"/>
      <c r="AG384" s="9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7"/>
      <c r="AC385" s="9"/>
      <c r="AD385" s="1"/>
      <c r="AE385" s="1"/>
      <c r="AF385" s="1"/>
      <c r="AG385" s="9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7"/>
      <c r="AC386" s="9"/>
      <c r="AD386" s="1"/>
      <c r="AE386" s="1"/>
      <c r="AF386" s="1"/>
      <c r="AG386" s="9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7"/>
      <c r="AC387" s="9"/>
      <c r="AD387" s="1"/>
      <c r="AE387" s="1"/>
      <c r="AF387" s="1"/>
      <c r="AG387" s="9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7"/>
      <c r="AC388" s="9"/>
      <c r="AD388" s="1"/>
      <c r="AE388" s="1"/>
      <c r="AF388" s="1"/>
      <c r="AG388" s="9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7"/>
      <c r="AC389" s="9"/>
      <c r="AD389" s="1"/>
      <c r="AE389" s="1"/>
      <c r="AF389" s="1"/>
      <c r="AG389" s="9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7"/>
      <c r="AC390" s="9"/>
      <c r="AD390" s="1"/>
      <c r="AE390" s="1"/>
      <c r="AF390" s="1"/>
      <c r="AG390" s="9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7"/>
      <c r="AC391" s="9"/>
      <c r="AD391" s="1"/>
      <c r="AE391" s="1"/>
      <c r="AF391" s="1"/>
      <c r="AG391" s="9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7"/>
      <c r="AC392" s="9"/>
      <c r="AD392" s="1"/>
      <c r="AE392" s="1"/>
      <c r="AF392" s="1"/>
      <c r="AG392" s="9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7"/>
      <c r="AC393" s="9"/>
      <c r="AD393" s="1"/>
      <c r="AE393" s="1"/>
      <c r="AF393" s="1"/>
      <c r="AG393" s="9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7"/>
      <c r="AC394" s="9"/>
      <c r="AD394" s="1"/>
      <c r="AE394" s="1"/>
      <c r="AF394" s="1"/>
      <c r="AG394" s="9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7"/>
      <c r="AC395" s="9"/>
      <c r="AD395" s="1"/>
      <c r="AE395" s="1"/>
      <c r="AF395" s="1"/>
      <c r="AG395" s="9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7"/>
      <c r="AC396" s="9"/>
      <c r="AD396" s="1"/>
      <c r="AE396" s="1"/>
      <c r="AF396" s="1"/>
      <c r="AG396" s="9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7"/>
      <c r="AC397" s="9"/>
      <c r="AD397" s="1"/>
      <c r="AE397" s="1"/>
      <c r="AF397" s="1"/>
      <c r="AG397" s="9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7"/>
      <c r="AC398" s="9"/>
      <c r="AD398" s="1"/>
      <c r="AE398" s="1"/>
      <c r="AF398" s="1"/>
      <c r="AG398" s="9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7"/>
      <c r="AC399" s="9"/>
      <c r="AD399" s="1"/>
      <c r="AE399" s="1"/>
      <c r="AF399" s="1"/>
      <c r="AG399" s="9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7"/>
      <c r="AC400" s="9"/>
      <c r="AD400" s="1"/>
      <c r="AE400" s="1"/>
      <c r="AF400" s="1"/>
      <c r="AG400" s="9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7"/>
      <c r="AC401" s="9"/>
      <c r="AD401" s="1"/>
      <c r="AE401" s="1"/>
      <c r="AF401" s="1"/>
      <c r="AG401" s="9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7"/>
      <c r="AC402" s="9"/>
      <c r="AD402" s="1"/>
      <c r="AE402" s="1"/>
      <c r="AF402" s="1"/>
      <c r="AG402" s="9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7"/>
      <c r="AC403" s="9"/>
      <c r="AD403" s="1"/>
      <c r="AE403" s="1"/>
      <c r="AF403" s="1"/>
      <c r="AG403" s="9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7"/>
      <c r="AC404" s="9"/>
      <c r="AD404" s="1"/>
      <c r="AE404" s="1"/>
      <c r="AF404" s="1"/>
      <c r="AG404" s="9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7"/>
      <c r="AC405" s="9"/>
      <c r="AD405" s="1"/>
      <c r="AE405" s="1"/>
      <c r="AF405" s="1"/>
      <c r="AG405" s="9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7"/>
      <c r="AC406" s="9"/>
      <c r="AD406" s="1"/>
      <c r="AE406" s="1"/>
      <c r="AF406" s="1"/>
      <c r="AG406" s="9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7"/>
      <c r="AC407" s="9"/>
      <c r="AD407" s="1"/>
      <c r="AE407" s="1"/>
      <c r="AF407" s="1"/>
      <c r="AG407" s="9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7"/>
      <c r="AC408" s="9"/>
      <c r="AD408" s="1"/>
      <c r="AE408" s="1"/>
      <c r="AF408" s="1"/>
      <c r="AG408" s="9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7"/>
      <c r="AC409" s="9"/>
      <c r="AD409" s="1"/>
      <c r="AE409" s="1"/>
      <c r="AF409" s="1"/>
      <c r="AG409" s="9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7"/>
      <c r="AC410" s="9"/>
      <c r="AD410" s="1"/>
      <c r="AE410" s="1"/>
      <c r="AF410" s="1"/>
      <c r="AG410" s="9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7"/>
      <c r="AC411" s="9"/>
      <c r="AD411" s="1"/>
      <c r="AE411" s="1"/>
      <c r="AF411" s="1"/>
      <c r="AG411" s="9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7"/>
      <c r="AC412" s="9"/>
      <c r="AD412" s="1"/>
      <c r="AE412" s="1"/>
      <c r="AF412" s="1"/>
      <c r="AG412" s="9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7"/>
      <c r="AC413" s="9"/>
      <c r="AD413" s="1"/>
      <c r="AE413" s="1"/>
      <c r="AF413" s="1"/>
      <c r="AG413" s="9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7"/>
      <c r="AC414" s="9"/>
      <c r="AD414" s="1"/>
      <c r="AE414" s="1"/>
      <c r="AF414" s="1"/>
      <c r="AG414" s="9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7"/>
      <c r="AC415" s="9"/>
      <c r="AD415" s="1"/>
      <c r="AE415" s="1"/>
      <c r="AF415" s="1"/>
      <c r="AG415" s="9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7"/>
      <c r="AC416" s="9"/>
      <c r="AD416" s="1"/>
      <c r="AE416" s="1"/>
      <c r="AF416" s="1"/>
      <c r="AG416" s="9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7"/>
      <c r="AC417" s="9"/>
      <c r="AD417" s="1"/>
      <c r="AE417" s="1"/>
      <c r="AF417" s="1"/>
      <c r="AG417" s="9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7"/>
      <c r="AC418" s="9"/>
      <c r="AD418" s="1"/>
      <c r="AE418" s="1"/>
      <c r="AF418" s="1"/>
      <c r="AG418" s="9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7"/>
      <c r="AC419" s="9"/>
      <c r="AD419" s="1"/>
      <c r="AE419" s="1"/>
      <c r="AF419" s="1"/>
      <c r="AG419" s="9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7"/>
      <c r="AC420" s="9"/>
      <c r="AD420" s="1"/>
      <c r="AE420" s="1"/>
      <c r="AF420" s="1"/>
      <c r="AG420" s="9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7"/>
      <c r="AC421" s="9"/>
      <c r="AD421" s="1"/>
      <c r="AE421" s="1"/>
      <c r="AF421" s="1"/>
      <c r="AG421" s="9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7"/>
      <c r="AC422" s="9"/>
      <c r="AD422" s="1"/>
      <c r="AE422" s="1"/>
      <c r="AF422" s="1"/>
      <c r="AG422" s="9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7"/>
      <c r="AC423" s="9"/>
      <c r="AD423" s="1"/>
      <c r="AE423" s="1"/>
      <c r="AF423" s="1"/>
      <c r="AG423" s="9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7"/>
      <c r="AC424" s="9"/>
      <c r="AD424" s="1"/>
      <c r="AE424" s="1"/>
      <c r="AF424" s="1"/>
      <c r="AG424" s="9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7"/>
      <c r="AC425" s="9"/>
      <c r="AD425" s="1"/>
      <c r="AE425" s="1"/>
      <c r="AF425" s="1"/>
      <c r="AG425" s="9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7"/>
      <c r="AC426" s="9"/>
      <c r="AD426" s="1"/>
      <c r="AE426" s="1"/>
      <c r="AF426" s="1"/>
      <c r="AG426" s="9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7"/>
      <c r="AC427" s="9"/>
      <c r="AD427" s="1"/>
      <c r="AE427" s="1"/>
      <c r="AF427" s="1"/>
      <c r="AG427" s="9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7"/>
      <c r="AC428" s="9"/>
      <c r="AD428" s="1"/>
      <c r="AE428" s="1"/>
      <c r="AF428" s="1"/>
      <c r="AG428" s="9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7"/>
      <c r="AC429" s="9"/>
      <c r="AD429" s="1"/>
      <c r="AE429" s="1"/>
      <c r="AF429" s="1"/>
      <c r="AG429" s="9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7"/>
      <c r="AC430" s="9"/>
      <c r="AD430" s="1"/>
      <c r="AE430" s="1"/>
      <c r="AF430" s="1"/>
      <c r="AG430" s="9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7"/>
      <c r="AC431" s="9"/>
      <c r="AD431" s="1"/>
      <c r="AE431" s="1"/>
      <c r="AF431" s="1"/>
      <c r="AG431" s="9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7"/>
      <c r="AC432" s="9"/>
      <c r="AD432" s="1"/>
      <c r="AE432" s="1"/>
      <c r="AF432" s="1"/>
      <c r="AG432" s="9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7"/>
      <c r="AC433" s="9"/>
      <c r="AD433" s="1"/>
      <c r="AE433" s="1"/>
      <c r="AF433" s="1"/>
      <c r="AG433" s="9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7"/>
      <c r="AC434" s="9"/>
      <c r="AD434" s="1"/>
      <c r="AE434" s="1"/>
      <c r="AF434" s="1"/>
      <c r="AG434" s="9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7"/>
      <c r="AC435" s="9"/>
      <c r="AD435" s="1"/>
      <c r="AE435" s="1"/>
      <c r="AF435" s="1"/>
      <c r="AG435" s="9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7"/>
      <c r="AC436" s="9"/>
      <c r="AD436" s="1"/>
      <c r="AE436" s="1"/>
      <c r="AF436" s="1"/>
      <c r="AG436" s="9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7"/>
      <c r="AC437" s="9"/>
      <c r="AD437" s="1"/>
      <c r="AE437" s="1"/>
      <c r="AF437" s="1"/>
      <c r="AG437" s="9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7"/>
      <c r="AC438" s="9"/>
      <c r="AD438" s="1"/>
      <c r="AE438" s="1"/>
      <c r="AF438" s="1"/>
      <c r="AG438" s="9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7"/>
      <c r="AC439" s="9"/>
      <c r="AD439" s="1"/>
      <c r="AE439" s="1"/>
      <c r="AF439" s="1"/>
      <c r="AG439" s="9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7"/>
      <c r="AC440" s="9"/>
      <c r="AD440" s="1"/>
      <c r="AE440" s="1"/>
      <c r="AF440" s="1"/>
      <c r="AG440" s="9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7"/>
      <c r="AC441" s="9"/>
      <c r="AD441" s="1"/>
      <c r="AE441" s="1"/>
      <c r="AF441" s="1"/>
      <c r="AG441" s="9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7"/>
      <c r="AC442" s="9"/>
      <c r="AD442" s="1"/>
      <c r="AE442" s="1"/>
      <c r="AF442" s="1"/>
      <c r="AG442" s="9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7"/>
      <c r="AC443" s="9"/>
      <c r="AD443" s="1"/>
      <c r="AE443" s="1"/>
      <c r="AF443" s="1"/>
      <c r="AG443" s="9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7"/>
      <c r="AC444" s="9"/>
      <c r="AD444" s="1"/>
      <c r="AE444" s="1"/>
      <c r="AF444" s="1"/>
      <c r="AG444" s="9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7"/>
      <c r="AC445" s="9"/>
      <c r="AD445" s="1"/>
      <c r="AE445" s="1"/>
      <c r="AF445" s="1"/>
      <c r="AG445" s="9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7"/>
      <c r="AC446" s="9"/>
      <c r="AD446" s="1"/>
      <c r="AE446" s="1"/>
      <c r="AF446" s="1"/>
      <c r="AG446" s="9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7"/>
      <c r="AC447" s="9"/>
      <c r="AD447" s="1"/>
      <c r="AE447" s="1"/>
      <c r="AF447" s="1"/>
      <c r="AG447" s="9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7"/>
      <c r="AC448" s="9"/>
      <c r="AD448" s="1"/>
      <c r="AE448" s="1"/>
      <c r="AF448" s="1"/>
      <c r="AG448" s="9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7"/>
      <c r="AC449" s="9"/>
      <c r="AD449" s="1"/>
      <c r="AE449" s="1"/>
      <c r="AF449" s="1"/>
      <c r="AG449" s="9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7"/>
      <c r="AC450" s="9"/>
      <c r="AD450" s="1"/>
      <c r="AE450" s="1"/>
      <c r="AF450" s="1"/>
      <c r="AG450" s="9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7"/>
      <c r="AC451" s="9"/>
      <c r="AD451" s="1"/>
      <c r="AE451" s="1"/>
      <c r="AF451" s="1"/>
      <c r="AG451" s="9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7"/>
      <c r="AC452" s="9"/>
      <c r="AD452" s="1"/>
      <c r="AE452" s="1"/>
      <c r="AF452" s="1"/>
      <c r="AG452" s="9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7"/>
      <c r="AC453" s="9"/>
      <c r="AD453" s="1"/>
      <c r="AE453" s="1"/>
      <c r="AF453" s="1"/>
      <c r="AG453" s="9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7"/>
      <c r="AC454" s="9"/>
      <c r="AD454" s="1"/>
      <c r="AE454" s="1"/>
      <c r="AF454" s="1"/>
      <c r="AG454" s="9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7"/>
      <c r="AC455" s="9"/>
      <c r="AD455" s="1"/>
      <c r="AE455" s="1"/>
      <c r="AF455" s="1"/>
      <c r="AG455" s="9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7"/>
      <c r="AC456" s="9"/>
      <c r="AD456" s="1"/>
      <c r="AE456" s="1"/>
      <c r="AF456" s="1"/>
      <c r="AG456" s="9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7"/>
      <c r="AC457" s="9"/>
      <c r="AD457" s="1"/>
      <c r="AE457" s="1"/>
      <c r="AF457" s="1"/>
      <c r="AG457" s="9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7"/>
      <c r="AC458" s="9"/>
      <c r="AD458" s="1"/>
      <c r="AE458" s="1"/>
      <c r="AF458" s="1"/>
      <c r="AG458" s="9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7"/>
      <c r="AC459" s="9"/>
      <c r="AD459" s="1"/>
      <c r="AE459" s="1"/>
      <c r="AF459" s="1"/>
      <c r="AG459" s="9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7"/>
      <c r="AC460" s="9"/>
      <c r="AD460" s="1"/>
      <c r="AE460" s="1"/>
      <c r="AF460" s="1"/>
      <c r="AG460" s="9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7"/>
      <c r="AC461" s="9"/>
      <c r="AD461" s="1"/>
      <c r="AE461" s="1"/>
      <c r="AF461" s="1"/>
      <c r="AG461" s="9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7"/>
      <c r="AC462" s="9"/>
      <c r="AD462" s="1"/>
      <c r="AE462" s="1"/>
      <c r="AF462" s="1"/>
      <c r="AG462" s="9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7"/>
      <c r="AC463" s="9"/>
      <c r="AD463" s="1"/>
      <c r="AE463" s="1"/>
      <c r="AF463" s="1"/>
      <c r="AG463" s="9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7"/>
      <c r="AC464" s="9"/>
      <c r="AD464" s="1"/>
      <c r="AE464" s="1"/>
      <c r="AF464" s="1"/>
      <c r="AG464" s="9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7"/>
      <c r="AC465" s="9"/>
      <c r="AD465" s="1"/>
      <c r="AE465" s="1"/>
      <c r="AF465" s="1"/>
      <c r="AG465" s="9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7"/>
      <c r="AC466" s="9"/>
      <c r="AD466" s="1"/>
      <c r="AE466" s="1"/>
      <c r="AF466" s="1"/>
      <c r="AG466" s="9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7"/>
      <c r="AC467" s="9"/>
      <c r="AD467" s="1"/>
      <c r="AE467" s="1"/>
      <c r="AF467" s="1"/>
      <c r="AG467" s="9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7"/>
      <c r="AC468" s="9"/>
      <c r="AD468" s="1"/>
      <c r="AE468" s="1"/>
      <c r="AF468" s="1"/>
      <c r="AG468" s="9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7"/>
      <c r="AC469" s="9"/>
      <c r="AD469" s="1"/>
      <c r="AE469" s="1"/>
      <c r="AF469" s="1"/>
      <c r="AG469" s="9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7"/>
      <c r="AC470" s="9"/>
      <c r="AD470" s="1"/>
      <c r="AE470" s="1"/>
      <c r="AF470" s="1"/>
      <c r="AG470" s="9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7"/>
      <c r="AC471" s="9"/>
      <c r="AD471" s="1"/>
      <c r="AE471" s="1"/>
      <c r="AF471" s="1"/>
      <c r="AG471" s="9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7"/>
      <c r="AC472" s="9"/>
      <c r="AD472" s="1"/>
      <c r="AE472" s="1"/>
      <c r="AF472" s="1"/>
      <c r="AG472" s="9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7"/>
      <c r="AC473" s="9"/>
      <c r="AD473" s="1"/>
      <c r="AE473" s="1"/>
      <c r="AF473" s="1"/>
      <c r="AG473" s="9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7"/>
      <c r="AC474" s="9"/>
      <c r="AD474" s="1"/>
      <c r="AE474" s="1"/>
      <c r="AF474" s="1"/>
      <c r="AG474" s="9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7"/>
      <c r="AC475" s="9"/>
      <c r="AD475" s="1"/>
      <c r="AE475" s="1"/>
      <c r="AF475" s="1"/>
      <c r="AG475" s="9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7"/>
      <c r="AC476" s="9"/>
      <c r="AD476" s="1"/>
      <c r="AE476" s="1"/>
      <c r="AF476" s="1"/>
      <c r="AG476" s="9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7"/>
      <c r="AC477" s="9"/>
      <c r="AD477" s="1"/>
      <c r="AE477" s="1"/>
      <c r="AF477" s="1"/>
      <c r="AG477" s="9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7"/>
      <c r="AC478" s="9"/>
      <c r="AD478" s="1"/>
      <c r="AE478" s="1"/>
      <c r="AF478" s="1"/>
      <c r="AG478" s="9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7"/>
      <c r="AC479" s="9"/>
      <c r="AD479" s="1"/>
      <c r="AE479" s="1"/>
      <c r="AF479" s="1"/>
      <c r="AG479" s="9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7"/>
      <c r="AC480" s="9"/>
      <c r="AD480" s="1"/>
      <c r="AE480" s="1"/>
      <c r="AF480" s="1"/>
      <c r="AG480" s="9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7"/>
      <c r="AC481" s="9"/>
      <c r="AD481" s="1"/>
      <c r="AE481" s="1"/>
      <c r="AF481" s="1"/>
      <c r="AG481" s="9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7"/>
      <c r="AC482" s="9"/>
      <c r="AD482" s="1"/>
      <c r="AE482" s="1"/>
      <c r="AF482" s="1"/>
      <c r="AG482" s="9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7"/>
      <c r="AC483" s="9"/>
      <c r="AD483" s="1"/>
      <c r="AE483" s="1"/>
      <c r="AF483" s="1"/>
      <c r="AG483" s="9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7"/>
      <c r="AC484" s="9"/>
      <c r="AD484" s="1"/>
      <c r="AE484" s="1"/>
      <c r="AF484" s="1"/>
      <c r="AG484" s="9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7"/>
      <c r="AC485" s="9"/>
      <c r="AD485" s="1"/>
      <c r="AE485" s="1"/>
      <c r="AF485" s="1"/>
      <c r="AG485" s="9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7"/>
      <c r="AC486" s="9"/>
      <c r="AD486" s="1"/>
      <c r="AE486" s="1"/>
      <c r="AF486" s="1"/>
      <c r="AG486" s="9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7"/>
      <c r="AC487" s="9"/>
      <c r="AD487" s="1"/>
      <c r="AE487" s="1"/>
      <c r="AF487" s="1"/>
      <c r="AG487" s="9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7"/>
      <c r="AC488" s="9"/>
      <c r="AD488" s="1"/>
      <c r="AE488" s="1"/>
      <c r="AF488" s="1"/>
      <c r="AG488" s="9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7"/>
      <c r="AC489" s="9"/>
      <c r="AD489" s="1"/>
      <c r="AE489" s="1"/>
      <c r="AF489" s="1"/>
      <c r="AG489" s="9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7"/>
      <c r="AC490" s="9"/>
      <c r="AD490" s="1"/>
      <c r="AE490" s="1"/>
      <c r="AF490" s="1"/>
      <c r="AG490" s="9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7"/>
      <c r="AC491" s="9"/>
      <c r="AD491" s="1"/>
      <c r="AE491" s="1"/>
      <c r="AF491" s="1"/>
      <c r="AG491" s="9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7"/>
      <c r="AC492" s="9"/>
      <c r="AD492" s="1"/>
      <c r="AE492" s="1"/>
      <c r="AF492" s="1"/>
      <c r="AG492" s="9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7"/>
      <c r="AC493" s="9"/>
      <c r="AD493" s="1"/>
      <c r="AE493" s="1"/>
      <c r="AF493" s="1"/>
      <c r="AG493" s="9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7"/>
      <c r="AC494" s="9"/>
      <c r="AD494" s="1"/>
      <c r="AE494" s="1"/>
      <c r="AF494" s="1"/>
      <c r="AG494" s="9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7"/>
      <c r="AC495" s="9"/>
      <c r="AD495" s="1"/>
      <c r="AE495" s="1"/>
      <c r="AF495" s="1"/>
      <c r="AG495" s="9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7"/>
      <c r="AC496" s="9"/>
      <c r="AD496" s="1"/>
      <c r="AE496" s="1"/>
      <c r="AF496" s="1"/>
      <c r="AG496" s="9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7"/>
      <c r="AC497" s="9"/>
      <c r="AD497" s="1"/>
      <c r="AE497" s="1"/>
      <c r="AF497" s="1"/>
      <c r="AG497" s="9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7"/>
      <c r="AC498" s="9"/>
      <c r="AD498" s="1"/>
      <c r="AE498" s="1"/>
      <c r="AF498" s="1"/>
      <c r="AG498" s="9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7"/>
      <c r="AC499" s="9"/>
      <c r="AD499" s="1"/>
      <c r="AE499" s="1"/>
      <c r="AF499" s="1"/>
      <c r="AG499" s="9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7"/>
      <c r="AC500" s="9"/>
      <c r="AD500" s="1"/>
      <c r="AE500" s="1"/>
      <c r="AF500" s="1"/>
      <c r="AG500" s="9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AG7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2026-10-01T13:21:30Z</dcterms:created>
  <dcterms:modified xsi:type="dcterms:W3CDTF">2026-10-05T07:59:04Z</dcterms:modified>
</cp:coreProperties>
</file>