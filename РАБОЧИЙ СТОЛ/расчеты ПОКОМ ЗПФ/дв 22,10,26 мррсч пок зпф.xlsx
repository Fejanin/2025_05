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C9F9D58E-9D1E-4468-B7BB-9DFAE630FC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Sheet!$A$3:$AH$85</definedName>
  </definedNames>
  <calcPr calcId="191029"/>
</workbook>
</file>

<file path=xl/calcChain.xml><?xml version="1.0" encoding="utf-8"?>
<calcChain xmlns="http://schemas.openxmlformats.org/spreadsheetml/2006/main">
  <c r="AB81" i="1" l="1"/>
  <c r="AB65" i="1"/>
  <c r="AD60" i="1"/>
  <c r="R60" i="1" s="1"/>
  <c r="P85" i="1"/>
  <c r="T85" i="1" s="1"/>
  <c r="L85" i="1"/>
  <c r="P84" i="1"/>
  <c r="T84" i="1" s="1"/>
  <c r="L84" i="1"/>
  <c r="P83" i="1"/>
  <c r="T83" i="1" s="1"/>
  <c r="L83" i="1"/>
  <c r="P82" i="1"/>
  <c r="T82" i="1" s="1"/>
  <c r="L82" i="1"/>
  <c r="AD81" i="1"/>
  <c r="AE81" i="1" s="1"/>
  <c r="P81" i="1"/>
  <c r="T81" i="1" s="1"/>
  <c r="L81" i="1"/>
  <c r="F80" i="1"/>
  <c r="E80" i="1"/>
  <c r="P80" i="1" s="1"/>
  <c r="P79" i="1"/>
  <c r="T79" i="1" s="1"/>
  <c r="L79" i="1"/>
  <c r="P78" i="1"/>
  <c r="T78" i="1" s="1"/>
  <c r="L78" i="1"/>
  <c r="F77" i="1"/>
  <c r="E77" i="1"/>
  <c r="P77" i="1" s="1"/>
  <c r="Q77" i="1" s="1"/>
  <c r="P76" i="1"/>
  <c r="T76" i="1" s="1"/>
  <c r="L76" i="1"/>
  <c r="P75" i="1"/>
  <c r="T75" i="1" s="1"/>
  <c r="L75" i="1"/>
  <c r="P74" i="1"/>
  <c r="T74" i="1" s="1"/>
  <c r="L74" i="1"/>
  <c r="P73" i="1"/>
  <c r="T73" i="1" s="1"/>
  <c r="L73" i="1"/>
  <c r="P72" i="1"/>
  <c r="S72" i="1" s="1"/>
  <c r="L72" i="1"/>
  <c r="F71" i="1"/>
  <c r="E71" i="1"/>
  <c r="P71" i="1" s="1"/>
  <c r="F70" i="1"/>
  <c r="E70" i="1"/>
  <c r="L70" i="1" s="1"/>
  <c r="P69" i="1"/>
  <c r="T69" i="1" s="1"/>
  <c r="L69" i="1"/>
  <c r="P68" i="1"/>
  <c r="S68" i="1" s="1"/>
  <c r="L68" i="1"/>
  <c r="P67" i="1"/>
  <c r="T67" i="1" s="1"/>
  <c r="L67" i="1"/>
  <c r="P66" i="1"/>
  <c r="S66" i="1" s="1"/>
  <c r="L66" i="1"/>
  <c r="P65" i="1"/>
  <c r="T65" i="1" s="1"/>
  <c r="L65" i="1"/>
  <c r="P64" i="1"/>
  <c r="T64" i="1" s="1"/>
  <c r="L64" i="1"/>
  <c r="F63" i="1"/>
  <c r="E63" i="1"/>
  <c r="P63" i="1" s="1"/>
  <c r="AD63" i="1" s="1"/>
  <c r="AE63" i="1" s="1"/>
  <c r="P62" i="1"/>
  <c r="T62" i="1" s="1"/>
  <c r="L62" i="1"/>
  <c r="P61" i="1"/>
  <c r="T61" i="1" s="1"/>
  <c r="L61" i="1"/>
  <c r="P60" i="1"/>
  <c r="T60" i="1" s="1"/>
  <c r="L60" i="1"/>
  <c r="P59" i="1"/>
  <c r="Q59" i="1" s="1"/>
  <c r="L59" i="1"/>
  <c r="P58" i="1"/>
  <c r="T58" i="1" s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F42" i="1"/>
  <c r="E42" i="1"/>
  <c r="L42" i="1" s="1"/>
  <c r="P41" i="1"/>
  <c r="T41" i="1" s="1"/>
  <c r="L41" i="1"/>
  <c r="P40" i="1"/>
  <c r="T40" i="1" s="1"/>
  <c r="L40" i="1"/>
  <c r="P39" i="1"/>
  <c r="T39" i="1" s="1"/>
  <c r="L39" i="1"/>
  <c r="P38" i="1"/>
  <c r="L38" i="1"/>
  <c r="P37" i="1"/>
  <c r="L37" i="1"/>
  <c r="F37" i="1"/>
  <c r="P36" i="1"/>
  <c r="T36" i="1" s="1"/>
  <c r="L36" i="1"/>
  <c r="P35" i="1"/>
  <c r="T35" i="1" s="1"/>
  <c r="L35" i="1"/>
  <c r="F34" i="1"/>
  <c r="E34" i="1"/>
  <c r="L34" i="1" s="1"/>
  <c r="P33" i="1"/>
  <c r="T33" i="1" s="1"/>
  <c r="L33" i="1"/>
  <c r="P32" i="1"/>
  <c r="T32" i="1" s="1"/>
  <c r="L32" i="1"/>
  <c r="P31" i="1"/>
  <c r="T31" i="1" s="1"/>
  <c r="L31" i="1"/>
  <c r="F30" i="1"/>
  <c r="E30" i="1"/>
  <c r="P30" i="1" s="1"/>
  <c r="F29" i="1"/>
  <c r="E29" i="1"/>
  <c r="P29" i="1" s="1"/>
  <c r="P28" i="1"/>
  <c r="T28" i="1" s="1"/>
  <c r="L28" i="1"/>
  <c r="P27" i="1"/>
  <c r="T27" i="1" s="1"/>
  <c r="L27" i="1"/>
  <c r="P26" i="1"/>
  <c r="T26" i="1" s="1"/>
  <c r="L26" i="1"/>
  <c r="P25" i="1"/>
  <c r="T25" i="1" s="1"/>
  <c r="L25" i="1"/>
  <c r="F24" i="1"/>
  <c r="E24" i="1"/>
  <c r="P24" i="1" s="1"/>
  <c r="F23" i="1"/>
  <c r="E23" i="1"/>
  <c r="L23" i="1" s="1"/>
  <c r="P22" i="1"/>
  <c r="T22" i="1" s="1"/>
  <c r="L22" i="1"/>
  <c r="P21" i="1"/>
  <c r="T21" i="1" s="1"/>
  <c r="L21" i="1"/>
  <c r="P20" i="1"/>
  <c r="T20" i="1" s="1"/>
  <c r="L20" i="1"/>
  <c r="F19" i="1"/>
  <c r="E19" i="1"/>
  <c r="P19" i="1" s="1"/>
  <c r="P18" i="1"/>
  <c r="T18" i="1" s="1"/>
  <c r="L18" i="1"/>
  <c r="P17" i="1"/>
  <c r="T17" i="1" s="1"/>
  <c r="L17" i="1"/>
  <c r="F16" i="1"/>
  <c r="E16" i="1"/>
  <c r="L16" i="1" s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S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30" i="1" l="1"/>
  <c r="Q40" i="1"/>
  <c r="Q19" i="1"/>
  <c r="AD19" i="1" s="1"/>
  <c r="AE19" i="1" s="1"/>
  <c r="Q29" i="1"/>
  <c r="Q82" i="1"/>
  <c r="Q49" i="1"/>
  <c r="Q8" i="1"/>
  <c r="P70" i="1"/>
  <c r="Q70" i="1" s="1"/>
  <c r="S67" i="1"/>
  <c r="Q71" i="1"/>
  <c r="AB71" i="1" s="1"/>
  <c r="S18" i="1"/>
  <c r="AB29" i="1"/>
  <c r="Q11" i="1"/>
  <c r="AD11" i="1" s="1"/>
  <c r="AE11" i="1" s="1"/>
  <c r="AD40" i="1"/>
  <c r="AE40" i="1" s="1"/>
  <c r="Q55" i="1"/>
  <c r="AD55" i="1" s="1"/>
  <c r="AH55" i="1" s="1"/>
  <c r="S13" i="1"/>
  <c r="S22" i="1"/>
  <c r="T70" i="1"/>
  <c r="T80" i="1"/>
  <c r="AD71" i="1"/>
  <c r="AE71" i="1" s="1"/>
  <c r="AD24" i="1"/>
  <c r="R24" i="1" s="1"/>
  <c r="S24" i="1" s="1"/>
  <c r="AB24" i="1"/>
  <c r="AD37" i="1"/>
  <c r="R37" i="1" s="1"/>
  <c r="S37" i="1" s="1"/>
  <c r="AB37" i="1"/>
  <c r="AD38" i="1"/>
  <c r="AE38" i="1" s="1"/>
  <c r="AB38" i="1"/>
  <c r="AB9" i="1"/>
  <c r="AD9" i="1"/>
  <c r="AE9" i="1" s="1"/>
  <c r="AD77" i="1"/>
  <c r="R77" i="1" s="1"/>
  <c r="S77" i="1" s="1"/>
  <c r="AB77" i="1"/>
  <c r="AD59" i="1"/>
  <c r="R59" i="1" s="1"/>
  <c r="S59" i="1" s="1"/>
  <c r="AB59" i="1"/>
  <c r="Q41" i="1"/>
  <c r="AB60" i="1"/>
  <c r="L71" i="1"/>
  <c r="Q17" i="1"/>
  <c r="Q62" i="1"/>
  <c r="Q43" i="1"/>
  <c r="Q20" i="1"/>
  <c r="AD20" i="1" s="1"/>
  <c r="R20" i="1" s="1"/>
  <c r="S20" i="1" s="1"/>
  <c r="L77" i="1"/>
  <c r="Q45" i="1"/>
  <c r="S14" i="1"/>
  <c r="T68" i="1"/>
  <c r="Q26" i="1"/>
  <c r="Q48" i="1"/>
  <c r="Q75" i="1"/>
  <c r="Q50" i="1"/>
  <c r="Q76" i="1"/>
  <c r="S15" i="1"/>
  <c r="P42" i="1"/>
  <c r="Q51" i="1"/>
  <c r="AD51" i="1" s="1"/>
  <c r="AH51" i="1" s="1"/>
  <c r="Q52" i="1"/>
  <c r="Q78" i="1"/>
  <c r="Q53" i="1"/>
  <c r="Q79" i="1"/>
  <c r="T38" i="1"/>
  <c r="Q54" i="1"/>
  <c r="Q80" i="1"/>
  <c r="Q56" i="1"/>
  <c r="T59" i="1"/>
  <c r="T24" i="1"/>
  <c r="AD65" i="1"/>
  <c r="AE65" i="1" s="1"/>
  <c r="Q39" i="1"/>
  <c r="Q85" i="1"/>
  <c r="AB63" i="1"/>
  <c r="AB40" i="1"/>
  <c r="T19" i="1"/>
  <c r="R63" i="1"/>
  <c r="S63" i="1" s="1"/>
  <c r="T71" i="1"/>
  <c r="E5" i="1"/>
  <c r="AH63" i="1"/>
  <c r="S60" i="1"/>
  <c r="P16" i="1"/>
  <c r="L19" i="1"/>
  <c r="P23" i="1"/>
  <c r="S64" i="1"/>
  <c r="T37" i="1"/>
  <c r="T10" i="1"/>
  <c r="T72" i="1"/>
  <c r="T77" i="1"/>
  <c r="R81" i="1"/>
  <c r="S81" i="1" s="1"/>
  <c r="L24" i="1"/>
  <c r="AH81" i="1"/>
  <c r="T66" i="1"/>
  <c r="T29" i="1"/>
  <c r="T63" i="1"/>
  <c r="S28" i="1"/>
  <c r="AE60" i="1"/>
  <c r="S36" i="1"/>
  <c r="AH60" i="1"/>
  <c r="F5" i="1"/>
  <c r="S12" i="1"/>
  <c r="S21" i="1"/>
  <c r="S6" i="1"/>
  <c r="L29" i="1"/>
  <c r="L80" i="1"/>
  <c r="S7" i="1"/>
  <c r="P34" i="1"/>
  <c r="L63" i="1"/>
  <c r="S74" i="1"/>
  <c r="L30" i="1"/>
  <c r="AB19" i="1" l="1"/>
  <c r="AB11" i="1"/>
  <c r="R65" i="1"/>
  <c r="S65" i="1" s="1"/>
  <c r="R38" i="1"/>
  <c r="S38" i="1" s="1"/>
  <c r="AH11" i="1"/>
  <c r="R11" i="1"/>
  <c r="S11" i="1" s="1"/>
  <c r="R55" i="1"/>
  <c r="S55" i="1" s="1"/>
  <c r="AH40" i="1"/>
  <c r="AB51" i="1"/>
  <c r="R40" i="1"/>
  <c r="S40" i="1" s="1"/>
  <c r="AB55" i="1"/>
  <c r="AE51" i="1"/>
  <c r="R51" i="1"/>
  <c r="S51" i="1" s="1"/>
  <c r="AD29" i="1"/>
  <c r="R29" i="1" s="1"/>
  <c r="S29" i="1" s="1"/>
  <c r="AB82" i="1"/>
  <c r="AD82" i="1"/>
  <c r="AB20" i="1"/>
  <c r="AH20" i="1"/>
  <c r="AH19" i="1"/>
  <c r="R19" i="1"/>
  <c r="S19" i="1" s="1"/>
  <c r="AE37" i="1"/>
  <c r="AH77" i="1"/>
  <c r="AE20" i="1"/>
  <c r="AH37" i="1"/>
  <c r="AE77" i="1"/>
  <c r="AE55" i="1"/>
  <c r="AH65" i="1"/>
  <c r="AH9" i="1"/>
  <c r="R9" i="1"/>
  <c r="S9" i="1" s="1"/>
  <c r="AH38" i="1"/>
  <c r="AD80" i="1"/>
  <c r="AB80" i="1"/>
  <c r="AD48" i="1"/>
  <c r="AB48" i="1"/>
  <c r="AD54" i="1"/>
  <c r="AB54" i="1"/>
  <c r="AD26" i="1"/>
  <c r="AB26" i="1"/>
  <c r="AD35" i="1"/>
  <c r="AB35" i="1"/>
  <c r="AD33" i="1"/>
  <c r="AB33" i="1"/>
  <c r="AD27" i="1"/>
  <c r="AB27" i="1"/>
  <c r="AD47" i="1"/>
  <c r="AB47" i="1"/>
  <c r="AD79" i="1"/>
  <c r="AB79" i="1"/>
  <c r="AB25" i="1"/>
  <c r="AD25" i="1"/>
  <c r="AB53" i="1"/>
  <c r="AD53" i="1"/>
  <c r="T23" i="1"/>
  <c r="Q23" i="1"/>
  <c r="AD32" i="1"/>
  <c r="AB32" i="1"/>
  <c r="AD70" i="1"/>
  <c r="AB70" i="1"/>
  <c r="AD73" i="1"/>
  <c r="AB73" i="1"/>
  <c r="AD46" i="1"/>
  <c r="AB46" i="1"/>
  <c r="AH59" i="1"/>
  <c r="T16" i="1"/>
  <c r="AD85" i="1"/>
  <c r="AB85" i="1"/>
  <c r="AD52" i="1"/>
  <c r="AB52" i="1"/>
  <c r="AB69" i="1"/>
  <c r="AD69" i="1"/>
  <c r="AB39" i="1"/>
  <c r="AD39" i="1"/>
  <c r="AD31" i="1"/>
  <c r="AB31" i="1"/>
  <c r="AD45" i="1"/>
  <c r="AB45" i="1"/>
  <c r="P5" i="1"/>
  <c r="Q34" i="1"/>
  <c r="AD78" i="1"/>
  <c r="AB78" i="1"/>
  <c r="AD30" i="1"/>
  <c r="AB30" i="1"/>
  <c r="AD44" i="1"/>
  <c r="AB44" i="1"/>
  <c r="AD84" i="1"/>
  <c r="AB84" i="1"/>
  <c r="T42" i="1"/>
  <c r="Q42" i="1"/>
  <c r="AD61" i="1"/>
  <c r="AB61" i="1"/>
  <c r="AD58" i="1"/>
  <c r="AB58" i="1"/>
  <c r="AD43" i="1"/>
  <c r="AB43" i="1"/>
  <c r="AE59" i="1"/>
  <c r="AD8" i="1"/>
  <c r="AB8" i="1"/>
  <c r="AB76" i="1"/>
  <c r="AD76" i="1"/>
  <c r="AD62" i="1"/>
  <c r="AB62" i="1"/>
  <c r="AB56" i="1"/>
  <c r="AD56" i="1"/>
  <c r="AD83" i="1"/>
  <c r="AB83" i="1"/>
  <c r="AD50" i="1"/>
  <c r="AB50" i="1"/>
  <c r="AB17" i="1"/>
  <c r="AD17" i="1"/>
  <c r="AH24" i="1"/>
  <c r="AE24" i="1"/>
  <c r="AB57" i="1"/>
  <c r="AD57" i="1"/>
  <c r="AD75" i="1"/>
  <c r="AB75" i="1"/>
  <c r="AD41" i="1"/>
  <c r="AB41" i="1"/>
  <c r="AD49" i="1"/>
  <c r="AB49" i="1"/>
  <c r="AH71" i="1"/>
  <c r="R71" i="1"/>
  <c r="S71" i="1" s="1"/>
  <c r="L5" i="1"/>
  <c r="T34" i="1"/>
  <c r="AH29" i="1" l="1"/>
  <c r="AE29" i="1"/>
  <c r="AE82" i="1"/>
  <c r="AH82" i="1"/>
  <c r="R82" i="1"/>
  <c r="S82" i="1" s="1"/>
  <c r="AD42" i="1"/>
  <c r="AB42" i="1"/>
  <c r="AD16" i="1"/>
  <c r="AB16" i="1"/>
  <c r="AE25" i="1"/>
  <c r="AH25" i="1"/>
  <c r="R25" i="1"/>
  <c r="S25" i="1" s="1"/>
  <c r="AE79" i="1"/>
  <c r="AH79" i="1"/>
  <c r="R79" i="1"/>
  <c r="S79" i="1" s="1"/>
  <c r="AE33" i="1"/>
  <c r="R33" i="1"/>
  <c r="S33" i="1" s="1"/>
  <c r="AH33" i="1"/>
  <c r="AH85" i="1"/>
  <c r="R85" i="1"/>
  <c r="S85" i="1" s="1"/>
  <c r="AE85" i="1"/>
  <c r="R76" i="1"/>
  <c r="S76" i="1" s="1"/>
  <c r="AE76" i="1"/>
  <c r="AH76" i="1"/>
  <c r="AB34" i="1"/>
  <c r="AD34" i="1"/>
  <c r="R30" i="1"/>
  <c r="S30" i="1" s="1"/>
  <c r="AH30" i="1"/>
  <c r="AE30" i="1"/>
  <c r="AE73" i="1"/>
  <c r="R73" i="1"/>
  <c r="S73" i="1" s="1"/>
  <c r="AH73" i="1"/>
  <c r="AH35" i="1"/>
  <c r="AE35" i="1"/>
  <c r="R35" i="1"/>
  <c r="S35" i="1" s="1"/>
  <c r="AH84" i="1"/>
  <c r="R84" i="1"/>
  <c r="S84" i="1" s="1"/>
  <c r="AE84" i="1"/>
  <c r="AH44" i="1"/>
  <c r="AE44" i="1"/>
  <c r="R44" i="1"/>
  <c r="S44" i="1" s="1"/>
  <c r="AE46" i="1"/>
  <c r="R46" i="1"/>
  <c r="S46" i="1" s="1"/>
  <c r="AH46" i="1"/>
  <c r="Q5" i="1"/>
  <c r="R83" i="1"/>
  <c r="S83" i="1" s="1"/>
  <c r="AE83" i="1"/>
  <c r="AH83" i="1"/>
  <c r="AE70" i="1"/>
  <c r="AH70" i="1"/>
  <c r="R70" i="1"/>
  <c r="S70" i="1" s="1"/>
  <c r="AH26" i="1"/>
  <c r="AE26" i="1"/>
  <c r="R26" i="1"/>
  <c r="S26" i="1" s="1"/>
  <c r="AH56" i="1"/>
  <c r="R56" i="1"/>
  <c r="S56" i="1" s="1"/>
  <c r="AE56" i="1"/>
  <c r="R41" i="1"/>
  <c r="S41" i="1" s="1"/>
  <c r="AH41" i="1"/>
  <c r="AE41" i="1"/>
  <c r="AH57" i="1"/>
  <c r="R57" i="1"/>
  <c r="S57" i="1" s="1"/>
  <c r="AE57" i="1"/>
  <c r="R31" i="1"/>
  <c r="S31" i="1" s="1"/>
  <c r="AE31" i="1"/>
  <c r="AH31" i="1"/>
  <c r="AH32" i="1"/>
  <c r="AE32" i="1"/>
  <c r="R32" i="1"/>
  <c r="S32" i="1" s="1"/>
  <c r="AE54" i="1"/>
  <c r="R54" i="1"/>
  <c r="S54" i="1" s="1"/>
  <c r="AH54" i="1"/>
  <c r="AH27" i="1"/>
  <c r="R27" i="1"/>
  <c r="S27" i="1" s="1"/>
  <c r="AE27" i="1"/>
  <c r="AH49" i="1"/>
  <c r="R49" i="1"/>
  <c r="S49" i="1" s="1"/>
  <c r="AE49" i="1"/>
  <c r="AH45" i="1"/>
  <c r="AE45" i="1"/>
  <c r="R45" i="1"/>
  <c r="S45" i="1" s="1"/>
  <c r="AE39" i="1"/>
  <c r="AH39" i="1"/>
  <c r="R39" i="1"/>
  <c r="S39" i="1" s="1"/>
  <c r="AD23" i="1"/>
  <c r="AB23" i="1"/>
  <c r="AH52" i="1"/>
  <c r="AE52" i="1"/>
  <c r="R52" i="1"/>
  <c r="S52" i="1" s="1"/>
  <c r="AE47" i="1"/>
  <c r="AH47" i="1"/>
  <c r="R47" i="1"/>
  <c r="S47" i="1" s="1"/>
  <c r="AE62" i="1"/>
  <c r="AH62" i="1"/>
  <c r="R62" i="1"/>
  <c r="S62" i="1" s="1"/>
  <c r="AH8" i="1"/>
  <c r="AE8" i="1"/>
  <c r="R8" i="1"/>
  <c r="AD5" i="1"/>
  <c r="R43" i="1"/>
  <c r="S43" i="1" s="1"/>
  <c r="AE43" i="1"/>
  <c r="AH43" i="1"/>
  <c r="AH58" i="1"/>
  <c r="AE58" i="1"/>
  <c r="R58" i="1"/>
  <c r="S58" i="1" s="1"/>
  <c r="AH48" i="1"/>
  <c r="R48" i="1"/>
  <c r="S48" i="1" s="1"/>
  <c r="AE48" i="1"/>
  <c r="AH50" i="1"/>
  <c r="R50" i="1"/>
  <c r="S50" i="1" s="1"/>
  <c r="AE50" i="1"/>
  <c r="AH53" i="1"/>
  <c r="R53" i="1"/>
  <c r="S53" i="1" s="1"/>
  <c r="AE53" i="1"/>
  <c r="AE78" i="1"/>
  <c r="AH78" i="1"/>
  <c r="R78" i="1"/>
  <c r="S78" i="1" s="1"/>
  <c r="R75" i="1"/>
  <c r="S75" i="1" s="1"/>
  <c r="AE75" i="1"/>
  <c r="AH75" i="1"/>
  <c r="AH17" i="1"/>
  <c r="R17" i="1"/>
  <c r="S17" i="1" s="1"/>
  <c r="AE17" i="1"/>
  <c r="AE61" i="1"/>
  <c r="AH61" i="1"/>
  <c r="R61" i="1"/>
  <c r="S61" i="1" s="1"/>
  <c r="AH69" i="1"/>
  <c r="AE69" i="1"/>
  <c r="R69" i="1"/>
  <c r="S69" i="1" s="1"/>
  <c r="AH80" i="1"/>
  <c r="R80" i="1"/>
  <c r="S80" i="1" s="1"/>
  <c r="AE80" i="1"/>
  <c r="AB5" i="1" l="1"/>
  <c r="S8" i="1"/>
  <c r="AE16" i="1"/>
  <c r="R16" i="1"/>
  <c r="S16" i="1" s="1"/>
  <c r="AH16" i="1"/>
  <c r="AH34" i="1"/>
  <c r="AE34" i="1"/>
  <c r="R34" i="1"/>
  <c r="S34" i="1" s="1"/>
  <c r="AE42" i="1"/>
  <c r="AH42" i="1"/>
  <c r="R42" i="1"/>
  <c r="S42" i="1" s="1"/>
  <c r="AE23" i="1"/>
  <c r="AH23" i="1"/>
  <c r="R23" i="1"/>
  <c r="S23" i="1" s="1"/>
  <c r="AE5" i="1" l="1"/>
  <c r="AH5" i="1"/>
  <c r="R5" i="1"/>
</calcChain>
</file>

<file path=xl/sharedStrings.xml><?xml version="1.0" encoding="utf-8"?>
<sst xmlns="http://schemas.openxmlformats.org/spreadsheetml/2006/main" count="317" uniqueCount="189">
  <si>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</si>
  <si>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</si>
  <si>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</si>
  <si>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</si>
  <si>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</si>
  <si>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</si>
  <si>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</si>
  <si>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</si>
  <si>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</si>
  <si>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</si>
  <si>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</si>
  <si>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</si>
  <si>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</si>
  <si>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</si>
  <si>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</si>
  <si>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</si>
  <si>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</si>
  <si>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</si>
  <si>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</si>
  <si>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</si>
  <si>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</si>
  <si>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</si>
  <si>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</si>
  <si>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</si>
  <si>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</si>
  <si>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</si>
  <si>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</si>
  <si>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</si>
  <si>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</si>
  <si>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</si>
  <si>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</si>
  <si>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</si>
  <si>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</si>
  <si>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</si>
  <si>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</si>
  <si>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</si>
  <si>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</si>
  <si>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</si>
  <si>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</si>
  <si>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</si>
  <si>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</si>
  <si>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</si>
  <si>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</si>
  <si>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</si>
  <si>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</si>
  <si>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</si>
  <si>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</si>
  <si>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</si>
  <si>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</si>
  <si>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</si>
  <si>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</si>
  <si>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</si>
  <si>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</si>
  <si>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</si>
  <si>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</si>
  <si>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</si>
  <si>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</si>
  <si>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</si>
  <si>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</si>
  <si>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</si>
  <si>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</si>
  <si>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</si>
  <si>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</si>
  <si>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</si>
  <si>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</si>
  <si>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</si>
  <si>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</si>
  <si>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</si>
  <si>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</si>
  <si>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</si>
  <si>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</si>
  <si>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</si>
  <si>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</si>
  <si>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</si>
  <si>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</si>
  <si>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</si>
  <si>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</si>
  <si>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</si>
  <si>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</si>
  <si>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</si>
  <si>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</si>
  <si>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</si>
  <si>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</si>
  <si>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</si>
  <si>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</si>
  <si>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нужно увеличить продажи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</si>
  <si>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</si>
  <si>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</si>
  <si>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</si>
  <si>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</si>
  <si>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</si>
  <si>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</si>
  <si>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</si>
  <si>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</si>
  <si>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</si>
  <si>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</si>
  <si>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</si>
  <si>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</si>
  <si>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</si>
  <si>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</si>
  <si>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</si>
  <si>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</si>
  <si>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</si>
  <si>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</si>
  <si>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</si>
  <si>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</si>
  <si>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</si>
  <si>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</si>
  <si>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</si>
  <si>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</si>
  <si>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</si>
  <si>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</si>
  <si>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</si>
  <si>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</si>
  <si>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</si>
  <si>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</si>
  <si>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</si>
  <si>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</si>
  <si>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</si>
  <si>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</si>
  <si>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</si>
  <si>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</si>
  <si>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</si>
  <si>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</si>
  <si>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</si>
  <si>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</si>
  <si>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</si>
  <si>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</si>
  <si>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</si>
  <si>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</si>
  <si>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</si>
  <si>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</si>
  <si>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</si>
  <si>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</si>
  <si>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</si>
  <si>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</si>
  <si>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</si>
  <si>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</si>
  <si>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</si>
  <si>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</si>
  <si>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</si>
  <si>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</si>
  <si>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</si>
  <si>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</si>
  <si>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</si>
  <si>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</si>
  <si>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</si>
  <si>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</si>
  <si>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</si>
  <si>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</si>
  <si>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</si>
  <si>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</si>
  <si>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</si>
  <si>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</si>
  <si>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</si>
  <si>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</si>
  <si>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</si>
  <si>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</si>
  <si>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</si>
  <si>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</si>
  <si>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</si>
  <si>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</si>
  <si>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</si>
  <si>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</si>
  <si>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</si>
  <si>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</si>
  <si>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</si>
  <si>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</si>
  <si>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</si>
  <si>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</si>
  <si>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</si>
  <si>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</si>
  <si>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</si>
  <si>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</si>
  <si>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</si>
  <si>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</si>
  <si>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</si>
  <si>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</si>
  <si>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</si>
  <si>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</si>
  <si>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</si>
  <si>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</si>
  <si>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</si>
  <si>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</si>
  <si>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</si>
  <si>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</si>
  <si>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</si>
  <si>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</si>
  <si>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кратность 168шт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</si>
</sst>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4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26" width="6" customWidth="1"/>
    <col min="27" max="27" width="45.14062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/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11450.4</v>
      </c>
      <c r="F5" s="4">
        <f>SUM(F6:F497)</f>
        <v>18683.200000000004</v>
      </c>
      <c r="G5" s="7"/>
      <c r="H5" s="1"/>
      <c r="I5" s="1"/>
      <c r="J5" s="1"/>
      <c r="K5" s="4">
        <f t="shared" ref="K5:R5" si="0">SUM(K6:K497)</f>
        <v>10361.4</v>
      </c>
      <c r="L5" s="4">
        <f t="shared" si="0"/>
        <v>1089</v>
      </c>
      <c r="M5" s="4">
        <f t="shared" si="0"/>
        <v>0</v>
      </c>
      <c r="N5" s="4">
        <f t="shared" si="0"/>
        <v>0</v>
      </c>
      <c r="O5" s="4">
        <f t="shared" si="0"/>
        <v>2568</v>
      </c>
      <c r="P5" s="4">
        <f t="shared" si="0"/>
        <v>2290.08</v>
      </c>
      <c r="Q5" s="4">
        <f t="shared" si="0"/>
        <v>12431.8</v>
      </c>
      <c r="R5" s="4">
        <f t="shared" si="0"/>
        <v>13228</v>
      </c>
      <c r="S5" s="1"/>
      <c r="T5" s="1"/>
      <c r="U5" s="4">
        <f t="shared" ref="U5:Z5" si="1">SUM(U6:U497)</f>
        <v>1570.82</v>
      </c>
      <c r="V5" s="4">
        <f t="shared" si="1"/>
        <v>1148.3600000000001</v>
      </c>
      <c r="W5" s="4">
        <f t="shared" si="1"/>
        <v>1531.6399999999999</v>
      </c>
      <c r="X5" s="4">
        <f t="shared" si="1"/>
        <v>1771.42</v>
      </c>
      <c r="Y5" s="4">
        <f t="shared" si="1"/>
        <v>1235.22</v>
      </c>
      <c r="Z5" s="4">
        <f t="shared" si="1"/>
        <v>645.41999999999996</v>
      </c>
      <c r="AA5" s="1"/>
      <c r="AB5" s="4">
        <f>SUM(AB6:AB497)</f>
        <v>5960.7360000000008</v>
      </c>
      <c r="AC5" s="7"/>
      <c r="AD5" s="11">
        <f>SUM(AD6:AD497)</f>
        <v>1404</v>
      </c>
      <c r="AE5" s="4">
        <f>SUM(AE6:AE497)</f>
        <v>6229.5599999999986</v>
      </c>
      <c r="AF5" s="1"/>
      <c r="AG5" s="1"/>
      <c r="AH5" s="11">
        <f>SUM(AH6:AH497)</f>
        <v>16.004761904761907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37</v>
      </c>
      <c r="B6" s="14" t="s">
        <v>38</v>
      </c>
      <c r="C6" s="14"/>
      <c r="D6" s="14">
        <v>33</v>
      </c>
      <c r="E6" s="19">
        <v>28</v>
      </c>
      <c r="F6" s="14"/>
      <c r="G6" s="15">
        <v>0</v>
      </c>
      <c r="H6" s="14"/>
      <c r="I6" s="14" t="s">
        <v>39</v>
      </c>
      <c r="J6" s="14" t="s">
        <v>40</v>
      </c>
      <c r="K6" s="14">
        <v>36</v>
      </c>
      <c r="L6" s="14">
        <f t="shared" ref="L6:L37" si="2">E6-K6</f>
        <v>-8</v>
      </c>
      <c r="M6" s="14"/>
      <c r="N6" s="14"/>
      <c r="O6" s="14"/>
      <c r="P6" s="14">
        <f t="shared" ref="P6:P37" si="3">E6/5</f>
        <v>5.6</v>
      </c>
      <c r="Q6" s="16"/>
      <c r="R6" s="16"/>
      <c r="S6" s="14">
        <f t="shared" ref="S6:S37" si="4">(F6+O6+R6)/P6</f>
        <v>0</v>
      </c>
      <c r="T6" s="14">
        <f t="shared" ref="T6:T37" si="5">(F6+O6)/P6</f>
        <v>0</v>
      </c>
      <c r="U6" s="14">
        <v>2.6</v>
      </c>
      <c r="V6" s="14">
        <v>3.8</v>
      </c>
      <c r="W6" s="14">
        <v>7.8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41</v>
      </c>
      <c r="B7" s="14" t="s">
        <v>38</v>
      </c>
      <c r="C7" s="14"/>
      <c r="D7" s="14">
        <v>24</v>
      </c>
      <c r="E7" s="19">
        <v>16</v>
      </c>
      <c r="F7" s="19">
        <v>-2</v>
      </c>
      <c r="G7" s="15">
        <v>0</v>
      </c>
      <c r="H7" s="14"/>
      <c r="I7" s="14" t="s">
        <v>39</v>
      </c>
      <c r="J7" s="14" t="s">
        <v>42</v>
      </c>
      <c r="K7" s="14">
        <v>21</v>
      </c>
      <c r="L7" s="14">
        <f t="shared" si="2"/>
        <v>-5</v>
      </c>
      <c r="M7" s="14"/>
      <c r="N7" s="14"/>
      <c r="O7" s="14"/>
      <c r="P7" s="14">
        <f t="shared" si="3"/>
        <v>3.2</v>
      </c>
      <c r="Q7" s="16"/>
      <c r="R7" s="16"/>
      <c r="S7" s="14">
        <f t="shared" si="4"/>
        <v>-0.625</v>
      </c>
      <c r="T7" s="14">
        <f t="shared" si="5"/>
        <v>-0.625</v>
      </c>
      <c r="U7" s="14">
        <v>3</v>
      </c>
      <c r="V7" s="14">
        <v>3.4</v>
      </c>
      <c r="W7" s="14">
        <v>1.2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43</v>
      </c>
      <c r="B8" s="1" t="s">
        <v>38</v>
      </c>
      <c r="C8" s="1">
        <v>36</v>
      </c>
      <c r="D8" s="1"/>
      <c r="E8" s="1">
        <v>22</v>
      </c>
      <c r="F8" s="1">
        <v>14</v>
      </c>
      <c r="G8" s="7">
        <v>0.22</v>
      </c>
      <c r="H8" s="1">
        <v>180</v>
      </c>
      <c r="I8" s="1" t="s">
        <v>44</v>
      </c>
      <c r="J8" s="1"/>
      <c r="K8" s="1">
        <v>22</v>
      </c>
      <c r="L8" s="1">
        <f t="shared" si="2"/>
        <v>0</v>
      </c>
      <c r="M8" s="1"/>
      <c r="N8" s="1"/>
      <c r="O8" s="1">
        <v>0</v>
      </c>
      <c r="P8" s="1">
        <f t="shared" si="3"/>
        <v>4.4000000000000004</v>
      </c>
      <c r="Q8" s="5">
        <f>24*P8-O8-F8</f>
        <v>91.600000000000009</v>
      </c>
      <c r="R8" s="5">
        <f>AC8*AD8</f>
        <v>168</v>
      </c>
      <c r="S8" s="1">
        <f t="shared" si="4"/>
        <v>41.36363636363636</v>
      </c>
      <c r="T8" s="1">
        <f t="shared" si="5"/>
        <v>3.1818181818181817</v>
      </c>
      <c r="U8" s="1">
        <v>2.6</v>
      </c>
      <c r="V8" s="1">
        <v>1</v>
      </c>
      <c r="W8" s="1">
        <v>3.6</v>
      </c>
      <c r="X8" s="1">
        <v>2.2000000000000002</v>
      </c>
      <c r="Y8" s="1">
        <v>1.6</v>
      </c>
      <c r="Z8" s="1">
        <v>2.2000000000000002</v>
      </c>
      <c r="AA8" s="13" t="s">
        <v>188</v>
      </c>
      <c r="AB8" s="1">
        <f>G8*Q8</f>
        <v>20.152000000000001</v>
      </c>
      <c r="AC8" s="7">
        <v>12</v>
      </c>
      <c r="AD8" s="9">
        <f>MROUND(Q8, AC8*AF8)/AC8</f>
        <v>14</v>
      </c>
      <c r="AE8" s="1">
        <f>AD8*AC8*G8</f>
        <v>36.96</v>
      </c>
      <c r="AF8" s="1">
        <v>14</v>
      </c>
      <c r="AG8" s="1">
        <v>70</v>
      </c>
      <c r="AH8" s="9">
        <f>AD8/AG8</f>
        <v>0.2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45</v>
      </c>
      <c r="B9" s="1" t="s">
        <v>38</v>
      </c>
      <c r="C9" s="1"/>
      <c r="D9" s="1"/>
      <c r="E9" s="1"/>
      <c r="F9" s="1"/>
      <c r="G9" s="7">
        <v>0.6</v>
      </c>
      <c r="H9" s="1">
        <v>180</v>
      </c>
      <c r="I9" s="1" t="s">
        <v>46</v>
      </c>
      <c r="J9" s="1"/>
      <c r="K9" s="1"/>
      <c r="L9" s="1">
        <f t="shared" si="2"/>
        <v>0</v>
      </c>
      <c r="M9" s="1"/>
      <c r="N9" s="1"/>
      <c r="O9" s="1">
        <v>240</v>
      </c>
      <c r="P9" s="1">
        <f t="shared" si="3"/>
        <v>0</v>
      </c>
      <c r="Q9" s="5"/>
      <c r="R9" s="5">
        <f>AC9*AD9</f>
        <v>0</v>
      </c>
      <c r="S9" s="1" t="e">
        <f t="shared" si="4"/>
        <v>#DIV/0!</v>
      </c>
      <c r="T9" s="1" t="e">
        <f t="shared" si="5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 t="s">
        <v>47</v>
      </c>
      <c r="AB9" s="1">
        <f>G9*Q9</f>
        <v>0</v>
      </c>
      <c r="AC9" s="7">
        <v>10</v>
      </c>
      <c r="AD9" s="9">
        <f>MROUND(Q9, AC9*AF9)/AC9</f>
        <v>0</v>
      </c>
      <c r="AE9" s="1">
        <f>AD9*AC9*G9</f>
        <v>0</v>
      </c>
      <c r="AF9" s="1">
        <v>12</v>
      </c>
      <c r="AG9" s="1">
        <v>84</v>
      </c>
      <c r="AH9" s="9">
        <f>AD9/AG9</f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48</v>
      </c>
      <c r="B10" s="14" t="s">
        <v>38</v>
      </c>
      <c r="C10" s="14">
        <v>840</v>
      </c>
      <c r="D10" s="14">
        <v>4</v>
      </c>
      <c r="E10" s="19">
        <v>261</v>
      </c>
      <c r="F10" s="19">
        <v>513</v>
      </c>
      <c r="G10" s="15">
        <v>0</v>
      </c>
      <c r="H10" s="14">
        <v>180</v>
      </c>
      <c r="I10" s="14" t="s">
        <v>49</v>
      </c>
      <c r="J10" s="14" t="s">
        <v>50</v>
      </c>
      <c r="K10" s="14">
        <v>301</v>
      </c>
      <c r="L10" s="14">
        <f t="shared" si="2"/>
        <v>-40</v>
      </c>
      <c r="M10" s="14"/>
      <c r="N10" s="14"/>
      <c r="O10" s="14"/>
      <c r="P10" s="14">
        <f t="shared" si="3"/>
        <v>52.2</v>
      </c>
      <c r="Q10" s="16"/>
      <c r="R10" s="16"/>
      <c r="S10" s="14">
        <f t="shared" si="4"/>
        <v>9.8275862068965516</v>
      </c>
      <c r="T10" s="14">
        <f t="shared" si="5"/>
        <v>9.8275862068965516</v>
      </c>
      <c r="U10" s="14">
        <v>24.8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/>
      <c r="AB10" s="14"/>
      <c r="AC10" s="15"/>
      <c r="AD10" s="17"/>
      <c r="AE10" s="14"/>
      <c r="AF10" s="14"/>
      <c r="AG10" s="14"/>
      <c r="AH10" s="17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21" t="s">
        <v>51</v>
      </c>
      <c r="B11" s="1" t="s">
        <v>38</v>
      </c>
      <c r="C11" s="1">
        <v>118</v>
      </c>
      <c r="D11" s="1">
        <v>17</v>
      </c>
      <c r="E11" s="1">
        <v>56</v>
      </c>
      <c r="F11" s="1">
        <v>57</v>
      </c>
      <c r="G11" s="7">
        <v>0.3</v>
      </c>
      <c r="H11" s="1">
        <v>180</v>
      </c>
      <c r="I11" s="1" t="s">
        <v>52</v>
      </c>
      <c r="J11" s="1"/>
      <c r="K11" s="1">
        <v>68</v>
      </c>
      <c r="L11" s="1">
        <f t="shared" si="2"/>
        <v>-12</v>
      </c>
      <c r="M11" s="1"/>
      <c r="N11" s="1"/>
      <c r="O11" s="1">
        <v>0</v>
      </c>
      <c r="P11" s="1">
        <f t="shared" si="3"/>
        <v>11.2</v>
      </c>
      <c r="Q11" s="5">
        <f>14*P11-O11-F11</f>
        <v>99.799999999999983</v>
      </c>
      <c r="R11" s="5">
        <f>AC11*AD11</f>
        <v>168</v>
      </c>
      <c r="S11" s="1">
        <f t="shared" si="4"/>
        <v>20.089285714285715</v>
      </c>
      <c r="T11" s="1">
        <f t="shared" si="5"/>
        <v>5.0892857142857144</v>
      </c>
      <c r="U11" s="1">
        <v>6</v>
      </c>
      <c r="V11" s="1">
        <v>6.8</v>
      </c>
      <c r="W11" s="1">
        <v>5.2</v>
      </c>
      <c r="X11" s="1">
        <v>9.6</v>
      </c>
      <c r="Y11" s="1">
        <v>7.2</v>
      </c>
      <c r="Z11" s="1">
        <v>2.8</v>
      </c>
      <c r="AA11" s="1"/>
      <c r="AB11" s="1">
        <f>G11*Q11</f>
        <v>29.939999999999994</v>
      </c>
      <c r="AC11" s="7">
        <v>12</v>
      </c>
      <c r="AD11" s="9">
        <f>MROUND(Q11, AC11*AF11)/AC11</f>
        <v>14</v>
      </c>
      <c r="AE11" s="1">
        <f>AD11*AC11*G11</f>
        <v>50.4</v>
      </c>
      <c r="AF11" s="1">
        <v>14</v>
      </c>
      <c r="AG11" s="1">
        <v>70</v>
      </c>
      <c r="AH11" s="9">
        <f>AD11/AG11</f>
        <v>0.2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53</v>
      </c>
      <c r="B12" s="14" t="s">
        <v>38</v>
      </c>
      <c r="C12" s="14">
        <v>1174</v>
      </c>
      <c r="D12" s="14">
        <v>5</v>
      </c>
      <c r="E12" s="19">
        <v>274</v>
      </c>
      <c r="F12" s="19">
        <v>902</v>
      </c>
      <c r="G12" s="15">
        <v>0</v>
      </c>
      <c r="H12" s="14">
        <v>180</v>
      </c>
      <c r="I12" s="14" t="s">
        <v>49</v>
      </c>
      <c r="J12" s="14" t="s">
        <v>54</v>
      </c>
      <c r="K12" s="14">
        <v>279</v>
      </c>
      <c r="L12" s="14">
        <f t="shared" si="2"/>
        <v>-5</v>
      </c>
      <c r="M12" s="14"/>
      <c r="N12" s="14"/>
      <c r="O12" s="14"/>
      <c r="P12" s="14">
        <f t="shared" si="3"/>
        <v>54.8</v>
      </c>
      <c r="Q12" s="16"/>
      <c r="R12" s="16"/>
      <c r="S12" s="14">
        <f t="shared" si="4"/>
        <v>16.459854014598541</v>
      </c>
      <c r="T12" s="14">
        <f t="shared" si="5"/>
        <v>16.459854014598541</v>
      </c>
      <c r="U12" s="14">
        <v>31.6</v>
      </c>
      <c r="V12" s="14">
        <v>2.8</v>
      </c>
      <c r="W12" s="14">
        <v>1.4</v>
      </c>
      <c r="X12" s="14">
        <v>1.2</v>
      </c>
      <c r="Y12" s="14">
        <v>1.2</v>
      </c>
      <c r="Z12" s="14">
        <v>0</v>
      </c>
      <c r="AA12" s="14"/>
      <c r="AB12" s="14"/>
      <c r="AC12" s="15"/>
      <c r="AD12" s="17"/>
      <c r="AE12" s="14"/>
      <c r="AF12" s="14"/>
      <c r="AG12" s="14"/>
      <c r="AH12" s="1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55</v>
      </c>
      <c r="B13" s="14" t="s">
        <v>38</v>
      </c>
      <c r="C13" s="14">
        <v>373</v>
      </c>
      <c r="D13" s="14">
        <v>17</v>
      </c>
      <c r="E13" s="19">
        <v>170</v>
      </c>
      <c r="F13" s="19">
        <v>173</v>
      </c>
      <c r="G13" s="15">
        <v>0</v>
      </c>
      <c r="H13" s="14">
        <v>180</v>
      </c>
      <c r="I13" s="14" t="s">
        <v>49</v>
      </c>
      <c r="J13" s="14" t="s">
        <v>56</v>
      </c>
      <c r="K13" s="14">
        <v>177</v>
      </c>
      <c r="L13" s="14">
        <f t="shared" si="2"/>
        <v>-7</v>
      </c>
      <c r="M13" s="14"/>
      <c r="N13" s="14"/>
      <c r="O13" s="14"/>
      <c r="P13" s="14">
        <f t="shared" si="3"/>
        <v>34</v>
      </c>
      <c r="Q13" s="16"/>
      <c r="R13" s="16"/>
      <c r="S13" s="14">
        <f t="shared" si="4"/>
        <v>5.0882352941176467</v>
      </c>
      <c r="T13" s="14">
        <f t="shared" si="5"/>
        <v>5.0882352941176467</v>
      </c>
      <c r="U13" s="14">
        <v>23.6</v>
      </c>
      <c r="V13" s="14">
        <v>18.600000000000001</v>
      </c>
      <c r="W13" s="14">
        <v>18.600000000000001</v>
      </c>
      <c r="X13" s="14">
        <v>21.6</v>
      </c>
      <c r="Y13" s="14">
        <v>13.2</v>
      </c>
      <c r="Z13" s="14">
        <v>2.8</v>
      </c>
      <c r="AA13" s="14"/>
      <c r="AB13" s="14"/>
      <c r="AC13" s="15"/>
      <c r="AD13" s="17"/>
      <c r="AE13" s="14"/>
      <c r="AF13" s="14"/>
      <c r="AG13" s="14"/>
      <c r="AH13" s="17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57</v>
      </c>
      <c r="B14" s="14" t="s">
        <v>38</v>
      </c>
      <c r="C14" s="14">
        <v>662</v>
      </c>
      <c r="D14" s="14">
        <v>75</v>
      </c>
      <c r="E14" s="19">
        <v>339</v>
      </c>
      <c r="F14" s="19">
        <v>307</v>
      </c>
      <c r="G14" s="15">
        <v>0</v>
      </c>
      <c r="H14" s="14">
        <v>180</v>
      </c>
      <c r="I14" s="14" t="s">
        <v>49</v>
      </c>
      <c r="J14" s="14" t="s">
        <v>58</v>
      </c>
      <c r="K14" s="14">
        <v>409</v>
      </c>
      <c r="L14" s="14">
        <f t="shared" si="2"/>
        <v>-70</v>
      </c>
      <c r="M14" s="14"/>
      <c r="N14" s="14"/>
      <c r="O14" s="14"/>
      <c r="P14" s="14">
        <f t="shared" si="3"/>
        <v>67.8</v>
      </c>
      <c r="Q14" s="16"/>
      <c r="R14" s="16"/>
      <c r="S14" s="14">
        <f t="shared" si="4"/>
        <v>4.5280235988200594</v>
      </c>
      <c r="T14" s="14">
        <f t="shared" si="5"/>
        <v>4.5280235988200594</v>
      </c>
      <c r="U14" s="14">
        <v>47.6</v>
      </c>
      <c r="V14" s="14">
        <v>36.6</v>
      </c>
      <c r="W14" s="14">
        <v>32.200000000000003</v>
      </c>
      <c r="X14" s="14">
        <v>49.6</v>
      </c>
      <c r="Y14" s="14">
        <v>27</v>
      </c>
      <c r="Z14" s="14">
        <v>21.2</v>
      </c>
      <c r="AA14" s="14"/>
      <c r="AB14" s="14"/>
      <c r="AC14" s="15"/>
      <c r="AD14" s="17"/>
      <c r="AE14" s="14"/>
      <c r="AF14" s="14"/>
      <c r="AG14" s="14"/>
      <c r="AH14" s="17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59</v>
      </c>
      <c r="B15" s="14" t="s">
        <v>38</v>
      </c>
      <c r="C15" s="14">
        <v>672</v>
      </c>
      <c r="D15" s="14">
        <v>24</v>
      </c>
      <c r="E15" s="19">
        <v>253</v>
      </c>
      <c r="F15" s="19">
        <v>414</v>
      </c>
      <c r="G15" s="15">
        <v>0</v>
      </c>
      <c r="H15" s="14">
        <v>180</v>
      </c>
      <c r="I15" s="14" t="s">
        <v>49</v>
      </c>
      <c r="J15" s="14" t="s">
        <v>60</v>
      </c>
      <c r="K15" s="14">
        <v>269</v>
      </c>
      <c r="L15" s="14">
        <f t="shared" si="2"/>
        <v>-16</v>
      </c>
      <c r="M15" s="14"/>
      <c r="N15" s="14"/>
      <c r="O15" s="14"/>
      <c r="P15" s="14">
        <f t="shared" si="3"/>
        <v>50.6</v>
      </c>
      <c r="Q15" s="16"/>
      <c r="R15" s="16"/>
      <c r="S15" s="14">
        <f t="shared" si="4"/>
        <v>8.1818181818181817</v>
      </c>
      <c r="T15" s="14">
        <f t="shared" si="5"/>
        <v>8.1818181818181817</v>
      </c>
      <c r="U15" s="14">
        <v>25.2</v>
      </c>
      <c r="V15" s="14">
        <v>15</v>
      </c>
      <c r="W15" s="14">
        <v>35.4</v>
      </c>
      <c r="X15" s="14">
        <v>42.4</v>
      </c>
      <c r="Y15" s="14">
        <v>25</v>
      </c>
      <c r="Z15" s="14">
        <v>8.4</v>
      </c>
      <c r="AA15" s="14"/>
      <c r="AB15" s="14"/>
      <c r="AC15" s="15"/>
      <c r="AD15" s="17"/>
      <c r="AE15" s="14"/>
      <c r="AF15" s="14"/>
      <c r="AG15" s="14"/>
      <c r="AH15" s="17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21" t="s">
        <v>61</v>
      </c>
      <c r="B16" s="1" t="s">
        <v>38</v>
      </c>
      <c r="C16" s="1"/>
      <c r="D16" s="1">
        <v>7</v>
      </c>
      <c r="E16" s="19">
        <f>4+E66</f>
        <v>61</v>
      </c>
      <c r="F16" s="19">
        <f>-6+F66</f>
        <v>186</v>
      </c>
      <c r="G16" s="7">
        <v>0.28000000000000003</v>
      </c>
      <c r="H16" s="1">
        <v>180</v>
      </c>
      <c r="I16" s="1" t="s">
        <v>62</v>
      </c>
      <c r="J16" s="1"/>
      <c r="K16" s="1">
        <v>7</v>
      </c>
      <c r="L16" s="1">
        <f t="shared" si="2"/>
        <v>54</v>
      </c>
      <c r="M16" s="1"/>
      <c r="N16" s="1"/>
      <c r="O16" s="1">
        <v>84</v>
      </c>
      <c r="P16" s="1">
        <f t="shared" si="3"/>
        <v>12.2</v>
      </c>
      <c r="Q16" s="5"/>
      <c r="R16" s="5">
        <f>AC16*AD16</f>
        <v>0</v>
      </c>
      <c r="S16" s="1">
        <f t="shared" si="4"/>
        <v>22.131147540983608</v>
      </c>
      <c r="T16" s="1">
        <f t="shared" si="5"/>
        <v>22.131147540983608</v>
      </c>
      <c r="U16" s="1">
        <v>10.4</v>
      </c>
      <c r="V16" s="1">
        <v>14</v>
      </c>
      <c r="W16" s="1">
        <v>18.8</v>
      </c>
      <c r="X16" s="1">
        <v>17</v>
      </c>
      <c r="Y16" s="1">
        <v>11.2</v>
      </c>
      <c r="Z16" s="1">
        <v>2</v>
      </c>
      <c r="AA16" s="1"/>
      <c r="AB16" s="1">
        <f>G16*Q16</f>
        <v>0</v>
      </c>
      <c r="AC16" s="7">
        <v>6</v>
      </c>
      <c r="AD16" s="9">
        <f>MROUND(Q16, AC16*AF16)/AC16</f>
        <v>0</v>
      </c>
      <c r="AE16" s="1">
        <f>AD16*AC16*G16</f>
        <v>0</v>
      </c>
      <c r="AF16" s="1">
        <v>14</v>
      </c>
      <c r="AG16" s="1">
        <v>140</v>
      </c>
      <c r="AH16" s="9">
        <f>AD16/AG16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21" t="s">
        <v>63</v>
      </c>
      <c r="B17" s="1" t="s">
        <v>38</v>
      </c>
      <c r="C17" s="1">
        <v>672</v>
      </c>
      <c r="D17" s="1">
        <v>27</v>
      </c>
      <c r="E17" s="1">
        <v>211</v>
      </c>
      <c r="F17" s="1">
        <v>447</v>
      </c>
      <c r="G17" s="7">
        <v>0.24</v>
      </c>
      <c r="H17" s="1">
        <v>180</v>
      </c>
      <c r="I17" s="1" t="s">
        <v>64</v>
      </c>
      <c r="J17" s="1"/>
      <c r="K17" s="1">
        <v>233</v>
      </c>
      <c r="L17" s="1">
        <f t="shared" si="2"/>
        <v>-22</v>
      </c>
      <c r="M17" s="1"/>
      <c r="N17" s="1"/>
      <c r="O17" s="1">
        <v>0</v>
      </c>
      <c r="P17" s="1">
        <f t="shared" si="3"/>
        <v>42.2</v>
      </c>
      <c r="Q17" s="5">
        <f t="shared" ref="Q16:Q17" si="6">14*P17-O17-F17</f>
        <v>143.80000000000007</v>
      </c>
      <c r="R17" s="5">
        <f>AC17*AD17</f>
        <v>168</v>
      </c>
      <c r="S17" s="1">
        <f t="shared" si="4"/>
        <v>14.57345971563981</v>
      </c>
      <c r="T17" s="1">
        <f t="shared" si="5"/>
        <v>10.592417061611373</v>
      </c>
      <c r="U17" s="1">
        <v>22.2</v>
      </c>
      <c r="V17" s="1">
        <v>0.6</v>
      </c>
      <c r="W17" s="1">
        <v>31.2</v>
      </c>
      <c r="X17" s="1">
        <v>16.399999999999999</v>
      </c>
      <c r="Y17" s="1">
        <v>17.600000000000001</v>
      </c>
      <c r="Z17" s="1">
        <v>14</v>
      </c>
      <c r="AA17" s="1"/>
      <c r="AB17" s="1">
        <f>G17*Q17</f>
        <v>34.512000000000015</v>
      </c>
      <c r="AC17" s="7">
        <v>12</v>
      </c>
      <c r="AD17" s="9">
        <f>MROUND(Q17, AC17*AF17)/AC17</f>
        <v>14</v>
      </c>
      <c r="AE17" s="1">
        <f>AD17*AC17*G17</f>
        <v>40.32</v>
      </c>
      <c r="AF17" s="1">
        <v>14</v>
      </c>
      <c r="AG17" s="1">
        <v>70</v>
      </c>
      <c r="AH17" s="9">
        <f>AD17/AG17</f>
        <v>0.2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4" t="s">
        <v>65</v>
      </c>
      <c r="B18" s="14" t="s">
        <v>38</v>
      </c>
      <c r="C18" s="14">
        <v>504</v>
      </c>
      <c r="D18" s="14">
        <v>28</v>
      </c>
      <c r="E18" s="19">
        <v>392</v>
      </c>
      <c r="F18" s="19">
        <v>78</v>
      </c>
      <c r="G18" s="15">
        <v>0</v>
      </c>
      <c r="H18" s="14">
        <v>180</v>
      </c>
      <c r="I18" s="14" t="s">
        <v>49</v>
      </c>
      <c r="J18" s="14" t="s">
        <v>66</v>
      </c>
      <c r="K18" s="14">
        <v>411</v>
      </c>
      <c r="L18" s="14">
        <f t="shared" si="2"/>
        <v>-19</v>
      </c>
      <c r="M18" s="14"/>
      <c r="N18" s="14"/>
      <c r="O18" s="14"/>
      <c r="P18" s="14">
        <f t="shared" si="3"/>
        <v>78.400000000000006</v>
      </c>
      <c r="Q18" s="16"/>
      <c r="R18" s="16"/>
      <c r="S18" s="14">
        <f t="shared" si="4"/>
        <v>0.99489795918367341</v>
      </c>
      <c r="T18" s="14">
        <f t="shared" si="5"/>
        <v>0.99489795918367341</v>
      </c>
      <c r="U18" s="14">
        <v>42.4</v>
      </c>
      <c r="V18" s="14">
        <v>8.8000000000000007</v>
      </c>
      <c r="W18" s="14">
        <v>37</v>
      </c>
      <c r="X18" s="14">
        <v>52.2</v>
      </c>
      <c r="Y18" s="14">
        <v>33.799999999999997</v>
      </c>
      <c r="Z18" s="14">
        <v>11.4</v>
      </c>
      <c r="AA18" s="14"/>
      <c r="AB18" s="14"/>
      <c r="AC18" s="15"/>
      <c r="AD18" s="17"/>
      <c r="AE18" s="14"/>
      <c r="AF18" s="14"/>
      <c r="AG18" s="14"/>
      <c r="AH18" s="17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21" t="s">
        <v>66</v>
      </c>
      <c r="B19" s="1" t="s">
        <v>38</v>
      </c>
      <c r="C19" s="1"/>
      <c r="D19" s="1"/>
      <c r="E19" s="19">
        <f>0+E18</f>
        <v>392</v>
      </c>
      <c r="F19" s="19">
        <f>0+F18</f>
        <v>78</v>
      </c>
      <c r="G19" s="7">
        <v>0.24</v>
      </c>
      <c r="H19" s="1">
        <v>180</v>
      </c>
      <c r="I19" s="1" t="s">
        <v>67</v>
      </c>
      <c r="J19" s="1"/>
      <c r="K19" s="1"/>
      <c r="L19" s="1">
        <f t="shared" si="2"/>
        <v>392</v>
      </c>
      <c r="M19" s="1"/>
      <c r="N19" s="1"/>
      <c r="O19" s="1">
        <v>0</v>
      </c>
      <c r="P19" s="1">
        <f t="shared" si="3"/>
        <v>78.400000000000006</v>
      </c>
      <c r="Q19" s="5">
        <f t="shared" ref="Q19:Q20" si="7">14*P19-O19-F19</f>
        <v>1019.6000000000001</v>
      </c>
      <c r="R19" s="5">
        <f>AC19*AD19</f>
        <v>1008</v>
      </c>
      <c r="S19" s="1">
        <f t="shared" si="4"/>
        <v>13.852040816326529</v>
      </c>
      <c r="T19" s="1">
        <f t="shared" si="5"/>
        <v>0.99489795918367341</v>
      </c>
      <c r="U19" s="1">
        <v>42.4</v>
      </c>
      <c r="V19" s="1">
        <v>8.8000000000000007</v>
      </c>
      <c r="W19" s="1">
        <v>37</v>
      </c>
      <c r="X19" s="1">
        <v>55.2</v>
      </c>
      <c r="Y19" s="1">
        <v>31.4</v>
      </c>
      <c r="Z19" s="1">
        <v>18.600000000000001</v>
      </c>
      <c r="AA19" s="1"/>
      <c r="AB19" s="1">
        <f>G19*Q19</f>
        <v>244.70400000000004</v>
      </c>
      <c r="AC19" s="7">
        <v>12</v>
      </c>
      <c r="AD19" s="9">
        <f>MROUND(Q19, AC19*AF19)/AC19</f>
        <v>84</v>
      </c>
      <c r="AE19" s="1">
        <f>AD19*AC19*G19</f>
        <v>241.92</v>
      </c>
      <c r="AF19" s="1">
        <v>14</v>
      </c>
      <c r="AG19" s="1">
        <v>70</v>
      </c>
      <c r="AH19" s="9">
        <f>AD19/AG19</f>
        <v>1.2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21" t="s">
        <v>68</v>
      </c>
      <c r="B20" s="1" t="s">
        <v>38</v>
      </c>
      <c r="C20" s="1">
        <v>332</v>
      </c>
      <c r="D20" s="1">
        <v>31</v>
      </c>
      <c r="E20" s="1">
        <v>226</v>
      </c>
      <c r="F20" s="1">
        <v>95</v>
      </c>
      <c r="G20" s="7">
        <v>0.24</v>
      </c>
      <c r="H20" s="1">
        <v>180</v>
      </c>
      <c r="I20" s="1" t="s">
        <v>69</v>
      </c>
      <c r="J20" s="1"/>
      <c r="K20" s="1">
        <v>253</v>
      </c>
      <c r="L20" s="1">
        <f t="shared" si="2"/>
        <v>-27</v>
      </c>
      <c r="M20" s="1"/>
      <c r="N20" s="1"/>
      <c r="O20" s="1">
        <v>168</v>
      </c>
      <c r="P20" s="1">
        <f t="shared" si="3"/>
        <v>45.2</v>
      </c>
      <c r="Q20" s="5">
        <f t="shared" si="7"/>
        <v>369.80000000000007</v>
      </c>
      <c r="R20" s="5">
        <f>AC20*AD20</f>
        <v>336</v>
      </c>
      <c r="S20" s="1">
        <f t="shared" si="4"/>
        <v>13.25221238938053</v>
      </c>
      <c r="T20" s="1">
        <f t="shared" si="5"/>
        <v>5.8185840707964598</v>
      </c>
      <c r="U20" s="1">
        <v>25.6</v>
      </c>
      <c r="V20" s="1">
        <v>21.4</v>
      </c>
      <c r="W20" s="1">
        <v>20.8</v>
      </c>
      <c r="X20" s="1">
        <v>34.6</v>
      </c>
      <c r="Y20" s="1">
        <v>20</v>
      </c>
      <c r="Z20" s="1">
        <v>18.399999999999999</v>
      </c>
      <c r="AA20" s="1"/>
      <c r="AB20" s="1">
        <f>G20*Q20</f>
        <v>88.75200000000001</v>
      </c>
      <c r="AC20" s="7">
        <v>12</v>
      </c>
      <c r="AD20" s="9">
        <f>MROUND(Q20, AC20*AF20)/AC20</f>
        <v>28</v>
      </c>
      <c r="AE20" s="1">
        <f>AD20*AC20*G20</f>
        <v>80.64</v>
      </c>
      <c r="AF20" s="1">
        <v>14</v>
      </c>
      <c r="AG20" s="1">
        <v>70</v>
      </c>
      <c r="AH20" s="9">
        <f>AD20/AG20</f>
        <v>0.4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70</v>
      </c>
      <c r="B21" s="14" t="s">
        <v>38</v>
      </c>
      <c r="C21" s="14">
        <v>164</v>
      </c>
      <c r="D21" s="14">
        <v>731</v>
      </c>
      <c r="E21" s="19">
        <v>250</v>
      </c>
      <c r="F21" s="19">
        <v>520</v>
      </c>
      <c r="G21" s="15">
        <v>0</v>
      </c>
      <c r="H21" s="14">
        <v>180</v>
      </c>
      <c r="I21" s="14" t="s">
        <v>49</v>
      </c>
      <c r="J21" s="14" t="s">
        <v>40</v>
      </c>
      <c r="K21" s="14">
        <v>273</v>
      </c>
      <c r="L21" s="14">
        <f t="shared" si="2"/>
        <v>-23</v>
      </c>
      <c r="M21" s="14"/>
      <c r="N21" s="14"/>
      <c r="O21" s="14"/>
      <c r="P21" s="14">
        <f t="shared" si="3"/>
        <v>50</v>
      </c>
      <c r="Q21" s="16"/>
      <c r="R21" s="16"/>
      <c r="S21" s="14">
        <f t="shared" si="4"/>
        <v>10.4</v>
      </c>
      <c r="T21" s="14">
        <f t="shared" si="5"/>
        <v>10.4</v>
      </c>
      <c r="U21" s="14">
        <v>31</v>
      </c>
      <c r="V21" s="14">
        <v>10.199999999999999</v>
      </c>
      <c r="W21" s="14">
        <v>42.8</v>
      </c>
      <c r="X21" s="14">
        <v>16</v>
      </c>
      <c r="Y21" s="14">
        <v>3.8</v>
      </c>
      <c r="Z21" s="14">
        <v>3.4</v>
      </c>
      <c r="AA21" s="14"/>
      <c r="AB21" s="14"/>
      <c r="AC21" s="15"/>
      <c r="AD21" s="17"/>
      <c r="AE21" s="14"/>
      <c r="AF21" s="14"/>
      <c r="AG21" s="14"/>
      <c r="AH21" s="17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71</v>
      </c>
      <c r="B22" s="14" t="s">
        <v>38</v>
      </c>
      <c r="C22" s="14">
        <v>1</v>
      </c>
      <c r="D22" s="14">
        <v>115</v>
      </c>
      <c r="E22" s="19">
        <v>19</v>
      </c>
      <c r="F22" s="19">
        <v>94</v>
      </c>
      <c r="G22" s="15">
        <v>0</v>
      </c>
      <c r="H22" s="14">
        <v>180</v>
      </c>
      <c r="I22" s="14" t="s">
        <v>49</v>
      </c>
      <c r="J22" s="14" t="s">
        <v>72</v>
      </c>
      <c r="K22" s="14">
        <v>27</v>
      </c>
      <c r="L22" s="14">
        <f t="shared" si="2"/>
        <v>-8</v>
      </c>
      <c r="M22" s="14"/>
      <c r="N22" s="14"/>
      <c r="O22" s="14"/>
      <c r="P22" s="14">
        <f t="shared" si="3"/>
        <v>3.8</v>
      </c>
      <c r="Q22" s="16"/>
      <c r="R22" s="16"/>
      <c r="S22" s="14">
        <f t="shared" si="4"/>
        <v>24.736842105263158</v>
      </c>
      <c r="T22" s="14">
        <f t="shared" si="5"/>
        <v>24.736842105263158</v>
      </c>
      <c r="U22" s="14">
        <v>5.6</v>
      </c>
      <c r="V22" s="14">
        <v>13.4</v>
      </c>
      <c r="W22" s="14">
        <v>8</v>
      </c>
      <c r="X22" s="14">
        <v>7.6</v>
      </c>
      <c r="Y22" s="14">
        <v>1.2</v>
      </c>
      <c r="Z22" s="14">
        <v>2</v>
      </c>
      <c r="AA22" s="14"/>
      <c r="AB22" s="14"/>
      <c r="AC22" s="15"/>
      <c r="AD22" s="17"/>
      <c r="AE22" s="14"/>
      <c r="AF22" s="14"/>
      <c r="AG22" s="14"/>
      <c r="AH22" s="17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21" t="s">
        <v>40</v>
      </c>
      <c r="B23" s="1" t="s">
        <v>38</v>
      </c>
      <c r="C23" s="1"/>
      <c r="D23" s="1"/>
      <c r="E23" s="19">
        <f>0+E6+E21</f>
        <v>278</v>
      </c>
      <c r="F23" s="19">
        <f>0+F21</f>
        <v>520</v>
      </c>
      <c r="G23" s="7">
        <v>0.24</v>
      </c>
      <c r="H23" s="1">
        <v>180</v>
      </c>
      <c r="I23" s="1" t="s">
        <v>73</v>
      </c>
      <c r="J23" s="1"/>
      <c r="K23" s="1"/>
      <c r="L23" s="1">
        <f t="shared" si="2"/>
        <v>278</v>
      </c>
      <c r="M23" s="1"/>
      <c r="N23" s="1"/>
      <c r="O23" s="1">
        <v>168</v>
      </c>
      <c r="P23" s="1">
        <f t="shared" si="3"/>
        <v>55.6</v>
      </c>
      <c r="Q23" s="5">
        <f t="shared" ref="Q23:Q27" si="8">14*P23-O23-F23</f>
        <v>90.399999999999977</v>
      </c>
      <c r="R23" s="5">
        <f>AC23*AD23</f>
        <v>168</v>
      </c>
      <c r="S23" s="1">
        <f t="shared" si="4"/>
        <v>15.39568345323741</v>
      </c>
      <c r="T23" s="1">
        <f t="shared" si="5"/>
        <v>12.37410071942446</v>
      </c>
      <c r="U23" s="1">
        <v>33.6</v>
      </c>
      <c r="V23" s="1">
        <v>14</v>
      </c>
      <c r="W23" s="1">
        <v>50.6</v>
      </c>
      <c r="X23" s="1">
        <v>33.6</v>
      </c>
      <c r="Y23" s="1">
        <v>21</v>
      </c>
      <c r="Z23" s="1">
        <v>17.399999999999999</v>
      </c>
      <c r="AA23" s="1"/>
      <c r="AB23" s="1">
        <f>G23*Q23</f>
        <v>21.695999999999994</v>
      </c>
      <c r="AC23" s="7">
        <v>12</v>
      </c>
      <c r="AD23" s="9">
        <f>MROUND(Q23, AC23*AF23)/AC23</f>
        <v>14</v>
      </c>
      <c r="AE23" s="1">
        <f>AD23*AC23*G23</f>
        <v>40.32</v>
      </c>
      <c r="AF23" s="1">
        <v>14</v>
      </c>
      <c r="AG23" s="1">
        <v>70</v>
      </c>
      <c r="AH23" s="9">
        <f>AD23/AG23</f>
        <v>0.2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21" t="s">
        <v>72</v>
      </c>
      <c r="B24" s="1" t="s">
        <v>38</v>
      </c>
      <c r="C24" s="1"/>
      <c r="D24" s="1"/>
      <c r="E24" s="19">
        <f>0+E22</f>
        <v>19</v>
      </c>
      <c r="F24" s="19">
        <f>0+F22</f>
        <v>94</v>
      </c>
      <c r="G24" s="7">
        <v>0.48</v>
      </c>
      <c r="H24" s="1">
        <v>180</v>
      </c>
      <c r="I24" s="1" t="s">
        <v>74</v>
      </c>
      <c r="J24" s="1"/>
      <c r="K24" s="1"/>
      <c r="L24" s="1">
        <f t="shared" si="2"/>
        <v>19</v>
      </c>
      <c r="M24" s="1"/>
      <c r="N24" s="1"/>
      <c r="O24" s="1">
        <v>336</v>
      </c>
      <c r="P24" s="1">
        <f t="shared" si="3"/>
        <v>3.8</v>
      </c>
      <c r="Q24" s="5"/>
      <c r="R24" s="5">
        <f>AC24*AD24</f>
        <v>0</v>
      </c>
      <c r="S24" s="1">
        <f t="shared" si="4"/>
        <v>113.15789473684211</v>
      </c>
      <c r="T24" s="1">
        <f t="shared" si="5"/>
        <v>113.15789473684211</v>
      </c>
      <c r="U24" s="1">
        <v>5.6</v>
      </c>
      <c r="V24" s="1">
        <v>13.4</v>
      </c>
      <c r="W24" s="1">
        <v>8</v>
      </c>
      <c r="X24" s="1">
        <v>7.6</v>
      </c>
      <c r="Y24" s="1">
        <v>1.2</v>
      </c>
      <c r="Z24" s="1">
        <v>2</v>
      </c>
      <c r="AA24" s="1"/>
      <c r="AB24" s="1">
        <f>G24*Q24</f>
        <v>0</v>
      </c>
      <c r="AC24" s="7">
        <v>8</v>
      </c>
      <c r="AD24" s="9">
        <f>MROUND(Q24, AC24*AF24)/AC24</f>
        <v>0</v>
      </c>
      <c r="AE24" s="1">
        <f>AD24*AC24*G24</f>
        <v>0</v>
      </c>
      <c r="AF24" s="1">
        <v>14</v>
      </c>
      <c r="AG24" s="1">
        <v>70</v>
      </c>
      <c r="AH24" s="9">
        <f>AD24/AG24</f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75</v>
      </c>
      <c r="B25" s="1" t="s">
        <v>38</v>
      </c>
      <c r="C25" s="1">
        <v>347</v>
      </c>
      <c r="D25" s="1">
        <v>672</v>
      </c>
      <c r="E25" s="1">
        <v>162</v>
      </c>
      <c r="F25" s="1">
        <v>833</v>
      </c>
      <c r="G25" s="7">
        <v>0.09</v>
      </c>
      <c r="H25" s="1">
        <v>180</v>
      </c>
      <c r="I25" s="1" t="s">
        <v>76</v>
      </c>
      <c r="J25" s="1"/>
      <c r="K25" s="1">
        <v>178</v>
      </c>
      <c r="L25" s="1">
        <f t="shared" si="2"/>
        <v>-16</v>
      </c>
      <c r="M25" s="1"/>
      <c r="N25" s="1"/>
      <c r="O25" s="1">
        <v>0</v>
      </c>
      <c r="P25" s="1">
        <f t="shared" si="3"/>
        <v>32.4</v>
      </c>
      <c r="Q25" s="5"/>
      <c r="R25" s="5">
        <f>AC25*AD25</f>
        <v>0</v>
      </c>
      <c r="S25" s="1">
        <f t="shared" si="4"/>
        <v>25.709876543209877</v>
      </c>
      <c r="T25" s="1">
        <f t="shared" si="5"/>
        <v>25.709876543209877</v>
      </c>
      <c r="U25" s="1">
        <v>26.4</v>
      </c>
      <c r="V25" s="1">
        <v>21.2</v>
      </c>
      <c r="W25" s="1">
        <v>59.8</v>
      </c>
      <c r="X25" s="1">
        <v>39.200000000000003</v>
      </c>
      <c r="Y25" s="1">
        <v>21.4</v>
      </c>
      <c r="Z25" s="1">
        <v>9.1999999999999993</v>
      </c>
      <c r="AA25" s="23" t="s">
        <v>85</v>
      </c>
      <c r="AB25" s="1">
        <f>G25*Q25</f>
        <v>0</v>
      </c>
      <c r="AC25" s="7">
        <v>24</v>
      </c>
      <c r="AD25" s="9">
        <f>MROUND(Q25, AC25*AF25)/AC25</f>
        <v>0</v>
      </c>
      <c r="AE25" s="1">
        <f>AD25*AC25*G25</f>
        <v>0</v>
      </c>
      <c r="AF25" s="1">
        <v>14</v>
      </c>
      <c r="AG25" s="1">
        <v>126</v>
      </c>
      <c r="AH25" s="9">
        <f>AD25/AG25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21" t="s">
        <v>77</v>
      </c>
      <c r="B26" s="1" t="s">
        <v>38</v>
      </c>
      <c r="C26" s="1"/>
      <c r="D26" s="1"/>
      <c r="E26" s="1"/>
      <c r="F26" s="1"/>
      <c r="G26" s="7">
        <v>0.36</v>
      </c>
      <c r="H26" s="1">
        <v>180</v>
      </c>
      <c r="I26" s="1" t="s">
        <v>78</v>
      </c>
      <c r="J26" s="1"/>
      <c r="K26" s="1">
        <v>2</v>
      </c>
      <c r="L26" s="1">
        <f t="shared" si="2"/>
        <v>-2</v>
      </c>
      <c r="M26" s="1"/>
      <c r="N26" s="1"/>
      <c r="O26" s="1">
        <v>0</v>
      </c>
      <c r="P26" s="1">
        <f t="shared" si="3"/>
        <v>0</v>
      </c>
      <c r="Q26" s="24">
        <f t="shared" si="8"/>
        <v>0</v>
      </c>
      <c r="R26" s="24">
        <f>AC26*AD26</f>
        <v>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1.8</v>
      </c>
      <c r="Y26" s="1">
        <v>1.8</v>
      </c>
      <c r="Z26" s="1">
        <v>7.2</v>
      </c>
      <c r="AA26" s="20" t="s">
        <v>79</v>
      </c>
      <c r="AB26" s="1">
        <f>G26*Q26</f>
        <v>0</v>
      </c>
      <c r="AC26" s="7">
        <v>10</v>
      </c>
      <c r="AD26" s="9">
        <f>MROUND(Q26, AC26*AF26)/AC26</f>
        <v>0</v>
      </c>
      <c r="AE26" s="1">
        <f>AD26*AC26*G26</f>
        <v>0</v>
      </c>
      <c r="AF26" s="1">
        <v>14</v>
      </c>
      <c r="AG26" s="1">
        <v>70</v>
      </c>
      <c r="AH26" s="9">
        <f>AD26/AG26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21" t="s">
        <v>80</v>
      </c>
      <c r="B27" s="1" t="s">
        <v>38</v>
      </c>
      <c r="C27" s="1">
        <v>5</v>
      </c>
      <c r="D27" s="1">
        <v>172</v>
      </c>
      <c r="E27" s="1">
        <v>13</v>
      </c>
      <c r="F27" s="1">
        <v>159</v>
      </c>
      <c r="G27" s="7">
        <v>0.2</v>
      </c>
      <c r="H27" s="1">
        <v>180</v>
      </c>
      <c r="I27" s="1" t="s">
        <v>81</v>
      </c>
      <c r="J27" s="1"/>
      <c r="K27" s="1">
        <v>28</v>
      </c>
      <c r="L27" s="1">
        <f t="shared" si="2"/>
        <v>-15</v>
      </c>
      <c r="M27" s="1"/>
      <c r="N27" s="1"/>
      <c r="O27" s="1">
        <v>0</v>
      </c>
      <c r="P27" s="1">
        <f t="shared" si="3"/>
        <v>2.6</v>
      </c>
      <c r="Q27" s="5"/>
      <c r="R27" s="5">
        <f>AC27*AD27</f>
        <v>0</v>
      </c>
      <c r="S27" s="1">
        <f t="shared" si="4"/>
        <v>61.153846153846153</v>
      </c>
      <c r="T27" s="1">
        <f t="shared" si="5"/>
        <v>61.153846153846153</v>
      </c>
      <c r="U27" s="1">
        <v>5.2</v>
      </c>
      <c r="V27" s="1">
        <v>5.8</v>
      </c>
      <c r="W27" s="1">
        <v>8.4</v>
      </c>
      <c r="X27" s="1">
        <v>4.5999999999999996</v>
      </c>
      <c r="Y27" s="1">
        <v>1.4</v>
      </c>
      <c r="Z27" s="1">
        <v>0.4</v>
      </c>
      <c r="AA27" s="1"/>
      <c r="AB27" s="1">
        <f>G27*Q27</f>
        <v>0</v>
      </c>
      <c r="AC27" s="7">
        <v>12</v>
      </c>
      <c r="AD27" s="9">
        <f>MROUND(Q27, AC27*AF27)/AC27</f>
        <v>0</v>
      </c>
      <c r="AE27" s="1">
        <f>AD27*AC27*G27</f>
        <v>0</v>
      </c>
      <c r="AF27" s="1">
        <v>14</v>
      </c>
      <c r="AG27" s="1">
        <v>70</v>
      </c>
      <c r="AH27" s="9">
        <f>AD27/AG27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4" t="s">
        <v>82</v>
      </c>
      <c r="B28" s="14" t="s">
        <v>38</v>
      </c>
      <c r="C28" s="14">
        <v>347</v>
      </c>
      <c r="D28" s="14"/>
      <c r="E28" s="14"/>
      <c r="F28" s="19">
        <v>347</v>
      </c>
      <c r="G28" s="15">
        <v>0</v>
      </c>
      <c r="H28" s="14">
        <v>180</v>
      </c>
      <c r="I28" s="14" t="s">
        <v>49</v>
      </c>
      <c r="J28" s="14" t="s">
        <v>83</v>
      </c>
      <c r="K28" s="14"/>
      <c r="L28" s="14">
        <f t="shared" si="2"/>
        <v>0</v>
      </c>
      <c r="M28" s="14"/>
      <c r="N28" s="14"/>
      <c r="O28" s="14"/>
      <c r="P28" s="14">
        <f t="shared" si="3"/>
        <v>0</v>
      </c>
      <c r="Q28" s="16"/>
      <c r="R28" s="16"/>
      <c r="S28" s="14" t="e">
        <f t="shared" si="4"/>
        <v>#DIV/0!</v>
      </c>
      <c r="T28" s="14" t="e">
        <f t="shared" si="5"/>
        <v>#DIV/0!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/>
      <c r="AB28" s="14"/>
      <c r="AC28" s="15"/>
      <c r="AD28" s="17"/>
      <c r="AE28" s="14"/>
      <c r="AF28" s="14"/>
      <c r="AG28" s="14"/>
      <c r="AH28" s="17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21" t="s">
        <v>83</v>
      </c>
      <c r="B29" s="1" t="s">
        <v>38</v>
      </c>
      <c r="C29" s="1"/>
      <c r="D29" s="1"/>
      <c r="E29" s="19">
        <f>0+E68</f>
        <v>178</v>
      </c>
      <c r="F29" s="19">
        <f>0+F28+F68</f>
        <v>480</v>
      </c>
      <c r="G29" s="7">
        <v>0.2</v>
      </c>
      <c r="H29" s="1">
        <v>180</v>
      </c>
      <c r="I29" s="1" t="s">
        <v>84</v>
      </c>
      <c r="J29" s="1"/>
      <c r="K29" s="1"/>
      <c r="L29" s="1">
        <f t="shared" si="2"/>
        <v>178</v>
      </c>
      <c r="M29" s="1"/>
      <c r="N29" s="1"/>
      <c r="O29" s="1">
        <v>0</v>
      </c>
      <c r="P29" s="1">
        <f t="shared" si="3"/>
        <v>35.6</v>
      </c>
      <c r="Q29" s="5">
        <f>16*P29-O29-F29</f>
        <v>89.600000000000023</v>
      </c>
      <c r="R29" s="5">
        <f t="shared" ref="R29:R35" si="9">AC29*AD29</f>
        <v>168</v>
      </c>
      <c r="S29" s="1">
        <f t="shared" si="4"/>
        <v>18.202247191011235</v>
      </c>
      <c r="T29" s="1">
        <f t="shared" si="5"/>
        <v>13.48314606741573</v>
      </c>
      <c r="U29" s="1">
        <v>23.6</v>
      </c>
      <c r="V29" s="1">
        <v>2.4</v>
      </c>
      <c r="W29" s="1">
        <v>39</v>
      </c>
      <c r="X29" s="1">
        <v>62.6</v>
      </c>
      <c r="Y29" s="1">
        <v>36</v>
      </c>
      <c r="Z29" s="1">
        <v>11.2</v>
      </c>
      <c r="AA29" s="1"/>
      <c r="AB29" s="1">
        <f t="shared" ref="AB29:AB35" si="10">G29*Q29</f>
        <v>17.920000000000005</v>
      </c>
      <c r="AC29" s="7">
        <v>12</v>
      </c>
      <c r="AD29" s="9">
        <f t="shared" ref="AD29:AD35" si="11">MROUND(Q29, AC29*AF29)/AC29</f>
        <v>14</v>
      </c>
      <c r="AE29" s="1">
        <f t="shared" ref="AE29:AE35" si="12">AD29*AC29*G29</f>
        <v>33.6</v>
      </c>
      <c r="AF29" s="1">
        <v>14</v>
      </c>
      <c r="AG29" s="1">
        <v>70</v>
      </c>
      <c r="AH29" s="9">
        <f t="shared" ref="AH29:AH35" si="13">AD29/AG29</f>
        <v>0.2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21" t="s">
        <v>54</v>
      </c>
      <c r="B30" s="1" t="s">
        <v>38</v>
      </c>
      <c r="C30" s="1"/>
      <c r="D30" s="1"/>
      <c r="E30" s="19">
        <f>0+E12</f>
        <v>274</v>
      </c>
      <c r="F30" s="19">
        <f>0+F12</f>
        <v>902</v>
      </c>
      <c r="G30" s="7">
        <v>0.2</v>
      </c>
      <c r="H30" s="1">
        <v>180</v>
      </c>
      <c r="I30" s="1" t="s">
        <v>86</v>
      </c>
      <c r="J30" s="1"/>
      <c r="K30" s="1"/>
      <c r="L30" s="1">
        <f t="shared" si="2"/>
        <v>274</v>
      </c>
      <c r="M30" s="1"/>
      <c r="N30" s="1"/>
      <c r="O30" s="1">
        <v>0</v>
      </c>
      <c r="P30" s="1">
        <f t="shared" si="3"/>
        <v>54.8</v>
      </c>
      <c r="Q30" s="5"/>
      <c r="R30" s="5">
        <f t="shared" si="9"/>
        <v>0</v>
      </c>
      <c r="S30" s="1">
        <f t="shared" si="4"/>
        <v>16.459854014598541</v>
      </c>
      <c r="T30" s="1">
        <f t="shared" si="5"/>
        <v>16.459854014598541</v>
      </c>
      <c r="U30" s="1">
        <v>31.6</v>
      </c>
      <c r="V30" s="1">
        <v>4.8</v>
      </c>
      <c r="W30" s="1">
        <v>29.6</v>
      </c>
      <c r="X30" s="1">
        <v>11.6</v>
      </c>
      <c r="Y30" s="1">
        <v>12.2</v>
      </c>
      <c r="Z30" s="1">
        <v>14.8</v>
      </c>
      <c r="AA30" s="1"/>
      <c r="AB30" s="1">
        <f t="shared" si="10"/>
        <v>0</v>
      </c>
      <c r="AC30" s="7">
        <v>12</v>
      </c>
      <c r="AD30" s="9">
        <f t="shared" si="11"/>
        <v>0</v>
      </c>
      <c r="AE30" s="1">
        <f t="shared" si="12"/>
        <v>0</v>
      </c>
      <c r="AF30" s="1">
        <v>14</v>
      </c>
      <c r="AG30" s="1">
        <v>70</v>
      </c>
      <c r="AH30" s="9">
        <f t="shared" si="13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1" t="s">
        <v>87</v>
      </c>
      <c r="B31" s="1" t="s">
        <v>88</v>
      </c>
      <c r="C31" s="1">
        <v>259</v>
      </c>
      <c r="D31" s="1">
        <v>7.4</v>
      </c>
      <c r="E31" s="1">
        <v>7.4</v>
      </c>
      <c r="F31" s="1">
        <v>251.6</v>
      </c>
      <c r="G31" s="7">
        <v>1</v>
      </c>
      <c r="H31" s="1">
        <v>180</v>
      </c>
      <c r="I31" s="1" t="s">
        <v>89</v>
      </c>
      <c r="J31" s="1"/>
      <c r="K31" s="1">
        <v>15.4</v>
      </c>
      <c r="L31" s="1">
        <f t="shared" si="2"/>
        <v>-8</v>
      </c>
      <c r="M31" s="1"/>
      <c r="N31" s="1"/>
      <c r="O31" s="1">
        <v>0</v>
      </c>
      <c r="P31" s="1">
        <f t="shared" si="3"/>
        <v>1.48</v>
      </c>
      <c r="Q31" s="5"/>
      <c r="R31" s="5">
        <f t="shared" si="9"/>
        <v>0</v>
      </c>
      <c r="S31" s="1">
        <f t="shared" si="4"/>
        <v>170</v>
      </c>
      <c r="T31" s="1">
        <f t="shared" si="5"/>
        <v>170</v>
      </c>
      <c r="U31" s="1">
        <v>2.2200000000000002</v>
      </c>
      <c r="V31" s="1">
        <v>2.96</v>
      </c>
      <c r="W31" s="1">
        <v>3.7</v>
      </c>
      <c r="X31" s="1">
        <v>2.82</v>
      </c>
      <c r="Y31" s="1">
        <v>2.82</v>
      </c>
      <c r="Z31" s="1">
        <v>2.2200000000000002</v>
      </c>
      <c r="AA31" s="18" t="s">
        <v>90</v>
      </c>
      <c r="AB31" s="1">
        <f t="shared" si="10"/>
        <v>0</v>
      </c>
      <c r="AC31" s="7">
        <v>3.7</v>
      </c>
      <c r="AD31" s="9">
        <f t="shared" si="11"/>
        <v>0</v>
      </c>
      <c r="AE31" s="1">
        <f t="shared" si="12"/>
        <v>0</v>
      </c>
      <c r="AF31" s="1">
        <v>14</v>
      </c>
      <c r="AG31" s="1">
        <v>126</v>
      </c>
      <c r="AH31" s="9">
        <f t="shared" si="1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1" t="s">
        <v>91</v>
      </c>
      <c r="B32" s="1" t="s">
        <v>88</v>
      </c>
      <c r="C32" s="1">
        <v>18</v>
      </c>
      <c r="D32" s="1">
        <v>6</v>
      </c>
      <c r="E32" s="1">
        <v>15</v>
      </c>
      <c r="F32" s="1"/>
      <c r="G32" s="7">
        <v>1</v>
      </c>
      <c r="H32" s="1">
        <v>180</v>
      </c>
      <c r="I32" s="1" t="s">
        <v>92</v>
      </c>
      <c r="J32" s="1"/>
      <c r="K32" s="1">
        <v>27</v>
      </c>
      <c r="L32" s="1">
        <f t="shared" si="2"/>
        <v>-12</v>
      </c>
      <c r="M32" s="1"/>
      <c r="N32" s="1"/>
      <c r="O32" s="1">
        <v>168</v>
      </c>
      <c r="P32" s="1">
        <f t="shared" si="3"/>
        <v>3</v>
      </c>
      <c r="Q32" s="5"/>
      <c r="R32" s="5">
        <f t="shared" si="9"/>
        <v>0</v>
      </c>
      <c r="S32" s="1">
        <f t="shared" si="4"/>
        <v>56</v>
      </c>
      <c r="T32" s="1">
        <f t="shared" si="5"/>
        <v>56</v>
      </c>
      <c r="U32" s="1">
        <v>4.8</v>
      </c>
      <c r="V32" s="1">
        <v>7.2</v>
      </c>
      <c r="W32" s="1">
        <v>2.4</v>
      </c>
      <c r="X32" s="1">
        <v>2.4</v>
      </c>
      <c r="Y32" s="1">
        <v>2.4</v>
      </c>
      <c r="Z32" s="1">
        <v>0.6</v>
      </c>
      <c r="AA32" s="1"/>
      <c r="AB32" s="1">
        <f t="shared" si="10"/>
        <v>0</v>
      </c>
      <c r="AC32" s="7">
        <v>3</v>
      </c>
      <c r="AD32" s="9">
        <f t="shared" si="11"/>
        <v>0</v>
      </c>
      <c r="AE32" s="1">
        <f t="shared" si="12"/>
        <v>0</v>
      </c>
      <c r="AF32" s="1">
        <v>14</v>
      </c>
      <c r="AG32" s="1">
        <v>126</v>
      </c>
      <c r="AH32" s="9">
        <f t="shared" si="13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1" t="s">
        <v>93</v>
      </c>
      <c r="B33" s="1" t="s">
        <v>38</v>
      </c>
      <c r="C33" s="1"/>
      <c r="D33" s="1"/>
      <c r="E33" s="1"/>
      <c r="F33" s="1"/>
      <c r="G33" s="7">
        <v>0.23</v>
      </c>
      <c r="H33" s="1">
        <v>180</v>
      </c>
      <c r="I33" s="1" t="s">
        <v>94</v>
      </c>
      <c r="J33" s="1"/>
      <c r="K33" s="1"/>
      <c r="L33" s="1">
        <f t="shared" si="2"/>
        <v>0</v>
      </c>
      <c r="M33" s="1"/>
      <c r="N33" s="1"/>
      <c r="O33" s="1">
        <v>336</v>
      </c>
      <c r="P33" s="1">
        <f t="shared" si="3"/>
        <v>0</v>
      </c>
      <c r="Q33" s="5"/>
      <c r="R33" s="5">
        <f t="shared" si="9"/>
        <v>0</v>
      </c>
      <c r="S33" s="1" t="e">
        <f t="shared" si="4"/>
        <v>#DIV/0!</v>
      </c>
      <c r="T33" s="1" t="e">
        <f t="shared" si="5"/>
        <v>#DIV/0!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 t="s">
        <v>47</v>
      </c>
      <c r="AB33" s="1">
        <f t="shared" si="10"/>
        <v>0</v>
      </c>
      <c r="AC33" s="7">
        <v>12</v>
      </c>
      <c r="AD33" s="9">
        <f t="shared" si="11"/>
        <v>0</v>
      </c>
      <c r="AE33" s="1">
        <f t="shared" si="12"/>
        <v>0</v>
      </c>
      <c r="AF33" s="1">
        <v>14</v>
      </c>
      <c r="AG33" s="1">
        <v>70</v>
      </c>
      <c r="AH33" s="9">
        <f t="shared" si="13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1" t="s">
        <v>42</v>
      </c>
      <c r="B34" s="1" t="s">
        <v>38</v>
      </c>
      <c r="C34" s="1">
        <v>971</v>
      </c>
      <c r="D34" s="1">
        <v>43</v>
      </c>
      <c r="E34" s="19">
        <f>400+E7</f>
        <v>416</v>
      </c>
      <c r="F34" s="19">
        <f>495+F7</f>
        <v>493</v>
      </c>
      <c r="G34" s="7">
        <v>0.25</v>
      </c>
      <c r="H34" s="1">
        <v>365</v>
      </c>
      <c r="I34" s="1" t="s">
        <v>95</v>
      </c>
      <c r="J34" s="1"/>
      <c r="K34" s="1">
        <v>411</v>
      </c>
      <c r="L34" s="1">
        <f t="shared" si="2"/>
        <v>5</v>
      </c>
      <c r="M34" s="1"/>
      <c r="N34" s="1"/>
      <c r="O34" s="1">
        <v>0</v>
      </c>
      <c r="P34" s="1">
        <f t="shared" si="3"/>
        <v>83.2</v>
      </c>
      <c r="Q34" s="5">
        <f t="shared" ref="Q29:Q35" si="14">14*P34-O34-F34</f>
        <v>671.8</v>
      </c>
      <c r="R34" s="5">
        <f t="shared" si="9"/>
        <v>672</v>
      </c>
      <c r="S34" s="1">
        <f t="shared" si="4"/>
        <v>14.002403846153845</v>
      </c>
      <c r="T34" s="1">
        <f t="shared" si="5"/>
        <v>5.9254807692307692</v>
      </c>
      <c r="U34" s="1">
        <v>60</v>
      </c>
      <c r="V34" s="1">
        <v>59.2</v>
      </c>
      <c r="W34" s="1">
        <v>54.8</v>
      </c>
      <c r="X34" s="1">
        <v>80.599999999999994</v>
      </c>
      <c r="Y34" s="1">
        <v>56.2</v>
      </c>
      <c r="Z34" s="1">
        <v>34</v>
      </c>
      <c r="AA34" s="1"/>
      <c r="AB34" s="1">
        <f t="shared" si="10"/>
        <v>167.95</v>
      </c>
      <c r="AC34" s="7">
        <v>6</v>
      </c>
      <c r="AD34" s="9">
        <f t="shared" si="11"/>
        <v>112</v>
      </c>
      <c r="AE34" s="1">
        <f t="shared" si="12"/>
        <v>168</v>
      </c>
      <c r="AF34" s="1">
        <v>14</v>
      </c>
      <c r="AG34" s="1">
        <v>140</v>
      </c>
      <c r="AH34" s="9">
        <f t="shared" si="13"/>
        <v>0.8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21" t="s">
        <v>96</v>
      </c>
      <c r="B35" s="1" t="s">
        <v>38</v>
      </c>
      <c r="C35" s="1">
        <v>-4</v>
      </c>
      <c r="D35" s="1">
        <v>506</v>
      </c>
      <c r="E35" s="1">
        <v>54</v>
      </c>
      <c r="F35" s="1">
        <v>352</v>
      </c>
      <c r="G35" s="7">
        <v>0.25</v>
      </c>
      <c r="H35" s="1">
        <v>365</v>
      </c>
      <c r="I35" s="1" t="s">
        <v>97</v>
      </c>
      <c r="J35" s="1"/>
      <c r="K35" s="1">
        <v>60</v>
      </c>
      <c r="L35" s="1">
        <f t="shared" si="2"/>
        <v>-6</v>
      </c>
      <c r="M35" s="1"/>
      <c r="N35" s="1"/>
      <c r="O35" s="1">
        <v>0</v>
      </c>
      <c r="P35" s="1">
        <f t="shared" si="3"/>
        <v>10.8</v>
      </c>
      <c r="Q35" s="5"/>
      <c r="R35" s="5">
        <f t="shared" si="9"/>
        <v>0</v>
      </c>
      <c r="S35" s="1">
        <f t="shared" si="4"/>
        <v>32.592592592592588</v>
      </c>
      <c r="T35" s="1">
        <f t="shared" si="5"/>
        <v>32.592592592592588</v>
      </c>
      <c r="U35" s="1">
        <v>4</v>
      </c>
      <c r="V35" s="1">
        <v>19.8</v>
      </c>
      <c r="W35" s="1">
        <v>31</v>
      </c>
      <c r="X35" s="1">
        <v>0</v>
      </c>
      <c r="Y35" s="1">
        <v>0</v>
      </c>
      <c r="Z35" s="1">
        <v>0</v>
      </c>
      <c r="AA35" s="1"/>
      <c r="AB35" s="1">
        <f t="shared" si="10"/>
        <v>0</v>
      </c>
      <c r="AC35" s="7">
        <v>6</v>
      </c>
      <c r="AD35" s="9">
        <f t="shared" si="11"/>
        <v>0</v>
      </c>
      <c r="AE35" s="1">
        <f t="shared" si="12"/>
        <v>0</v>
      </c>
      <c r="AF35" s="1">
        <v>14</v>
      </c>
      <c r="AG35" s="1">
        <v>140</v>
      </c>
      <c r="AH35" s="9">
        <f t="shared" si="13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98</v>
      </c>
      <c r="B36" s="14" t="s">
        <v>88</v>
      </c>
      <c r="C36" s="14"/>
      <c r="D36" s="14">
        <v>216</v>
      </c>
      <c r="E36" s="14"/>
      <c r="F36" s="19">
        <v>175</v>
      </c>
      <c r="G36" s="15">
        <v>0</v>
      </c>
      <c r="H36" s="14">
        <v>180</v>
      </c>
      <c r="I36" s="14" t="s">
        <v>49</v>
      </c>
      <c r="J36" s="14" t="s">
        <v>99</v>
      </c>
      <c r="K36" s="14"/>
      <c r="L36" s="14">
        <f t="shared" si="2"/>
        <v>0</v>
      </c>
      <c r="M36" s="14"/>
      <c r="N36" s="14"/>
      <c r="O36" s="14"/>
      <c r="P36" s="14">
        <f t="shared" si="3"/>
        <v>0</v>
      </c>
      <c r="Q36" s="16"/>
      <c r="R36" s="16"/>
      <c r="S36" s="14" t="e">
        <f t="shared" si="4"/>
        <v>#DIV/0!</v>
      </c>
      <c r="T36" s="14" t="e">
        <f t="shared" si="5"/>
        <v>#DIV/0!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/>
      <c r="AB36" s="14"/>
      <c r="AC36" s="15"/>
      <c r="AD36" s="17"/>
      <c r="AE36" s="14"/>
      <c r="AF36" s="14"/>
      <c r="AG36" s="14"/>
      <c r="AH36" s="17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1" t="s">
        <v>99</v>
      </c>
      <c r="B37" s="1" t="s">
        <v>88</v>
      </c>
      <c r="C37" s="1"/>
      <c r="D37" s="1">
        <v>41</v>
      </c>
      <c r="E37" s="1">
        <v>41</v>
      </c>
      <c r="F37" s="19">
        <f>0+F36</f>
        <v>175</v>
      </c>
      <c r="G37" s="7">
        <v>1</v>
      </c>
      <c r="H37" s="1">
        <v>180</v>
      </c>
      <c r="I37" s="13" t="s">
        <v>100</v>
      </c>
      <c r="J37" s="1"/>
      <c r="K37" s="1">
        <v>52</v>
      </c>
      <c r="L37" s="1">
        <f t="shared" si="2"/>
        <v>-11</v>
      </c>
      <c r="M37" s="1"/>
      <c r="N37" s="1"/>
      <c r="O37" s="1">
        <v>72</v>
      </c>
      <c r="P37" s="1">
        <f t="shared" si="3"/>
        <v>8.1999999999999993</v>
      </c>
      <c r="Q37" s="5"/>
      <c r="R37" s="5">
        <f t="shared" ref="R37:R63" si="15">AC37*AD37</f>
        <v>0</v>
      </c>
      <c r="S37" s="1">
        <f t="shared" si="4"/>
        <v>30.121951219512198</v>
      </c>
      <c r="T37" s="1">
        <f t="shared" si="5"/>
        <v>30.121951219512198</v>
      </c>
      <c r="U37" s="1">
        <v>0</v>
      </c>
      <c r="V37" s="1">
        <v>1.2</v>
      </c>
      <c r="W37" s="1">
        <v>4.8</v>
      </c>
      <c r="X37" s="1">
        <v>6</v>
      </c>
      <c r="Y37" s="1">
        <v>3.6</v>
      </c>
      <c r="Z37" s="1">
        <v>7.2</v>
      </c>
      <c r="AA37" s="1"/>
      <c r="AB37" s="1">
        <f t="shared" ref="AB37:AB63" si="16">G37*Q37</f>
        <v>0</v>
      </c>
      <c r="AC37" s="7">
        <v>6</v>
      </c>
      <c r="AD37" s="9">
        <f t="shared" ref="AD37:AD63" si="17">MROUND(Q37, AC37*AF37)/AC37</f>
        <v>0</v>
      </c>
      <c r="AE37" s="1">
        <f t="shared" ref="AE37:AE63" si="18">AD37*AC37*G37</f>
        <v>0</v>
      </c>
      <c r="AF37" s="1">
        <v>12</v>
      </c>
      <c r="AG37" s="1">
        <v>84</v>
      </c>
      <c r="AH37" s="9">
        <f t="shared" ref="AH37:AH63" si="19">AD37/AG37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1" t="s">
        <v>101</v>
      </c>
      <c r="B38" s="1" t="s">
        <v>38</v>
      </c>
      <c r="C38" s="1">
        <v>268</v>
      </c>
      <c r="D38" s="1">
        <v>6</v>
      </c>
      <c r="E38" s="1">
        <v>54</v>
      </c>
      <c r="F38" s="1">
        <v>210</v>
      </c>
      <c r="G38" s="7">
        <v>0.23</v>
      </c>
      <c r="H38" s="1">
        <v>180</v>
      </c>
      <c r="I38" s="1" t="s">
        <v>102</v>
      </c>
      <c r="J38" s="1"/>
      <c r="K38" s="1">
        <v>58</v>
      </c>
      <c r="L38" s="1">
        <f t="shared" ref="L38:L69" si="20">E38-K38</f>
        <v>-4</v>
      </c>
      <c r="M38" s="1"/>
      <c r="N38" s="1"/>
      <c r="O38" s="1">
        <v>0</v>
      </c>
      <c r="P38" s="1">
        <f t="shared" ref="P38:P69" si="21">E38/5</f>
        <v>10.8</v>
      </c>
      <c r="Q38" s="5"/>
      <c r="R38" s="5">
        <f t="shared" si="15"/>
        <v>0</v>
      </c>
      <c r="S38" s="1">
        <f t="shared" ref="S38:S69" si="22">(F38+O38+R38)/P38</f>
        <v>19.444444444444443</v>
      </c>
      <c r="T38" s="1">
        <f t="shared" ref="T38:T69" si="23">(F38+O38)/P38</f>
        <v>19.444444444444443</v>
      </c>
      <c r="U38" s="1">
        <v>9</v>
      </c>
      <c r="V38" s="1">
        <v>6</v>
      </c>
      <c r="W38" s="1">
        <v>8.4</v>
      </c>
      <c r="X38" s="1">
        <v>9.6</v>
      </c>
      <c r="Y38" s="1">
        <v>6.2</v>
      </c>
      <c r="Z38" s="1">
        <v>4.8</v>
      </c>
      <c r="AA38" s="23" t="s">
        <v>85</v>
      </c>
      <c r="AB38" s="1">
        <f t="shared" si="16"/>
        <v>0</v>
      </c>
      <c r="AC38" s="7">
        <v>12</v>
      </c>
      <c r="AD38" s="9">
        <f t="shared" si="17"/>
        <v>0</v>
      </c>
      <c r="AE38" s="1">
        <f t="shared" si="18"/>
        <v>0</v>
      </c>
      <c r="AF38" s="1">
        <v>14</v>
      </c>
      <c r="AG38" s="1">
        <v>70</v>
      </c>
      <c r="AH38" s="9">
        <f t="shared" si="19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21" t="s">
        <v>103</v>
      </c>
      <c r="B39" s="1" t="s">
        <v>38</v>
      </c>
      <c r="C39" s="1">
        <v>526</v>
      </c>
      <c r="D39" s="1">
        <v>33</v>
      </c>
      <c r="E39" s="1">
        <v>155</v>
      </c>
      <c r="F39" s="1">
        <v>350</v>
      </c>
      <c r="G39" s="7">
        <v>0.25</v>
      </c>
      <c r="H39" s="1">
        <v>365</v>
      </c>
      <c r="I39" s="1" t="s">
        <v>104</v>
      </c>
      <c r="J39" s="1"/>
      <c r="K39" s="1">
        <v>184</v>
      </c>
      <c r="L39" s="1">
        <f t="shared" si="20"/>
        <v>-29</v>
      </c>
      <c r="M39" s="1"/>
      <c r="N39" s="1"/>
      <c r="O39" s="1">
        <v>0</v>
      </c>
      <c r="P39" s="1">
        <f t="shared" si="21"/>
        <v>31</v>
      </c>
      <c r="Q39" s="5">
        <f t="shared" ref="Q37:Q63" si="24">14*P39-O39-F39</f>
        <v>84</v>
      </c>
      <c r="R39" s="5">
        <f t="shared" si="15"/>
        <v>168</v>
      </c>
      <c r="S39" s="1">
        <f t="shared" si="22"/>
        <v>16.70967741935484</v>
      </c>
      <c r="T39" s="1">
        <f t="shared" si="23"/>
        <v>11.290322580645162</v>
      </c>
      <c r="U39" s="1">
        <v>27.8</v>
      </c>
      <c r="V39" s="1">
        <v>27.4</v>
      </c>
      <c r="W39" s="1">
        <v>23.6</v>
      </c>
      <c r="X39" s="1">
        <v>31</v>
      </c>
      <c r="Y39" s="1">
        <v>24.4</v>
      </c>
      <c r="Z39" s="1">
        <v>24</v>
      </c>
      <c r="AA39" s="1"/>
      <c r="AB39" s="1">
        <f t="shared" si="16"/>
        <v>21</v>
      </c>
      <c r="AC39" s="7">
        <v>12</v>
      </c>
      <c r="AD39" s="9">
        <f t="shared" si="17"/>
        <v>14</v>
      </c>
      <c r="AE39" s="1">
        <f t="shared" si="18"/>
        <v>42</v>
      </c>
      <c r="AF39" s="1">
        <v>14</v>
      </c>
      <c r="AG39" s="1">
        <v>70</v>
      </c>
      <c r="AH39" s="9">
        <f t="shared" si="19"/>
        <v>0.2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1" t="s">
        <v>105</v>
      </c>
      <c r="B40" s="1" t="s">
        <v>38</v>
      </c>
      <c r="C40" s="1">
        <v>334</v>
      </c>
      <c r="D40" s="1">
        <v>378</v>
      </c>
      <c r="E40" s="1">
        <v>193</v>
      </c>
      <c r="F40" s="1">
        <v>465</v>
      </c>
      <c r="G40" s="7">
        <v>0.25</v>
      </c>
      <c r="H40" s="1">
        <v>365</v>
      </c>
      <c r="I40" s="1" t="s">
        <v>106</v>
      </c>
      <c r="J40" s="1"/>
      <c r="K40" s="1">
        <v>228</v>
      </c>
      <c r="L40" s="1">
        <f t="shared" si="20"/>
        <v>-35</v>
      </c>
      <c r="M40" s="1"/>
      <c r="N40" s="1"/>
      <c r="O40" s="1">
        <v>0</v>
      </c>
      <c r="P40" s="1">
        <f t="shared" si="21"/>
        <v>38.6</v>
      </c>
      <c r="Q40" s="5">
        <f>15*P40-O40-F40</f>
        <v>114</v>
      </c>
      <c r="R40" s="5">
        <f t="shared" si="15"/>
        <v>168</v>
      </c>
      <c r="S40" s="1">
        <f t="shared" si="22"/>
        <v>16.398963730569946</v>
      </c>
      <c r="T40" s="1">
        <f t="shared" si="23"/>
        <v>12.046632124352332</v>
      </c>
      <c r="U40" s="1">
        <v>18.399999999999999</v>
      </c>
      <c r="V40" s="1">
        <v>17.2</v>
      </c>
      <c r="W40" s="1">
        <v>39.200000000000003</v>
      </c>
      <c r="X40" s="1">
        <v>37.799999999999997</v>
      </c>
      <c r="Y40" s="1">
        <v>27.4</v>
      </c>
      <c r="Z40" s="1">
        <v>10.199999999999999</v>
      </c>
      <c r="AA40" s="1"/>
      <c r="AB40" s="1">
        <f t="shared" si="16"/>
        <v>28.5</v>
      </c>
      <c r="AC40" s="7">
        <v>12</v>
      </c>
      <c r="AD40" s="9">
        <f t="shared" si="17"/>
        <v>14</v>
      </c>
      <c r="AE40" s="1">
        <f t="shared" si="18"/>
        <v>42</v>
      </c>
      <c r="AF40" s="1">
        <v>14</v>
      </c>
      <c r="AG40" s="1">
        <v>70</v>
      </c>
      <c r="AH40" s="9">
        <f t="shared" si="19"/>
        <v>0.2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1" t="s">
        <v>107</v>
      </c>
      <c r="B41" s="1" t="s">
        <v>38</v>
      </c>
      <c r="C41" s="1">
        <v>347</v>
      </c>
      <c r="D41" s="1">
        <v>12</v>
      </c>
      <c r="E41" s="1">
        <v>138</v>
      </c>
      <c r="F41" s="1">
        <v>206</v>
      </c>
      <c r="G41" s="7">
        <v>0.25</v>
      </c>
      <c r="H41" s="1">
        <v>180</v>
      </c>
      <c r="I41" s="1" t="s">
        <v>108</v>
      </c>
      <c r="J41" s="1"/>
      <c r="K41" s="1">
        <v>144</v>
      </c>
      <c r="L41" s="1">
        <f t="shared" si="20"/>
        <v>-6</v>
      </c>
      <c r="M41" s="1"/>
      <c r="N41" s="1"/>
      <c r="O41" s="1">
        <v>0</v>
      </c>
      <c r="P41" s="1">
        <f t="shared" si="21"/>
        <v>27.6</v>
      </c>
      <c r="Q41" s="5">
        <f t="shared" si="24"/>
        <v>180.40000000000003</v>
      </c>
      <c r="R41" s="5">
        <f t="shared" si="15"/>
        <v>168</v>
      </c>
      <c r="S41" s="1">
        <f t="shared" si="22"/>
        <v>13.550724637681158</v>
      </c>
      <c r="T41" s="1">
        <f t="shared" si="23"/>
        <v>7.4637681159420284</v>
      </c>
      <c r="U41" s="1">
        <v>24.2</v>
      </c>
      <c r="V41" s="1">
        <v>21.6</v>
      </c>
      <c r="W41" s="1">
        <v>22.6</v>
      </c>
      <c r="X41" s="1">
        <v>29.4</v>
      </c>
      <c r="Y41" s="1">
        <v>24</v>
      </c>
      <c r="Z41" s="1">
        <v>11.6</v>
      </c>
      <c r="AA41" s="1"/>
      <c r="AB41" s="1">
        <f t="shared" si="16"/>
        <v>45.100000000000009</v>
      </c>
      <c r="AC41" s="7">
        <v>12</v>
      </c>
      <c r="AD41" s="9">
        <f t="shared" si="17"/>
        <v>14</v>
      </c>
      <c r="AE41" s="1">
        <f t="shared" si="18"/>
        <v>42</v>
      </c>
      <c r="AF41" s="1">
        <v>14</v>
      </c>
      <c r="AG41" s="1">
        <v>70</v>
      </c>
      <c r="AH41" s="9">
        <f t="shared" si="19"/>
        <v>0.2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1" t="s">
        <v>56</v>
      </c>
      <c r="B42" s="1" t="s">
        <v>38</v>
      </c>
      <c r="C42" s="1"/>
      <c r="D42" s="1"/>
      <c r="E42" s="19">
        <f>0+E13</f>
        <v>170</v>
      </c>
      <c r="F42" s="19">
        <f>0+F13</f>
        <v>173</v>
      </c>
      <c r="G42" s="7">
        <v>0.25</v>
      </c>
      <c r="H42" s="1">
        <v>180</v>
      </c>
      <c r="I42" s="1" t="s">
        <v>109</v>
      </c>
      <c r="J42" s="1"/>
      <c r="K42" s="1"/>
      <c r="L42" s="1">
        <f t="shared" si="20"/>
        <v>170</v>
      </c>
      <c r="M42" s="1"/>
      <c r="N42" s="1"/>
      <c r="O42" s="1">
        <v>0</v>
      </c>
      <c r="P42" s="1">
        <f t="shared" si="21"/>
        <v>34</v>
      </c>
      <c r="Q42" s="5">
        <f t="shared" si="24"/>
        <v>303</v>
      </c>
      <c r="R42" s="5">
        <f t="shared" si="15"/>
        <v>336</v>
      </c>
      <c r="S42" s="1">
        <f t="shared" si="22"/>
        <v>14.970588235294118</v>
      </c>
      <c r="T42" s="1">
        <f t="shared" si="23"/>
        <v>5.0882352941176467</v>
      </c>
      <c r="U42" s="1">
        <v>23.6</v>
      </c>
      <c r="V42" s="1">
        <v>18.600000000000001</v>
      </c>
      <c r="W42" s="1">
        <v>18.600000000000001</v>
      </c>
      <c r="X42" s="1">
        <v>21.6</v>
      </c>
      <c r="Y42" s="1">
        <v>13.2</v>
      </c>
      <c r="Z42" s="1">
        <v>6.6</v>
      </c>
      <c r="AA42" s="1"/>
      <c r="AB42" s="1">
        <f t="shared" si="16"/>
        <v>75.75</v>
      </c>
      <c r="AC42" s="7">
        <v>12</v>
      </c>
      <c r="AD42" s="9">
        <f t="shared" si="17"/>
        <v>28</v>
      </c>
      <c r="AE42" s="1">
        <f t="shared" si="18"/>
        <v>84</v>
      </c>
      <c r="AF42" s="1">
        <v>14</v>
      </c>
      <c r="AG42" s="1">
        <v>70</v>
      </c>
      <c r="AH42" s="9">
        <f t="shared" si="19"/>
        <v>0.4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1" t="s">
        <v>110</v>
      </c>
      <c r="B43" s="1" t="s">
        <v>38</v>
      </c>
      <c r="C43" s="1">
        <v>208</v>
      </c>
      <c r="D43" s="1">
        <v>111</v>
      </c>
      <c r="E43" s="1">
        <v>99</v>
      </c>
      <c r="F43" s="1">
        <v>192</v>
      </c>
      <c r="G43" s="7">
        <v>0.7</v>
      </c>
      <c r="H43" s="1">
        <v>180</v>
      </c>
      <c r="I43" s="1" t="s">
        <v>111</v>
      </c>
      <c r="J43" s="1"/>
      <c r="K43" s="1">
        <v>105</v>
      </c>
      <c r="L43" s="1">
        <f t="shared" si="20"/>
        <v>-6</v>
      </c>
      <c r="M43" s="1"/>
      <c r="N43" s="1"/>
      <c r="O43" s="1">
        <v>0</v>
      </c>
      <c r="P43" s="1">
        <f t="shared" si="21"/>
        <v>19.8</v>
      </c>
      <c r="Q43" s="5">
        <f t="shared" si="24"/>
        <v>85.199999999999989</v>
      </c>
      <c r="R43" s="5">
        <f t="shared" si="15"/>
        <v>96</v>
      </c>
      <c r="S43" s="1">
        <f t="shared" si="22"/>
        <v>14.545454545454545</v>
      </c>
      <c r="T43" s="1">
        <f t="shared" si="23"/>
        <v>9.6969696969696972</v>
      </c>
      <c r="U43" s="1">
        <v>13.2</v>
      </c>
      <c r="V43" s="1">
        <v>20</v>
      </c>
      <c r="W43" s="1">
        <v>21.4</v>
      </c>
      <c r="X43" s="1">
        <v>29</v>
      </c>
      <c r="Y43" s="1">
        <v>25.6</v>
      </c>
      <c r="Z43" s="1">
        <v>5.2</v>
      </c>
      <c r="AA43" s="1"/>
      <c r="AB43" s="1">
        <f t="shared" si="16"/>
        <v>59.639999999999986</v>
      </c>
      <c r="AC43" s="7">
        <v>8</v>
      </c>
      <c r="AD43" s="9">
        <f t="shared" si="17"/>
        <v>12</v>
      </c>
      <c r="AE43" s="1">
        <f t="shared" si="18"/>
        <v>67.199999999999989</v>
      </c>
      <c r="AF43" s="1">
        <v>12</v>
      </c>
      <c r="AG43" s="1">
        <v>84</v>
      </c>
      <c r="AH43" s="9">
        <f t="shared" si="19"/>
        <v>0.14285714285714285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112</v>
      </c>
      <c r="B44" s="1" t="s">
        <v>38</v>
      </c>
      <c r="C44" s="1">
        <v>117</v>
      </c>
      <c r="D44" s="1">
        <v>199</v>
      </c>
      <c r="E44" s="1">
        <v>66</v>
      </c>
      <c r="F44" s="1">
        <v>238</v>
      </c>
      <c r="G44" s="7">
        <v>0.7</v>
      </c>
      <c r="H44" s="1">
        <v>180</v>
      </c>
      <c r="I44" s="1" t="s">
        <v>113</v>
      </c>
      <c r="J44" s="1"/>
      <c r="K44" s="1">
        <v>68</v>
      </c>
      <c r="L44" s="1">
        <f t="shared" si="20"/>
        <v>-2</v>
      </c>
      <c r="M44" s="1"/>
      <c r="N44" s="1"/>
      <c r="O44" s="1">
        <v>0</v>
      </c>
      <c r="P44" s="1">
        <f t="shared" si="21"/>
        <v>13.2</v>
      </c>
      <c r="Q44" s="5"/>
      <c r="R44" s="5">
        <f t="shared" si="15"/>
        <v>0</v>
      </c>
      <c r="S44" s="1">
        <f t="shared" si="22"/>
        <v>18.030303030303031</v>
      </c>
      <c r="T44" s="1">
        <f t="shared" si="23"/>
        <v>18.030303030303031</v>
      </c>
      <c r="U44" s="1">
        <v>8</v>
      </c>
      <c r="V44" s="1">
        <v>14.6</v>
      </c>
      <c r="W44" s="1">
        <v>19.600000000000001</v>
      </c>
      <c r="X44" s="1">
        <v>15.6</v>
      </c>
      <c r="Y44" s="1">
        <v>18.399999999999999</v>
      </c>
      <c r="Z44" s="1">
        <v>7.2</v>
      </c>
      <c r="AA44" s="1"/>
      <c r="AB44" s="1">
        <f t="shared" si="16"/>
        <v>0</v>
      </c>
      <c r="AC44" s="7">
        <v>8</v>
      </c>
      <c r="AD44" s="9">
        <f t="shared" si="17"/>
        <v>0</v>
      </c>
      <c r="AE44" s="1">
        <f t="shared" si="18"/>
        <v>0</v>
      </c>
      <c r="AF44" s="1">
        <v>12</v>
      </c>
      <c r="AG44" s="1">
        <v>84</v>
      </c>
      <c r="AH44" s="9">
        <f t="shared" si="19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114</v>
      </c>
      <c r="B45" s="1" t="s">
        <v>38</v>
      </c>
      <c r="C45" s="1"/>
      <c r="D45" s="1"/>
      <c r="E45" s="1"/>
      <c r="F45" s="1"/>
      <c r="G45" s="7">
        <v>0.7</v>
      </c>
      <c r="H45" s="1">
        <v>180</v>
      </c>
      <c r="I45" s="1" t="s">
        <v>115</v>
      </c>
      <c r="J45" s="1"/>
      <c r="K45" s="1">
        <v>19</v>
      </c>
      <c r="L45" s="1">
        <f t="shared" si="20"/>
        <v>-19</v>
      </c>
      <c r="M45" s="1"/>
      <c r="N45" s="1"/>
      <c r="O45" s="1">
        <v>0</v>
      </c>
      <c r="P45" s="1">
        <f t="shared" si="21"/>
        <v>0</v>
      </c>
      <c r="Q45" s="24">
        <f t="shared" si="24"/>
        <v>0</v>
      </c>
      <c r="R45" s="24">
        <f t="shared" si="15"/>
        <v>0</v>
      </c>
      <c r="S45" s="1" t="e">
        <f t="shared" si="22"/>
        <v>#DIV/0!</v>
      </c>
      <c r="T45" s="1" t="e">
        <f t="shared" si="23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20" t="s">
        <v>79</v>
      </c>
      <c r="AB45" s="1">
        <f t="shared" si="16"/>
        <v>0</v>
      </c>
      <c r="AC45" s="7">
        <v>8</v>
      </c>
      <c r="AD45" s="9">
        <f t="shared" si="17"/>
        <v>0</v>
      </c>
      <c r="AE45" s="1">
        <f t="shared" si="18"/>
        <v>0</v>
      </c>
      <c r="AF45" s="1">
        <v>12</v>
      </c>
      <c r="AG45" s="1">
        <v>84</v>
      </c>
      <c r="AH45" s="9">
        <f t="shared" si="1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2" t="s">
        <v>116</v>
      </c>
      <c r="B46" s="1" t="s">
        <v>38</v>
      </c>
      <c r="C46" s="1"/>
      <c r="D46" s="1">
        <v>192</v>
      </c>
      <c r="E46" s="1"/>
      <c r="F46" s="1">
        <v>192</v>
      </c>
      <c r="G46" s="7">
        <v>0.4</v>
      </c>
      <c r="H46" s="1">
        <v>180</v>
      </c>
      <c r="I46" s="1" t="s">
        <v>117</v>
      </c>
      <c r="J46" s="1"/>
      <c r="K46" s="1"/>
      <c r="L46" s="1">
        <f t="shared" si="20"/>
        <v>0</v>
      </c>
      <c r="M46" s="1"/>
      <c r="N46" s="1"/>
      <c r="O46" s="1">
        <v>0</v>
      </c>
      <c r="P46" s="1">
        <f t="shared" si="21"/>
        <v>0</v>
      </c>
      <c r="Q46" s="5"/>
      <c r="R46" s="5">
        <f t="shared" si="15"/>
        <v>0</v>
      </c>
      <c r="S46" s="1" t="e">
        <f t="shared" si="22"/>
        <v>#DIV/0!</v>
      </c>
      <c r="T46" s="1" t="e">
        <f t="shared" si="23"/>
        <v>#DIV/0!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 t="s">
        <v>47</v>
      </c>
      <c r="AB46" s="1">
        <f t="shared" si="16"/>
        <v>0</v>
      </c>
      <c r="AC46" s="7">
        <v>16</v>
      </c>
      <c r="AD46" s="9">
        <f t="shared" si="17"/>
        <v>0</v>
      </c>
      <c r="AE46" s="1">
        <f t="shared" si="18"/>
        <v>0</v>
      </c>
      <c r="AF46" s="1">
        <v>12</v>
      </c>
      <c r="AG46" s="1">
        <v>84</v>
      </c>
      <c r="AH46" s="9">
        <f t="shared" si="1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1" t="s">
        <v>118</v>
      </c>
      <c r="B47" s="1" t="s">
        <v>38</v>
      </c>
      <c r="C47" s="1"/>
      <c r="D47" s="1">
        <v>96</v>
      </c>
      <c r="E47" s="1"/>
      <c r="F47" s="1">
        <v>96</v>
      </c>
      <c r="G47" s="7">
        <v>0.8</v>
      </c>
      <c r="H47" s="1">
        <v>180</v>
      </c>
      <c r="I47" s="1" t="s">
        <v>119</v>
      </c>
      <c r="J47" s="1"/>
      <c r="K47" s="1"/>
      <c r="L47" s="1">
        <f t="shared" si="20"/>
        <v>0</v>
      </c>
      <c r="M47" s="1"/>
      <c r="N47" s="1"/>
      <c r="O47" s="1">
        <v>0</v>
      </c>
      <c r="P47" s="1">
        <f t="shared" si="21"/>
        <v>0</v>
      </c>
      <c r="Q47" s="5"/>
      <c r="R47" s="5">
        <f t="shared" si="15"/>
        <v>0</v>
      </c>
      <c r="S47" s="1" t="e">
        <f t="shared" si="22"/>
        <v>#DIV/0!</v>
      </c>
      <c r="T47" s="1" t="e">
        <f t="shared" si="23"/>
        <v>#DIV/0!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 t="s">
        <v>47</v>
      </c>
      <c r="AB47" s="1">
        <f t="shared" si="16"/>
        <v>0</v>
      </c>
      <c r="AC47" s="7">
        <v>8</v>
      </c>
      <c r="AD47" s="9">
        <f t="shared" si="17"/>
        <v>0</v>
      </c>
      <c r="AE47" s="1">
        <f t="shared" si="18"/>
        <v>0</v>
      </c>
      <c r="AF47" s="1">
        <v>12</v>
      </c>
      <c r="AG47" s="1">
        <v>84</v>
      </c>
      <c r="AH47" s="9">
        <f t="shared" si="1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1" t="s">
        <v>120</v>
      </c>
      <c r="B48" s="1" t="s">
        <v>38</v>
      </c>
      <c r="C48" s="1">
        <v>239</v>
      </c>
      <c r="D48" s="1">
        <v>399</v>
      </c>
      <c r="E48" s="1">
        <v>210</v>
      </c>
      <c r="F48" s="1">
        <v>375</v>
      </c>
      <c r="G48" s="7">
        <v>0.7</v>
      </c>
      <c r="H48" s="1">
        <v>180</v>
      </c>
      <c r="I48" s="1" t="s">
        <v>121</v>
      </c>
      <c r="J48" s="1"/>
      <c r="K48" s="1">
        <v>234</v>
      </c>
      <c r="L48" s="1">
        <f t="shared" si="20"/>
        <v>-24</v>
      </c>
      <c r="M48" s="1"/>
      <c r="N48" s="1"/>
      <c r="O48" s="1">
        <v>0</v>
      </c>
      <c r="P48" s="1">
        <f t="shared" si="21"/>
        <v>42</v>
      </c>
      <c r="Q48" s="5">
        <f t="shared" si="24"/>
        <v>213</v>
      </c>
      <c r="R48" s="5">
        <f t="shared" si="15"/>
        <v>240</v>
      </c>
      <c r="S48" s="1">
        <f t="shared" si="22"/>
        <v>14.642857142857142</v>
      </c>
      <c r="T48" s="1">
        <f t="shared" si="23"/>
        <v>8.9285714285714288</v>
      </c>
      <c r="U48" s="1">
        <v>32.200000000000003</v>
      </c>
      <c r="V48" s="1">
        <v>39.200000000000003</v>
      </c>
      <c r="W48" s="1">
        <v>42.4</v>
      </c>
      <c r="X48" s="1">
        <v>42.8</v>
      </c>
      <c r="Y48" s="1">
        <v>32.200000000000003</v>
      </c>
      <c r="Z48" s="1">
        <v>13.4</v>
      </c>
      <c r="AA48" s="1"/>
      <c r="AB48" s="1">
        <f t="shared" si="16"/>
        <v>149.1</v>
      </c>
      <c r="AC48" s="7">
        <v>10</v>
      </c>
      <c r="AD48" s="9">
        <f t="shared" si="17"/>
        <v>24</v>
      </c>
      <c r="AE48" s="1">
        <f t="shared" si="18"/>
        <v>168</v>
      </c>
      <c r="AF48" s="1">
        <v>12</v>
      </c>
      <c r="AG48" s="1">
        <v>84</v>
      </c>
      <c r="AH48" s="9">
        <f t="shared" si="19"/>
        <v>0.2857142857142857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1" t="s">
        <v>122</v>
      </c>
      <c r="B49" s="1" t="s">
        <v>38</v>
      </c>
      <c r="C49" s="1">
        <v>365</v>
      </c>
      <c r="D49" s="1">
        <v>398</v>
      </c>
      <c r="E49" s="1">
        <v>186</v>
      </c>
      <c r="F49" s="1">
        <v>501</v>
      </c>
      <c r="G49" s="7">
        <v>0.7</v>
      </c>
      <c r="H49" s="1">
        <v>180</v>
      </c>
      <c r="I49" s="1" t="s">
        <v>123</v>
      </c>
      <c r="J49" s="1"/>
      <c r="K49" s="1">
        <v>226</v>
      </c>
      <c r="L49" s="1">
        <f t="shared" si="20"/>
        <v>-40</v>
      </c>
      <c r="M49" s="1"/>
      <c r="N49" s="1"/>
      <c r="O49" s="1">
        <v>0</v>
      </c>
      <c r="P49" s="1">
        <f t="shared" si="21"/>
        <v>37.200000000000003</v>
      </c>
      <c r="Q49" s="5">
        <f>16*P49-O49-F49</f>
        <v>94.200000000000045</v>
      </c>
      <c r="R49" s="5">
        <f t="shared" si="15"/>
        <v>120</v>
      </c>
      <c r="S49" s="1">
        <f t="shared" si="22"/>
        <v>16.693548387096772</v>
      </c>
      <c r="T49" s="1">
        <f t="shared" si="23"/>
        <v>13.46774193548387</v>
      </c>
      <c r="U49" s="1">
        <v>29.6</v>
      </c>
      <c r="V49" s="1">
        <v>26.8</v>
      </c>
      <c r="W49" s="1">
        <v>44.2</v>
      </c>
      <c r="X49" s="1">
        <v>47.2</v>
      </c>
      <c r="Y49" s="1">
        <v>32</v>
      </c>
      <c r="Z49" s="1">
        <v>6.6</v>
      </c>
      <c r="AA49" s="1"/>
      <c r="AB49" s="1">
        <f t="shared" si="16"/>
        <v>65.940000000000026</v>
      </c>
      <c r="AC49" s="7">
        <v>10</v>
      </c>
      <c r="AD49" s="9">
        <f t="shared" si="17"/>
        <v>12</v>
      </c>
      <c r="AE49" s="1">
        <f t="shared" si="18"/>
        <v>84</v>
      </c>
      <c r="AF49" s="1">
        <v>12</v>
      </c>
      <c r="AG49" s="1">
        <v>84</v>
      </c>
      <c r="AH49" s="9">
        <f t="shared" si="19"/>
        <v>0.14285714285714285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1" t="s">
        <v>124</v>
      </c>
      <c r="B50" s="1" t="s">
        <v>38</v>
      </c>
      <c r="C50" s="1">
        <v>276</v>
      </c>
      <c r="D50" s="1">
        <v>628</v>
      </c>
      <c r="E50" s="1">
        <v>241</v>
      </c>
      <c r="F50" s="1">
        <v>611</v>
      </c>
      <c r="G50" s="7">
        <v>0.7</v>
      </c>
      <c r="H50" s="1">
        <v>180</v>
      </c>
      <c r="I50" s="1" t="s">
        <v>125</v>
      </c>
      <c r="J50" s="1"/>
      <c r="K50" s="1">
        <v>251</v>
      </c>
      <c r="L50" s="1">
        <f t="shared" si="20"/>
        <v>-10</v>
      </c>
      <c r="M50" s="1"/>
      <c r="N50" s="1"/>
      <c r="O50" s="1">
        <v>0</v>
      </c>
      <c r="P50" s="1">
        <f t="shared" si="21"/>
        <v>48.2</v>
      </c>
      <c r="Q50" s="5">
        <f t="shared" si="24"/>
        <v>63.800000000000068</v>
      </c>
      <c r="R50" s="5">
        <f t="shared" si="15"/>
        <v>120</v>
      </c>
      <c r="S50" s="1">
        <f t="shared" si="22"/>
        <v>15.165975103734439</v>
      </c>
      <c r="T50" s="1">
        <f t="shared" si="23"/>
        <v>12.676348547717842</v>
      </c>
      <c r="U50" s="1">
        <v>46.2</v>
      </c>
      <c r="V50" s="1">
        <v>45.6</v>
      </c>
      <c r="W50" s="1">
        <v>56.6</v>
      </c>
      <c r="X50" s="1">
        <v>56</v>
      </c>
      <c r="Y50" s="1">
        <v>39.6</v>
      </c>
      <c r="Z50" s="1">
        <v>9</v>
      </c>
      <c r="AA50" s="1"/>
      <c r="AB50" s="1">
        <f t="shared" si="16"/>
        <v>44.660000000000046</v>
      </c>
      <c r="AC50" s="7">
        <v>10</v>
      </c>
      <c r="AD50" s="9">
        <f t="shared" si="17"/>
        <v>12</v>
      </c>
      <c r="AE50" s="1">
        <f t="shared" si="18"/>
        <v>84</v>
      </c>
      <c r="AF50" s="1">
        <v>12</v>
      </c>
      <c r="AG50" s="1">
        <v>84</v>
      </c>
      <c r="AH50" s="9">
        <f t="shared" si="19"/>
        <v>0.14285714285714285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21" t="s">
        <v>126</v>
      </c>
      <c r="B51" s="1" t="s">
        <v>38</v>
      </c>
      <c r="C51" s="1">
        <v>109</v>
      </c>
      <c r="D51" s="1">
        <v>150</v>
      </c>
      <c r="E51" s="1">
        <v>114</v>
      </c>
      <c r="F51" s="1">
        <v>15</v>
      </c>
      <c r="G51" s="7">
        <v>0.7</v>
      </c>
      <c r="H51" s="1">
        <v>180</v>
      </c>
      <c r="I51" s="1" t="s">
        <v>127</v>
      </c>
      <c r="J51" s="1"/>
      <c r="K51" s="1">
        <v>124</v>
      </c>
      <c r="L51" s="1">
        <f t="shared" si="20"/>
        <v>-10</v>
      </c>
      <c r="M51" s="1"/>
      <c r="N51" s="1"/>
      <c r="O51" s="1">
        <v>120</v>
      </c>
      <c r="P51" s="1">
        <f t="shared" si="21"/>
        <v>22.8</v>
      </c>
      <c r="Q51" s="5">
        <f t="shared" si="24"/>
        <v>184.2</v>
      </c>
      <c r="R51" s="5">
        <f t="shared" si="15"/>
        <v>240</v>
      </c>
      <c r="S51" s="1">
        <f t="shared" si="22"/>
        <v>16.44736842105263</v>
      </c>
      <c r="T51" s="1">
        <f t="shared" si="23"/>
        <v>5.9210526315789469</v>
      </c>
      <c r="U51" s="1">
        <v>9</v>
      </c>
      <c r="V51" s="1">
        <v>14.2</v>
      </c>
      <c r="W51" s="1">
        <v>15.4</v>
      </c>
      <c r="X51" s="1">
        <v>11.6</v>
      </c>
      <c r="Y51" s="1">
        <v>8.6</v>
      </c>
      <c r="Z51" s="1">
        <v>7.4</v>
      </c>
      <c r="AA51" s="1"/>
      <c r="AB51" s="1">
        <f t="shared" si="16"/>
        <v>128.94</v>
      </c>
      <c r="AC51" s="7">
        <v>10</v>
      </c>
      <c r="AD51" s="9">
        <f t="shared" si="17"/>
        <v>24</v>
      </c>
      <c r="AE51" s="1">
        <f t="shared" si="18"/>
        <v>168</v>
      </c>
      <c r="AF51" s="1">
        <v>12</v>
      </c>
      <c r="AG51" s="1">
        <v>84</v>
      </c>
      <c r="AH51" s="9">
        <f t="shared" si="19"/>
        <v>0.2857142857142857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21" t="s">
        <v>128</v>
      </c>
      <c r="B52" s="1" t="s">
        <v>88</v>
      </c>
      <c r="C52" s="1">
        <v>1335</v>
      </c>
      <c r="D52" s="1">
        <v>210</v>
      </c>
      <c r="E52" s="1">
        <v>815</v>
      </c>
      <c r="F52" s="1">
        <v>605</v>
      </c>
      <c r="G52" s="7">
        <v>1</v>
      </c>
      <c r="H52" s="1">
        <v>180</v>
      </c>
      <c r="I52" s="1" t="s">
        <v>129</v>
      </c>
      <c r="J52" s="1"/>
      <c r="K52" s="1">
        <v>845</v>
      </c>
      <c r="L52" s="1">
        <f t="shared" si="20"/>
        <v>-30</v>
      </c>
      <c r="M52" s="1"/>
      <c r="N52" s="1"/>
      <c r="O52" s="1">
        <v>420</v>
      </c>
      <c r="P52" s="1">
        <f t="shared" si="21"/>
        <v>163</v>
      </c>
      <c r="Q52" s="5">
        <f t="shared" si="24"/>
        <v>1257</v>
      </c>
      <c r="R52" s="5">
        <f t="shared" si="15"/>
        <v>1260</v>
      </c>
      <c r="S52" s="1">
        <f t="shared" si="22"/>
        <v>14.01840490797546</v>
      </c>
      <c r="T52" s="1">
        <f t="shared" si="23"/>
        <v>6.2883435582822083</v>
      </c>
      <c r="U52" s="1">
        <v>148</v>
      </c>
      <c r="V52" s="1">
        <v>126</v>
      </c>
      <c r="W52" s="1">
        <v>91</v>
      </c>
      <c r="X52" s="1">
        <v>172</v>
      </c>
      <c r="Y52" s="1">
        <v>137</v>
      </c>
      <c r="Z52" s="1">
        <v>10</v>
      </c>
      <c r="AA52" s="1"/>
      <c r="AB52" s="1">
        <f t="shared" si="16"/>
        <v>1257</v>
      </c>
      <c r="AC52" s="7">
        <v>5</v>
      </c>
      <c r="AD52" s="9">
        <f t="shared" si="17"/>
        <v>252</v>
      </c>
      <c r="AE52" s="1">
        <f t="shared" si="18"/>
        <v>1260</v>
      </c>
      <c r="AF52" s="1">
        <v>12</v>
      </c>
      <c r="AG52" s="1">
        <v>144</v>
      </c>
      <c r="AH52" s="9">
        <f t="shared" si="19"/>
        <v>1.75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21" t="s">
        <v>130</v>
      </c>
      <c r="B53" s="1" t="s">
        <v>38</v>
      </c>
      <c r="C53" s="1">
        <v>211</v>
      </c>
      <c r="D53" s="1">
        <v>436</v>
      </c>
      <c r="E53" s="1">
        <v>213</v>
      </c>
      <c r="F53" s="1">
        <v>-2</v>
      </c>
      <c r="G53" s="7">
        <v>0.4</v>
      </c>
      <c r="H53" s="1">
        <v>180</v>
      </c>
      <c r="I53" s="1" t="s">
        <v>131</v>
      </c>
      <c r="J53" s="1"/>
      <c r="K53" s="1">
        <v>370</v>
      </c>
      <c r="L53" s="1">
        <f t="shared" si="20"/>
        <v>-157</v>
      </c>
      <c r="M53" s="1"/>
      <c r="N53" s="1"/>
      <c r="O53" s="1">
        <v>0</v>
      </c>
      <c r="P53" s="1">
        <f t="shared" si="21"/>
        <v>42.6</v>
      </c>
      <c r="Q53" s="5">
        <f t="shared" si="24"/>
        <v>598.4</v>
      </c>
      <c r="R53" s="5">
        <f t="shared" si="15"/>
        <v>576</v>
      </c>
      <c r="S53" s="1">
        <f t="shared" si="22"/>
        <v>13.474178403755868</v>
      </c>
      <c r="T53" s="1">
        <f t="shared" si="23"/>
        <v>-4.6948356807511735E-2</v>
      </c>
      <c r="U53" s="1">
        <v>36</v>
      </c>
      <c r="V53" s="1">
        <v>3.4</v>
      </c>
      <c r="W53" s="1">
        <v>35.200000000000003</v>
      </c>
      <c r="X53" s="1">
        <v>15</v>
      </c>
      <c r="Y53" s="1">
        <v>18.399999999999999</v>
      </c>
      <c r="Z53" s="1">
        <v>11.2</v>
      </c>
      <c r="AA53" s="1"/>
      <c r="AB53" s="1">
        <f t="shared" si="16"/>
        <v>239.36</v>
      </c>
      <c r="AC53" s="7">
        <v>16</v>
      </c>
      <c r="AD53" s="9">
        <f t="shared" si="17"/>
        <v>36</v>
      </c>
      <c r="AE53" s="1">
        <f t="shared" si="18"/>
        <v>230.4</v>
      </c>
      <c r="AF53" s="1">
        <v>12</v>
      </c>
      <c r="AG53" s="1">
        <v>84</v>
      </c>
      <c r="AH53" s="9">
        <f t="shared" si="19"/>
        <v>0.42857142857142855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1" t="s">
        <v>132</v>
      </c>
      <c r="B54" s="1" t="s">
        <v>38</v>
      </c>
      <c r="C54" s="1">
        <v>480</v>
      </c>
      <c r="D54" s="1">
        <v>39</v>
      </c>
      <c r="E54" s="1">
        <v>463</v>
      </c>
      <c r="F54" s="1"/>
      <c r="G54" s="7">
        <v>0.7</v>
      </c>
      <c r="H54" s="1">
        <v>180</v>
      </c>
      <c r="I54" s="1" t="s">
        <v>133</v>
      </c>
      <c r="J54" s="1"/>
      <c r="K54" s="1">
        <v>569</v>
      </c>
      <c r="L54" s="1">
        <f t="shared" si="20"/>
        <v>-106</v>
      </c>
      <c r="M54" s="1"/>
      <c r="N54" s="1"/>
      <c r="O54" s="1">
        <v>0</v>
      </c>
      <c r="P54" s="1">
        <f t="shared" si="21"/>
        <v>92.6</v>
      </c>
      <c r="Q54" s="5">
        <f t="shared" si="24"/>
        <v>1296.3999999999999</v>
      </c>
      <c r="R54" s="5">
        <f t="shared" si="15"/>
        <v>1320</v>
      </c>
      <c r="S54" s="1">
        <f t="shared" si="22"/>
        <v>14.254859611231103</v>
      </c>
      <c r="T54" s="1">
        <f t="shared" si="23"/>
        <v>0</v>
      </c>
      <c r="U54" s="1">
        <v>62.2</v>
      </c>
      <c r="V54" s="1">
        <v>0</v>
      </c>
      <c r="W54" s="1">
        <v>4.4000000000000004</v>
      </c>
      <c r="X54" s="1">
        <v>67.8</v>
      </c>
      <c r="Y54" s="1">
        <v>63.4</v>
      </c>
      <c r="Z54" s="1">
        <v>18.600000000000001</v>
      </c>
      <c r="AA54" s="1"/>
      <c r="AB54" s="1">
        <f t="shared" si="16"/>
        <v>907.47999999999979</v>
      </c>
      <c r="AC54" s="7">
        <v>10</v>
      </c>
      <c r="AD54" s="9">
        <f t="shared" si="17"/>
        <v>132</v>
      </c>
      <c r="AE54" s="1">
        <f t="shared" si="18"/>
        <v>923.99999999999989</v>
      </c>
      <c r="AF54" s="1">
        <v>12</v>
      </c>
      <c r="AG54" s="1">
        <v>84</v>
      </c>
      <c r="AH54" s="9">
        <f t="shared" si="19"/>
        <v>1.5714285714285714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21" t="s">
        <v>134</v>
      </c>
      <c r="B55" s="1" t="s">
        <v>38</v>
      </c>
      <c r="C55" s="1">
        <v>192</v>
      </c>
      <c r="D55" s="1">
        <v>446</v>
      </c>
      <c r="E55" s="1">
        <v>256</v>
      </c>
      <c r="F55" s="1">
        <v>276</v>
      </c>
      <c r="G55" s="7">
        <v>0.4</v>
      </c>
      <c r="H55" s="1">
        <v>180</v>
      </c>
      <c r="I55" s="1" t="s">
        <v>135</v>
      </c>
      <c r="J55" s="1"/>
      <c r="K55" s="1">
        <v>443</v>
      </c>
      <c r="L55" s="1">
        <f t="shared" si="20"/>
        <v>-187</v>
      </c>
      <c r="M55" s="1"/>
      <c r="N55" s="1"/>
      <c r="O55" s="1">
        <v>0</v>
      </c>
      <c r="P55" s="1">
        <f t="shared" si="21"/>
        <v>51.2</v>
      </c>
      <c r="Q55" s="5">
        <f t="shared" si="24"/>
        <v>440.80000000000007</v>
      </c>
      <c r="R55" s="5">
        <f t="shared" si="15"/>
        <v>384</v>
      </c>
      <c r="S55" s="1">
        <f t="shared" si="22"/>
        <v>12.890625</v>
      </c>
      <c r="T55" s="1">
        <f t="shared" si="23"/>
        <v>5.390625</v>
      </c>
      <c r="U55" s="1">
        <v>33.200000000000003</v>
      </c>
      <c r="V55" s="1">
        <v>5</v>
      </c>
      <c r="W55" s="1">
        <v>34</v>
      </c>
      <c r="X55" s="1">
        <v>9</v>
      </c>
      <c r="Y55" s="1">
        <v>14</v>
      </c>
      <c r="Z55" s="1">
        <v>20.6</v>
      </c>
      <c r="AA55" s="1"/>
      <c r="AB55" s="1">
        <f t="shared" si="16"/>
        <v>176.32000000000005</v>
      </c>
      <c r="AC55" s="7">
        <v>16</v>
      </c>
      <c r="AD55" s="9">
        <f t="shared" si="17"/>
        <v>24</v>
      </c>
      <c r="AE55" s="1">
        <f t="shared" si="18"/>
        <v>153.60000000000002</v>
      </c>
      <c r="AF55" s="1">
        <v>12</v>
      </c>
      <c r="AG55" s="1">
        <v>84</v>
      </c>
      <c r="AH55" s="9">
        <f t="shared" si="19"/>
        <v>0.2857142857142857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21" t="s">
        <v>136</v>
      </c>
      <c r="B56" s="1" t="s">
        <v>38</v>
      </c>
      <c r="C56" s="1">
        <v>596</v>
      </c>
      <c r="D56" s="1">
        <v>652</v>
      </c>
      <c r="E56" s="1">
        <v>599</v>
      </c>
      <c r="F56" s="1">
        <v>556</v>
      </c>
      <c r="G56" s="7">
        <v>0.7</v>
      </c>
      <c r="H56" s="1">
        <v>180</v>
      </c>
      <c r="I56" s="1" t="s">
        <v>137</v>
      </c>
      <c r="J56" s="1"/>
      <c r="K56" s="1">
        <v>650</v>
      </c>
      <c r="L56" s="1">
        <f t="shared" si="20"/>
        <v>-51</v>
      </c>
      <c r="M56" s="1"/>
      <c r="N56" s="1"/>
      <c r="O56" s="1">
        <v>0</v>
      </c>
      <c r="P56" s="1">
        <f t="shared" si="21"/>
        <v>119.8</v>
      </c>
      <c r="Q56" s="5">
        <f t="shared" si="24"/>
        <v>1121.2</v>
      </c>
      <c r="R56" s="5">
        <f t="shared" si="15"/>
        <v>1080</v>
      </c>
      <c r="S56" s="1">
        <f t="shared" si="22"/>
        <v>13.656093489148581</v>
      </c>
      <c r="T56" s="1">
        <f t="shared" si="23"/>
        <v>4.641068447412354</v>
      </c>
      <c r="U56" s="1">
        <v>61</v>
      </c>
      <c r="V56" s="1">
        <v>45.4</v>
      </c>
      <c r="W56" s="1">
        <v>78.599999999999994</v>
      </c>
      <c r="X56" s="1">
        <v>84</v>
      </c>
      <c r="Y56" s="1">
        <v>61.2</v>
      </c>
      <c r="Z56" s="1">
        <v>21</v>
      </c>
      <c r="AA56" s="1"/>
      <c r="AB56" s="1">
        <f t="shared" si="16"/>
        <v>784.84</v>
      </c>
      <c r="AC56" s="7">
        <v>10</v>
      </c>
      <c r="AD56" s="9">
        <f t="shared" si="17"/>
        <v>108</v>
      </c>
      <c r="AE56" s="1">
        <f t="shared" si="18"/>
        <v>756</v>
      </c>
      <c r="AF56" s="1">
        <v>12</v>
      </c>
      <c r="AG56" s="1">
        <v>84</v>
      </c>
      <c r="AH56" s="9">
        <f t="shared" si="19"/>
        <v>1.2857142857142858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21" t="s">
        <v>138</v>
      </c>
      <c r="B57" s="1" t="s">
        <v>38</v>
      </c>
      <c r="C57" s="1"/>
      <c r="D57" s="1">
        <v>120</v>
      </c>
      <c r="E57" s="1"/>
      <c r="F57" s="1"/>
      <c r="G57" s="7">
        <v>0.7</v>
      </c>
      <c r="H57" s="1">
        <v>180</v>
      </c>
      <c r="I57" s="1" t="s">
        <v>139</v>
      </c>
      <c r="J57" s="1"/>
      <c r="K57" s="1"/>
      <c r="L57" s="1">
        <f t="shared" si="20"/>
        <v>0</v>
      </c>
      <c r="M57" s="1"/>
      <c r="N57" s="1"/>
      <c r="O57" s="1">
        <v>0</v>
      </c>
      <c r="P57" s="1">
        <f t="shared" si="21"/>
        <v>0</v>
      </c>
      <c r="Q57" s="5">
        <v>100</v>
      </c>
      <c r="R57" s="5">
        <f t="shared" si="15"/>
        <v>120</v>
      </c>
      <c r="S57" s="1" t="e">
        <f t="shared" si="22"/>
        <v>#DIV/0!</v>
      </c>
      <c r="T57" s="1" t="e">
        <f t="shared" si="23"/>
        <v>#DIV/0!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 t="s">
        <v>140</v>
      </c>
      <c r="AB57" s="1">
        <f t="shared" si="16"/>
        <v>70</v>
      </c>
      <c r="AC57" s="7">
        <v>10</v>
      </c>
      <c r="AD57" s="9">
        <f t="shared" si="17"/>
        <v>12</v>
      </c>
      <c r="AE57" s="1">
        <f t="shared" si="18"/>
        <v>84</v>
      </c>
      <c r="AF57" s="1">
        <v>12</v>
      </c>
      <c r="AG57" s="1">
        <v>84</v>
      </c>
      <c r="AH57" s="9">
        <f t="shared" si="19"/>
        <v>0.14285714285714285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21" t="s">
        <v>141</v>
      </c>
      <c r="B58" s="1" t="s">
        <v>38</v>
      </c>
      <c r="C58" s="1">
        <v>553</v>
      </c>
      <c r="D58" s="1">
        <v>24</v>
      </c>
      <c r="E58" s="1">
        <v>71</v>
      </c>
      <c r="F58" s="1">
        <v>482</v>
      </c>
      <c r="G58" s="7">
        <v>0.8</v>
      </c>
      <c r="H58" s="1">
        <v>180</v>
      </c>
      <c r="I58" s="1" t="s">
        <v>142</v>
      </c>
      <c r="J58" s="1"/>
      <c r="K58" s="1">
        <v>82</v>
      </c>
      <c r="L58" s="1">
        <f t="shared" si="20"/>
        <v>-11</v>
      </c>
      <c r="M58" s="1"/>
      <c r="N58" s="1"/>
      <c r="O58" s="1">
        <v>0</v>
      </c>
      <c r="P58" s="1">
        <f t="shared" si="21"/>
        <v>14.2</v>
      </c>
      <c r="Q58" s="5"/>
      <c r="R58" s="5">
        <f t="shared" si="15"/>
        <v>0</v>
      </c>
      <c r="S58" s="1">
        <f t="shared" si="22"/>
        <v>33.943661971830984</v>
      </c>
      <c r="T58" s="1">
        <f t="shared" si="23"/>
        <v>33.943661971830984</v>
      </c>
      <c r="U58" s="1">
        <v>10.6</v>
      </c>
      <c r="V58" s="1">
        <v>22.4</v>
      </c>
      <c r="W58" s="1">
        <v>3</v>
      </c>
      <c r="X58" s="1">
        <v>0</v>
      </c>
      <c r="Y58" s="1">
        <v>0</v>
      </c>
      <c r="Z58" s="1">
        <v>2.2000000000000002</v>
      </c>
      <c r="AA58" s="18" t="s">
        <v>90</v>
      </c>
      <c r="AB58" s="1">
        <f t="shared" si="16"/>
        <v>0</v>
      </c>
      <c r="AC58" s="7">
        <v>8</v>
      </c>
      <c r="AD58" s="9">
        <f t="shared" si="17"/>
        <v>0</v>
      </c>
      <c r="AE58" s="1">
        <f t="shared" si="18"/>
        <v>0</v>
      </c>
      <c r="AF58" s="1">
        <v>12</v>
      </c>
      <c r="AG58" s="1">
        <v>84</v>
      </c>
      <c r="AH58" s="9">
        <f t="shared" si="19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21" t="s">
        <v>143</v>
      </c>
      <c r="B59" s="1" t="s">
        <v>38</v>
      </c>
      <c r="C59" s="1">
        <v>118</v>
      </c>
      <c r="D59" s="1">
        <v>136</v>
      </c>
      <c r="E59" s="1">
        <v>101</v>
      </c>
      <c r="F59" s="1">
        <v>2</v>
      </c>
      <c r="G59" s="7">
        <v>1</v>
      </c>
      <c r="H59" s="1">
        <v>180</v>
      </c>
      <c r="I59" s="1" t="s">
        <v>144</v>
      </c>
      <c r="J59" s="1"/>
      <c r="K59" s="1">
        <v>126</v>
      </c>
      <c r="L59" s="1">
        <f t="shared" si="20"/>
        <v>-25</v>
      </c>
      <c r="M59" s="1"/>
      <c r="N59" s="1"/>
      <c r="O59" s="1">
        <v>0</v>
      </c>
      <c r="P59" s="1">
        <f t="shared" si="21"/>
        <v>20.2</v>
      </c>
      <c r="Q59" s="5">
        <f t="shared" si="24"/>
        <v>280.8</v>
      </c>
      <c r="R59" s="5">
        <f t="shared" si="15"/>
        <v>300</v>
      </c>
      <c r="S59" s="1">
        <f t="shared" si="22"/>
        <v>14.950495049504951</v>
      </c>
      <c r="T59" s="1">
        <f t="shared" si="23"/>
        <v>9.9009900990099015E-2</v>
      </c>
      <c r="U59" s="1">
        <v>9.1999999999999993</v>
      </c>
      <c r="V59" s="1">
        <v>14</v>
      </c>
      <c r="W59" s="1">
        <v>16.2</v>
      </c>
      <c r="X59" s="1">
        <v>18</v>
      </c>
      <c r="Y59" s="1">
        <v>12.8</v>
      </c>
      <c r="Z59" s="1">
        <v>10</v>
      </c>
      <c r="AA59" s="1"/>
      <c r="AB59" s="1">
        <f t="shared" si="16"/>
        <v>280.8</v>
      </c>
      <c r="AC59" s="7">
        <v>5</v>
      </c>
      <c r="AD59" s="9">
        <f t="shared" si="17"/>
        <v>60</v>
      </c>
      <c r="AE59" s="1">
        <f t="shared" si="18"/>
        <v>300</v>
      </c>
      <c r="AF59" s="1">
        <v>12</v>
      </c>
      <c r="AG59" s="1">
        <v>84</v>
      </c>
      <c r="AH59" s="9">
        <f t="shared" si="19"/>
        <v>0.7142857142857143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1" t="s">
        <v>145</v>
      </c>
      <c r="B60" s="1" t="s">
        <v>38</v>
      </c>
      <c r="C60" s="1">
        <v>76</v>
      </c>
      <c r="D60" s="1"/>
      <c r="E60" s="1">
        <v>7</v>
      </c>
      <c r="F60" s="1">
        <v>68</v>
      </c>
      <c r="G60" s="7">
        <v>0.9</v>
      </c>
      <c r="H60" s="1">
        <v>180</v>
      </c>
      <c r="I60" s="1" t="s">
        <v>146</v>
      </c>
      <c r="J60" s="1"/>
      <c r="K60" s="1">
        <v>7</v>
      </c>
      <c r="L60" s="1">
        <f t="shared" si="20"/>
        <v>0</v>
      </c>
      <c r="M60" s="1"/>
      <c r="N60" s="1"/>
      <c r="O60" s="1">
        <v>0</v>
      </c>
      <c r="P60" s="1">
        <f t="shared" si="21"/>
        <v>1.4</v>
      </c>
      <c r="Q60" s="5"/>
      <c r="R60" s="5">
        <f t="shared" si="15"/>
        <v>0</v>
      </c>
      <c r="S60" s="1">
        <f t="shared" si="22"/>
        <v>48.571428571428577</v>
      </c>
      <c r="T60" s="1">
        <f t="shared" si="23"/>
        <v>48.571428571428577</v>
      </c>
      <c r="U60" s="1">
        <v>2.2000000000000002</v>
      </c>
      <c r="V60" s="1">
        <v>2.6</v>
      </c>
      <c r="W60" s="1">
        <v>1.6</v>
      </c>
      <c r="X60" s="1">
        <v>0</v>
      </c>
      <c r="Y60" s="1">
        <v>0</v>
      </c>
      <c r="Z60" s="1">
        <v>1.4</v>
      </c>
      <c r="AA60" s="18" t="s">
        <v>90</v>
      </c>
      <c r="AB60" s="1">
        <f t="shared" si="16"/>
        <v>0</v>
      </c>
      <c r="AC60" s="7">
        <v>8</v>
      </c>
      <c r="AD60" s="9">
        <f t="shared" si="17"/>
        <v>0</v>
      </c>
      <c r="AE60" s="1">
        <f t="shared" si="18"/>
        <v>0</v>
      </c>
      <c r="AF60" s="1">
        <v>12</v>
      </c>
      <c r="AG60" s="1">
        <v>84</v>
      </c>
      <c r="AH60" s="9">
        <f t="shared" si="19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21" t="s">
        <v>147</v>
      </c>
      <c r="B61" s="1" t="s">
        <v>38</v>
      </c>
      <c r="C61" s="1">
        <v>71</v>
      </c>
      <c r="D61" s="1">
        <v>2</v>
      </c>
      <c r="E61" s="1">
        <v>16</v>
      </c>
      <c r="F61" s="1">
        <v>54</v>
      </c>
      <c r="G61" s="7">
        <v>0.9</v>
      </c>
      <c r="H61" s="1">
        <v>180</v>
      </c>
      <c r="I61" s="1" t="s">
        <v>148</v>
      </c>
      <c r="J61" s="1"/>
      <c r="K61" s="1">
        <v>18</v>
      </c>
      <c r="L61" s="1">
        <f t="shared" si="20"/>
        <v>-2</v>
      </c>
      <c r="M61" s="1"/>
      <c r="N61" s="1"/>
      <c r="O61" s="1">
        <v>0</v>
      </c>
      <c r="P61" s="1">
        <f t="shared" si="21"/>
        <v>3.2</v>
      </c>
      <c r="Q61" s="5"/>
      <c r="R61" s="5">
        <f t="shared" si="15"/>
        <v>0</v>
      </c>
      <c r="S61" s="1">
        <f t="shared" si="22"/>
        <v>16.875</v>
      </c>
      <c r="T61" s="1">
        <f t="shared" si="23"/>
        <v>16.875</v>
      </c>
      <c r="U61" s="1">
        <v>2</v>
      </c>
      <c r="V61" s="1">
        <v>3.8</v>
      </c>
      <c r="W61" s="1">
        <v>1.4</v>
      </c>
      <c r="X61" s="1">
        <v>3.4</v>
      </c>
      <c r="Y61" s="1">
        <v>3.8</v>
      </c>
      <c r="Z61" s="1">
        <v>3.2</v>
      </c>
      <c r="AA61" s="23" t="s">
        <v>85</v>
      </c>
      <c r="AB61" s="1">
        <f t="shared" si="16"/>
        <v>0</v>
      </c>
      <c r="AC61" s="7">
        <v>8</v>
      </c>
      <c r="AD61" s="9">
        <f t="shared" si="17"/>
        <v>0</v>
      </c>
      <c r="AE61" s="1">
        <f t="shared" si="18"/>
        <v>0</v>
      </c>
      <c r="AF61" s="1">
        <v>12</v>
      </c>
      <c r="AG61" s="1">
        <v>84</v>
      </c>
      <c r="AH61" s="9">
        <f t="shared" si="19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1" t="s">
        <v>149</v>
      </c>
      <c r="B62" s="1" t="s">
        <v>88</v>
      </c>
      <c r="C62" s="1">
        <v>260</v>
      </c>
      <c r="D62" s="1">
        <v>70</v>
      </c>
      <c r="E62" s="1">
        <v>85</v>
      </c>
      <c r="F62" s="1">
        <v>150</v>
      </c>
      <c r="G62" s="7">
        <v>1</v>
      </c>
      <c r="H62" s="1">
        <v>180</v>
      </c>
      <c r="I62" s="13" t="s">
        <v>150</v>
      </c>
      <c r="J62" s="1"/>
      <c r="K62" s="1">
        <v>100</v>
      </c>
      <c r="L62" s="1">
        <f t="shared" si="20"/>
        <v>-15</v>
      </c>
      <c r="M62" s="1"/>
      <c r="N62" s="1"/>
      <c r="O62" s="1">
        <v>0</v>
      </c>
      <c r="P62" s="1">
        <f t="shared" si="21"/>
        <v>17</v>
      </c>
      <c r="Q62" s="5">
        <f t="shared" si="24"/>
        <v>88</v>
      </c>
      <c r="R62" s="5">
        <f t="shared" si="15"/>
        <v>60</v>
      </c>
      <c r="S62" s="1">
        <f t="shared" si="22"/>
        <v>12.352941176470589</v>
      </c>
      <c r="T62" s="1">
        <f t="shared" si="23"/>
        <v>8.8235294117647065</v>
      </c>
      <c r="U62" s="1">
        <v>16</v>
      </c>
      <c r="V62" s="1">
        <v>19</v>
      </c>
      <c r="W62" s="1">
        <v>5</v>
      </c>
      <c r="X62" s="1">
        <v>3</v>
      </c>
      <c r="Y62" s="1">
        <v>3</v>
      </c>
      <c r="Z62" s="1">
        <v>5</v>
      </c>
      <c r="AA62" s="1"/>
      <c r="AB62" s="1">
        <f t="shared" si="16"/>
        <v>88</v>
      </c>
      <c r="AC62" s="7">
        <v>5</v>
      </c>
      <c r="AD62" s="9">
        <f t="shared" si="17"/>
        <v>12</v>
      </c>
      <c r="AE62" s="1">
        <f t="shared" si="18"/>
        <v>60</v>
      </c>
      <c r="AF62" s="1">
        <v>12</v>
      </c>
      <c r="AG62" s="1">
        <v>144</v>
      </c>
      <c r="AH62" s="9">
        <f t="shared" si="19"/>
        <v>8.3333333333333329E-2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21" t="s">
        <v>151</v>
      </c>
      <c r="B63" s="1" t="s">
        <v>38</v>
      </c>
      <c r="C63" s="1"/>
      <c r="D63" s="1"/>
      <c r="E63" s="19">
        <f>0+E64</f>
        <v>57</v>
      </c>
      <c r="F63" s="19">
        <f>0+F64</f>
        <v>312</v>
      </c>
      <c r="G63" s="7">
        <v>1</v>
      </c>
      <c r="H63" s="1">
        <v>180</v>
      </c>
      <c r="I63" s="1" t="s">
        <v>152</v>
      </c>
      <c r="J63" s="1"/>
      <c r="K63" s="1"/>
      <c r="L63" s="1">
        <f t="shared" si="20"/>
        <v>57</v>
      </c>
      <c r="M63" s="1"/>
      <c r="N63" s="1"/>
      <c r="O63" s="1">
        <v>0</v>
      </c>
      <c r="P63" s="1">
        <f t="shared" si="21"/>
        <v>11.4</v>
      </c>
      <c r="Q63" s="5"/>
      <c r="R63" s="5">
        <f t="shared" si="15"/>
        <v>0</v>
      </c>
      <c r="S63" s="1">
        <f t="shared" si="22"/>
        <v>27.368421052631579</v>
      </c>
      <c r="T63" s="1">
        <f t="shared" si="23"/>
        <v>27.368421052631579</v>
      </c>
      <c r="U63" s="1">
        <v>11</v>
      </c>
      <c r="V63" s="1">
        <v>22</v>
      </c>
      <c r="W63" s="1">
        <v>2.4</v>
      </c>
      <c r="X63" s="1">
        <v>0</v>
      </c>
      <c r="Y63" s="1">
        <v>0</v>
      </c>
      <c r="Z63" s="1">
        <v>0</v>
      </c>
      <c r="AA63" s="1"/>
      <c r="AB63" s="1">
        <f t="shared" si="16"/>
        <v>0</v>
      </c>
      <c r="AC63" s="7">
        <v>5</v>
      </c>
      <c r="AD63" s="9">
        <f t="shared" si="17"/>
        <v>0</v>
      </c>
      <c r="AE63" s="1">
        <f t="shared" si="18"/>
        <v>0</v>
      </c>
      <c r="AF63" s="1">
        <v>12</v>
      </c>
      <c r="AG63" s="1">
        <v>84</v>
      </c>
      <c r="AH63" s="9">
        <f t="shared" si="19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4" t="s">
        <v>153</v>
      </c>
      <c r="B64" s="14" t="s">
        <v>38</v>
      </c>
      <c r="C64" s="14">
        <v>365</v>
      </c>
      <c r="D64" s="14">
        <v>29</v>
      </c>
      <c r="E64" s="19">
        <v>57</v>
      </c>
      <c r="F64" s="19">
        <v>312</v>
      </c>
      <c r="G64" s="15">
        <v>0</v>
      </c>
      <c r="H64" s="14">
        <v>180</v>
      </c>
      <c r="I64" s="14" t="s">
        <v>49</v>
      </c>
      <c r="J64" s="14" t="s">
        <v>151</v>
      </c>
      <c r="K64" s="14">
        <v>74</v>
      </c>
      <c r="L64" s="14">
        <f t="shared" si="20"/>
        <v>-17</v>
      </c>
      <c r="M64" s="14"/>
      <c r="N64" s="14"/>
      <c r="O64" s="14"/>
      <c r="P64" s="14">
        <f t="shared" si="21"/>
        <v>11.4</v>
      </c>
      <c r="Q64" s="16"/>
      <c r="R64" s="16"/>
      <c r="S64" s="14">
        <f t="shared" si="22"/>
        <v>27.368421052631579</v>
      </c>
      <c r="T64" s="14">
        <f t="shared" si="23"/>
        <v>27.368421052631579</v>
      </c>
      <c r="U64" s="14">
        <v>11</v>
      </c>
      <c r="V64" s="14">
        <v>22</v>
      </c>
      <c r="W64" s="14">
        <v>2.4</v>
      </c>
      <c r="X64" s="14">
        <v>0</v>
      </c>
      <c r="Y64" s="14">
        <v>0</v>
      </c>
      <c r="Z64" s="14">
        <v>0</v>
      </c>
      <c r="AA64" s="14"/>
      <c r="AB64" s="14"/>
      <c r="AC64" s="15"/>
      <c r="AD64" s="17"/>
      <c r="AE64" s="14"/>
      <c r="AF64" s="14"/>
      <c r="AG64" s="14"/>
      <c r="AH64" s="17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21" t="s">
        <v>154</v>
      </c>
      <c r="B65" s="1" t="s">
        <v>88</v>
      </c>
      <c r="C65" s="1">
        <v>40.700000000000003</v>
      </c>
      <c r="D65" s="1"/>
      <c r="E65" s="1"/>
      <c r="F65" s="1">
        <v>40.700000000000003</v>
      </c>
      <c r="G65" s="7">
        <v>1</v>
      </c>
      <c r="H65" s="1">
        <v>180</v>
      </c>
      <c r="I65" s="1" t="s">
        <v>155</v>
      </c>
      <c r="J65" s="1"/>
      <c r="K65" s="1"/>
      <c r="L65" s="1">
        <f t="shared" si="20"/>
        <v>0</v>
      </c>
      <c r="M65" s="1"/>
      <c r="N65" s="1"/>
      <c r="O65" s="1">
        <v>0</v>
      </c>
      <c r="P65" s="1">
        <f t="shared" si="21"/>
        <v>0</v>
      </c>
      <c r="Q65" s="5"/>
      <c r="R65" s="5">
        <f>AC65*AD65</f>
        <v>0</v>
      </c>
      <c r="S65" s="1" t="e">
        <f t="shared" si="22"/>
        <v>#DIV/0!</v>
      </c>
      <c r="T65" s="1" t="e">
        <f t="shared" si="23"/>
        <v>#DIV/0!</v>
      </c>
      <c r="U65" s="1">
        <v>0</v>
      </c>
      <c r="V65" s="1">
        <v>0</v>
      </c>
      <c r="W65" s="1">
        <v>0.74</v>
      </c>
      <c r="X65" s="1">
        <v>0</v>
      </c>
      <c r="Y65" s="1">
        <v>0</v>
      </c>
      <c r="Z65" s="1">
        <v>0</v>
      </c>
      <c r="AA65" s="18" t="s">
        <v>90</v>
      </c>
      <c r="AB65" s="1">
        <f>G65*Q65</f>
        <v>0</v>
      </c>
      <c r="AC65" s="7">
        <v>3.7</v>
      </c>
      <c r="AD65" s="9">
        <f>MROUND(Q65, AC65*AF65)/AC65</f>
        <v>0</v>
      </c>
      <c r="AE65" s="1">
        <f>AD65*AC65*G65</f>
        <v>0</v>
      </c>
      <c r="AF65" s="1">
        <v>14</v>
      </c>
      <c r="AG65" s="1">
        <v>126</v>
      </c>
      <c r="AH65" s="9">
        <f>AD65/AG65</f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4" t="s">
        <v>156</v>
      </c>
      <c r="B66" s="14" t="s">
        <v>38</v>
      </c>
      <c r="C66" s="14">
        <v>84</v>
      </c>
      <c r="D66" s="14">
        <v>168</v>
      </c>
      <c r="E66" s="19">
        <v>57</v>
      </c>
      <c r="F66" s="19">
        <v>192</v>
      </c>
      <c r="G66" s="15">
        <v>0</v>
      </c>
      <c r="H66" s="14">
        <v>180</v>
      </c>
      <c r="I66" s="14" t="s">
        <v>49</v>
      </c>
      <c r="J66" s="14" t="s">
        <v>61</v>
      </c>
      <c r="K66" s="14">
        <v>54</v>
      </c>
      <c r="L66" s="14">
        <f t="shared" si="20"/>
        <v>3</v>
      </c>
      <c r="M66" s="14"/>
      <c r="N66" s="14"/>
      <c r="O66" s="14"/>
      <c r="P66" s="14">
        <f t="shared" si="21"/>
        <v>11.4</v>
      </c>
      <c r="Q66" s="16"/>
      <c r="R66" s="16"/>
      <c r="S66" s="14">
        <f t="shared" si="22"/>
        <v>16.842105263157894</v>
      </c>
      <c r="T66" s="14">
        <f t="shared" si="23"/>
        <v>16.842105263157894</v>
      </c>
      <c r="U66" s="14">
        <v>4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/>
      <c r="AB66" s="14"/>
      <c r="AC66" s="15"/>
      <c r="AD66" s="17"/>
      <c r="AE66" s="14"/>
      <c r="AF66" s="14"/>
      <c r="AG66" s="14"/>
      <c r="AH66" s="17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157</v>
      </c>
      <c r="B67" s="14" t="s">
        <v>38</v>
      </c>
      <c r="C67" s="14">
        <v>244</v>
      </c>
      <c r="D67" s="14">
        <v>205</v>
      </c>
      <c r="E67" s="19">
        <v>140</v>
      </c>
      <c r="F67" s="19">
        <v>301</v>
      </c>
      <c r="G67" s="15">
        <v>0</v>
      </c>
      <c r="H67" s="14">
        <v>180</v>
      </c>
      <c r="I67" s="14" t="s">
        <v>49</v>
      </c>
      <c r="J67" s="14" t="s">
        <v>158</v>
      </c>
      <c r="K67" s="14">
        <v>137</v>
      </c>
      <c r="L67" s="14">
        <f t="shared" si="20"/>
        <v>3</v>
      </c>
      <c r="M67" s="14"/>
      <c r="N67" s="14"/>
      <c r="O67" s="14"/>
      <c r="P67" s="14">
        <f t="shared" si="21"/>
        <v>28</v>
      </c>
      <c r="Q67" s="16"/>
      <c r="R67" s="16"/>
      <c r="S67" s="14">
        <f t="shared" si="22"/>
        <v>10.75</v>
      </c>
      <c r="T67" s="14">
        <f t="shared" si="23"/>
        <v>10.75</v>
      </c>
      <c r="U67" s="14">
        <v>22.2</v>
      </c>
      <c r="V67" s="14">
        <v>7.6</v>
      </c>
      <c r="W67" s="14">
        <v>0</v>
      </c>
      <c r="X67" s="14">
        <v>0</v>
      </c>
      <c r="Y67" s="14">
        <v>0</v>
      </c>
      <c r="Z67" s="14">
        <v>0</v>
      </c>
      <c r="AA67" s="14"/>
      <c r="AB67" s="14"/>
      <c r="AC67" s="15"/>
      <c r="AD67" s="17"/>
      <c r="AE67" s="14"/>
      <c r="AF67" s="14"/>
      <c r="AG67" s="14"/>
      <c r="AH67" s="17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159</v>
      </c>
      <c r="B68" s="14" t="s">
        <v>38</v>
      </c>
      <c r="C68" s="14">
        <v>336</v>
      </c>
      <c r="D68" s="14">
        <v>4</v>
      </c>
      <c r="E68" s="19">
        <v>178</v>
      </c>
      <c r="F68" s="19">
        <v>133</v>
      </c>
      <c r="G68" s="15">
        <v>0</v>
      </c>
      <c r="H68" s="14">
        <v>180</v>
      </c>
      <c r="I68" s="14" t="s">
        <v>49</v>
      </c>
      <c r="J68" s="14" t="s">
        <v>83</v>
      </c>
      <c r="K68" s="14">
        <v>184</v>
      </c>
      <c r="L68" s="14">
        <f t="shared" si="20"/>
        <v>-6</v>
      </c>
      <c r="M68" s="14"/>
      <c r="N68" s="14"/>
      <c r="O68" s="14"/>
      <c r="P68" s="14">
        <f t="shared" si="21"/>
        <v>35.6</v>
      </c>
      <c r="Q68" s="16"/>
      <c r="R68" s="16"/>
      <c r="S68" s="14">
        <f t="shared" si="22"/>
        <v>3.7359550561797752</v>
      </c>
      <c r="T68" s="14">
        <f t="shared" si="23"/>
        <v>3.7359550561797752</v>
      </c>
      <c r="U68" s="14">
        <v>23.6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/>
      <c r="AB68" s="14"/>
      <c r="AC68" s="15"/>
      <c r="AD68" s="17"/>
      <c r="AE68" s="14"/>
      <c r="AF68" s="14"/>
      <c r="AG68" s="14"/>
      <c r="AH68" s="17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21" t="s">
        <v>160</v>
      </c>
      <c r="B69" s="1" t="s">
        <v>38</v>
      </c>
      <c r="C69" s="1">
        <v>99</v>
      </c>
      <c r="D69" s="1">
        <v>9</v>
      </c>
      <c r="E69" s="1">
        <v>45</v>
      </c>
      <c r="F69" s="1">
        <v>52</v>
      </c>
      <c r="G69" s="7">
        <v>0.23</v>
      </c>
      <c r="H69" s="1">
        <v>180</v>
      </c>
      <c r="I69" s="1" t="s">
        <v>161</v>
      </c>
      <c r="J69" s="1"/>
      <c r="K69" s="1">
        <v>52</v>
      </c>
      <c r="L69" s="1">
        <f t="shared" si="20"/>
        <v>-7</v>
      </c>
      <c r="M69" s="1"/>
      <c r="N69" s="1"/>
      <c r="O69" s="1">
        <v>84</v>
      </c>
      <c r="P69" s="1">
        <f t="shared" si="21"/>
        <v>9</v>
      </c>
      <c r="Q69" s="5"/>
      <c r="R69" s="5">
        <f>AC69*AD69</f>
        <v>0</v>
      </c>
      <c r="S69" s="1">
        <f t="shared" si="22"/>
        <v>15.111111111111111</v>
      </c>
      <c r="T69" s="1">
        <f t="shared" si="23"/>
        <v>15.111111111111111</v>
      </c>
      <c r="U69" s="1">
        <v>11</v>
      </c>
      <c r="V69" s="1">
        <v>9.6</v>
      </c>
      <c r="W69" s="1">
        <v>7.6</v>
      </c>
      <c r="X69" s="1">
        <v>13.6</v>
      </c>
      <c r="Y69" s="1">
        <v>7.2</v>
      </c>
      <c r="Z69" s="1">
        <v>2.6</v>
      </c>
      <c r="AA69" s="1"/>
      <c r="AB69" s="1">
        <f>G69*Q69</f>
        <v>0</v>
      </c>
      <c r="AC69" s="7">
        <v>6</v>
      </c>
      <c r="AD69" s="9">
        <f>MROUND(Q69, AC69*AF69)/AC69</f>
        <v>0</v>
      </c>
      <c r="AE69" s="1">
        <f>AD69*AC69*G69</f>
        <v>0</v>
      </c>
      <c r="AF69" s="1">
        <v>14</v>
      </c>
      <c r="AG69" s="1">
        <v>140</v>
      </c>
      <c r="AH69" s="9">
        <f>AD69/AG69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21" t="s">
        <v>58</v>
      </c>
      <c r="B70" s="1" t="s">
        <v>38</v>
      </c>
      <c r="C70" s="1"/>
      <c r="D70" s="1"/>
      <c r="E70" s="19">
        <f>0+E14</f>
        <v>339</v>
      </c>
      <c r="F70" s="19">
        <f>0+F14</f>
        <v>307</v>
      </c>
      <c r="G70" s="7">
        <v>0.25</v>
      </c>
      <c r="H70" s="1">
        <v>180</v>
      </c>
      <c r="I70" s="1" t="s">
        <v>162</v>
      </c>
      <c r="J70" s="1"/>
      <c r="K70" s="1"/>
      <c r="L70" s="1">
        <f t="shared" ref="L70:L101" si="25">E70-K70</f>
        <v>339</v>
      </c>
      <c r="M70" s="1"/>
      <c r="N70" s="1"/>
      <c r="O70" s="1">
        <v>0</v>
      </c>
      <c r="P70" s="1">
        <f t="shared" ref="P70:P85" si="26">E70/5</f>
        <v>67.8</v>
      </c>
      <c r="Q70" s="5">
        <f t="shared" ref="Q69:Q71" si="27">14*P70-O70-F70</f>
        <v>642.19999999999993</v>
      </c>
      <c r="R70" s="5">
        <f>AC70*AD70</f>
        <v>672</v>
      </c>
      <c r="S70" s="1">
        <f t="shared" ref="S70:S101" si="28">(F70+O70+R70)/P70</f>
        <v>14.43952802359882</v>
      </c>
      <c r="T70" s="1">
        <f t="shared" ref="T70:T85" si="29">(F70+O70)/P70</f>
        <v>4.5280235988200594</v>
      </c>
      <c r="U70" s="1">
        <v>47.6</v>
      </c>
      <c r="V70" s="1">
        <v>36.6</v>
      </c>
      <c r="W70" s="1">
        <v>32.200000000000003</v>
      </c>
      <c r="X70" s="1">
        <v>49.6</v>
      </c>
      <c r="Y70" s="1">
        <v>27</v>
      </c>
      <c r="Z70" s="1">
        <v>26.4</v>
      </c>
      <c r="AA70" s="1"/>
      <c r="AB70" s="1">
        <f>G70*Q70</f>
        <v>160.54999999999998</v>
      </c>
      <c r="AC70" s="7">
        <v>12</v>
      </c>
      <c r="AD70" s="9">
        <f>MROUND(Q70, AC70*AF70)/AC70</f>
        <v>56</v>
      </c>
      <c r="AE70" s="1">
        <f>AD70*AC70*G70</f>
        <v>168</v>
      </c>
      <c r="AF70" s="1">
        <v>14</v>
      </c>
      <c r="AG70" s="1">
        <v>70</v>
      </c>
      <c r="AH70" s="9">
        <f>AD70/AG70</f>
        <v>0.8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21" t="s">
        <v>60</v>
      </c>
      <c r="B71" s="1" t="s">
        <v>38</v>
      </c>
      <c r="C71" s="1"/>
      <c r="D71" s="1"/>
      <c r="E71" s="19">
        <f>0+E15</f>
        <v>253</v>
      </c>
      <c r="F71" s="19">
        <f>0+F15</f>
        <v>414</v>
      </c>
      <c r="G71" s="7">
        <v>0.25</v>
      </c>
      <c r="H71" s="1">
        <v>180</v>
      </c>
      <c r="I71" s="1" t="s">
        <v>163</v>
      </c>
      <c r="J71" s="1"/>
      <c r="K71" s="1"/>
      <c r="L71" s="1">
        <f t="shared" si="25"/>
        <v>253</v>
      </c>
      <c r="M71" s="1"/>
      <c r="N71" s="1"/>
      <c r="O71" s="1">
        <v>0</v>
      </c>
      <c r="P71" s="1">
        <f t="shared" si="26"/>
        <v>50.6</v>
      </c>
      <c r="Q71" s="5">
        <f t="shared" si="27"/>
        <v>294.39999999999998</v>
      </c>
      <c r="R71" s="5">
        <f>AC71*AD71</f>
        <v>336</v>
      </c>
      <c r="S71" s="1">
        <f t="shared" si="28"/>
        <v>14.822134387351777</v>
      </c>
      <c r="T71" s="1">
        <f t="shared" si="29"/>
        <v>8.1818181818181817</v>
      </c>
      <c r="U71" s="1">
        <v>25.2</v>
      </c>
      <c r="V71" s="1">
        <v>15</v>
      </c>
      <c r="W71" s="1">
        <v>35.4</v>
      </c>
      <c r="X71" s="1">
        <v>42.4</v>
      </c>
      <c r="Y71" s="1">
        <v>25</v>
      </c>
      <c r="Z71" s="1">
        <v>8.4</v>
      </c>
      <c r="AA71" s="1"/>
      <c r="AB71" s="1">
        <f>G71*Q71</f>
        <v>73.599999999999994</v>
      </c>
      <c r="AC71" s="7">
        <v>12</v>
      </c>
      <c r="AD71" s="9">
        <f>MROUND(Q71, AC71*AF71)/AC71</f>
        <v>28</v>
      </c>
      <c r="AE71" s="1">
        <f>AD71*AC71*G71</f>
        <v>84</v>
      </c>
      <c r="AF71" s="1">
        <v>14</v>
      </c>
      <c r="AG71" s="1">
        <v>70</v>
      </c>
      <c r="AH71" s="9">
        <f>AD71/AG71</f>
        <v>0.4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164</v>
      </c>
      <c r="B72" s="14" t="s">
        <v>38</v>
      </c>
      <c r="C72" s="14">
        <v>55</v>
      </c>
      <c r="D72" s="14">
        <v>6</v>
      </c>
      <c r="E72" s="14">
        <v>9</v>
      </c>
      <c r="F72" s="14">
        <v>40</v>
      </c>
      <c r="G72" s="15">
        <v>0</v>
      </c>
      <c r="H72" s="14">
        <v>180</v>
      </c>
      <c r="I72" s="14" t="s">
        <v>165</v>
      </c>
      <c r="J72" s="14"/>
      <c r="K72" s="14">
        <v>15</v>
      </c>
      <c r="L72" s="14">
        <f t="shared" si="25"/>
        <v>-6</v>
      </c>
      <c r="M72" s="14"/>
      <c r="N72" s="14"/>
      <c r="O72" s="14"/>
      <c r="P72" s="14">
        <f t="shared" si="26"/>
        <v>1.8</v>
      </c>
      <c r="Q72" s="16"/>
      <c r="R72" s="16"/>
      <c r="S72" s="14">
        <f t="shared" si="28"/>
        <v>22.222222222222221</v>
      </c>
      <c r="T72" s="14">
        <f t="shared" si="29"/>
        <v>22.222222222222221</v>
      </c>
      <c r="U72" s="14">
        <v>1.2</v>
      </c>
      <c r="V72" s="14">
        <v>1</v>
      </c>
      <c r="W72" s="14">
        <v>0</v>
      </c>
      <c r="X72" s="14">
        <v>0.4</v>
      </c>
      <c r="Y72" s="14">
        <v>0</v>
      </c>
      <c r="Z72" s="14">
        <v>0</v>
      </c>
      <c r="AA72" s="18" t="s">
        <v>90</v>
      </c>
      <c r="AB72" s="14"/>
      <c r="AC72" s="15">
        <v>6</v>
      </c>
      <c r="AD72" s="17"/>
      <c r="AE72" s="14"/>
      <c r="AF72" s="14">
        <v>14</v>
      </c>
      <c r="AG72" s="14">
        <v>140</v>
      </c>
      <c r="AH72" s="17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1" t="s">
        <v>166</v>
      </c>
      <c r="B73" s="1" t="s">
        <v>38</v>
      </c>
      <c r="C73" s="1">
        <v>97</v>
      </c>
      <c r="D73" s="1">
        <v>7</v>
      </c>
      <c r="E73" s="1">
        <v>20</v>
      </c>
      <c r="F73" s="1">
        <v>71</v>
      </c>
      <c r="G73" s="7">
        <v>0.18</v>
      </c>
      <c r="H73" s="1">
        <v>180</v>
      </c>
      <c r="I73" s="1" t="s">
        <v>167</v>
      </c>
      <c r="J73" s="1"/>
      <c r="K73" s="1">
        <v>27</v>
      </c>
      <c r="L73" s="1">
        <f t="shared" si="25"/>
        <v>-7</v>
      </c>
      <c r="M73" s="1"/>
      <c r="N73" s="1"/>
      <c r="O73" s="1">
        <v>0</v>
      </c>
      <c r="P73" s="1">
        <f t="shared" si="26"/>
        <v>4</v>
      </c>
      <c r="Q73" s="5"/>
      <c r="R73" s="5">
        <f>AC73*AD73</f>
        <v>0</v>
      </c>
      <c r="S73" s="1">
        <f t="shared" si="28"/>
        <v>17.75</v>
      </c>
      <c r="T73" s="1">
        <f t="shared" si="29"/>
        <v>17.75</v>
      </c>
      <c r="U73" s="1">
        <v>2.2000000000000002</v>
      </c>
      <c r="V73" s="1">
        <v>1</v>
      </c>
      <c r="W73" s="1">
        <v>0</v>
      </c>
      <c r="X73" s="1">
        <v>1.6</v>
      </c>
      <c r="Y73" s="1">
        <v>3.6</v>
      </c>
      <c r="Z73" s="1">
        <v>3.6</v>
      </c>
      <c r="AA73" s="23" t="s">
        <v>85</v>
      </c>
      <c r="AB73" s="1">
        <f>G73*Q73</f>
        <v>0</v>
      </c>
      <c r="AC73" s="7">
        <v>6</v>
      </c>
      <c r="AD73" s="9">
        <f>MROUND(Q73, AC73*AF73)/AC73</f>
        <v>0</v>
      </c>
      <c r="AE73" s="1">
        <f>AD73*AC73*G73</f>
        <v>0</v>
      </c>
      <c r="AF73" s="1">
        <v>14</v>
      </c>
      <c r="AG73" s="1">
        <v>140</v>
      </c>
      <c r="AH73" s="9">
        <f>AD73/AG73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4" t="s">
        <v>168</v>
      </c>
      <c r="B74" s="14" t="s">
        <v>38</v>
      </c>
      <c r="C74" s="14">
        <v>22</v>
      </c>
      <c r="D74" s="14"/>
      <c r="E74" s="14"/>
      <c r="F74" s="14">
        <v>20</v>
      </c>
      <c r="G74" s="15">
        <v>0</v>
      </c>
      <c r="H74" s="14">
        <v>180</v>
      </c>
      <c r="I74" s="14" t="s">
        <v>165</v>
      </c>
      <c r="J74" s="14"/>
      <c r="K74" s="14"/>
      <c r="L74" s="14">
        <f t="shared" si="25"/>
        <v>0</v>
      </c>
      <c r="M74" s="14"/>
      <c r="N74" s="14"/>
      <c r="O74" s="14"/>
      <c r="P74" s="14">
        <f t="shared" si="26"/>
        <v>0</v>
      </c>
      <c r="Q74" s="16"/>
      <c r="R74" s="16"/>
      <c r="S74" s="14" t="e">
        <f t="shared" si="28"/>
        <v>#DIV/0!</v>
      </c>
      <c r="T74" s="14" t="e">
        <f t="shared" si="29"/>
        <v>#DIV/0!</v>
      </c>
      <c r="U74" s="14">
        <v>0.8</v>
      </c>
      <c r="V74" s="14">
        <v>0.8</v>
      </c>
      <c r="W74" s="14">
        <v>0</v>
      </c>
      <c r="X74" s="14">
        <v>0</v>
      </c>
      <c r="Y74" s="14">
        <v>1.2</v>
      </c>
      <c r="Z74" s="14">
        <v>1.2</v>
      </c>
      <c r="AA74" s="18" t="s">
        <v>90</v>
      </c>
      <c r="AB74" s="14"/>
      <c r="AC74" s="15">
        <v>6</v>
      </c>
      <c r="AD74" s="17"/>
      <c r="AE74" s="14"/>
      <c r="AF74" s="14">
        <v>14</v>
      </c>
      <c r="AG74" s="14">
        <v>140</v>
      </c>
      <c r="AH74" s="17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1" t="s">
        <v>169</v>
      </c>
      <c r="B75" s="1" t="s">
        <v>38</v>
      </c>
      <c r="C75" s="1">
        <v>168</v>
      </c>
      <c r="D75" s="1">
        <v>365</v>
      </c>
      <c r="E75" s="1">
        <v>169</v>
      </c>
      <c r="F75" s="1">
        <v>1</v>
      </c>
      <c r="G75" s="7">
        <v>0.3</v>
      </c>
      <c r="H75" s="1">
        <v>180</v>
      </c>
      <c r="I75" s="1" t="s">
        <v>170</v>
      </c>
      <c r="J75" s="1"/>
      <c r="K75" s="1">
        <v>248</v>
      </c>
      <c r="L75" s="1">
        <f t="shared" si="25"/>
        <v>-79</v>
      </c>
      <c r="M75" s="1"/>
      <c r="N75" s="1"/>
      <c r="O75" s="1">
        <v>0</v>
      </c>
      <c r="P75" s="1">
        <f t="shared" si="26"/>
        <v>33.799999999999997</v>
      </c>
      <c r="Q75" s="5">
        <f t="shared" ref="Q75:Q85" si="30">14*P75-O75-F75</f>
        <v>472.19999999999993</v>
      </c>
      <c r="R75" s="5">
        <f t="shared" ref="R75:R85" si="31">AC75*AD75</f>
        <v>504</v>
      </c>
      <c r="S75" s="1">
        <f t="shared" si="28"/>
        <v>14.940828402366865</v>
      </c>
      <c r="T75" s="1">
        <f t="shared" si="29"/>
        <v>2.9585798816568049E-2</v>
      </c>
      <c r="U75" s="1">
        <v>27.8</v>
      </c>
      <c r="V75" s="1">
        <v>24</v>
      </c>
      <c r="W75" s="1">
        <v>37</v>
      </c>
      <c r="X75" s="1">
        <v>37.799999999999997</v>
      </c>
      <c r="Y75" s="1">
        <v>18.600000000000001</v>
      </c>
      <c r="Z75" s="1">
        <v>5.8</v>
      </c>
      <c r="AA75" s="1"/>
      <c r="AB75" s="1">
        <f t="shared" ref="AB75:AB85" si="32">G75*Q75</f>
        <v>141.65999999999997</v>
      </c>
      <c r="AC75" s="7">
        <v>12</v>
      </c>
      <c r="AD75" s="9">
        <f t="shared" ref="AD75:AD85" si="33">MROUND(Q75, AC75*AF75)/AC75</f>
        <v>42</v>
      </c>
      <c r="AE75" s="1">
        <f t="shared" ref="AE75:AE85" si="34">AD75*AC75*G75</f>
        <v>151.19999999999999</v>
      </c>
      <c r="AF75" s="1">
        <v>14</v>
      </c>
      <c r="AG75" s="1">
        <v>70</v>
      </c>
      <c r="AH75" s="9">
        <f t="shared" ref="AH75:AH85" si="35">AD75/AG75</f>
        <v>0.6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1" t="s">
        <v>171</v>
      </c>
      <c r="B76" s="1" t="s">
        <v>38</v>
      </c>
      <c r="C76" s="1">
        <v>195</v>
      </c>
      <c r="D76" s="1">
        <v>174</v>
      </c>
      <c r="E76" s="1">
        <v>140</v>
      </c>
      <c r="F76" s="1">
        <v>199</v>
      </c>
      <c r="G76" s="7">
        <v>0.3</v>
      </c>
      <c r="H76" s="1">
        <v>180</v>
      </c>
      <c r="I76" s="1" t="s">
        <v>172</v>
      </c>
      <c r="J76" s="1"/>
      <c r="K76" s="1">
        <v>145</v>
      </c>
      <c r="L76" s="1">
        <f t="shared" si="25"/>
        <v>-5</v>
      </c>
      <c r="M76" s="1"/>
      <c r="N76" s="1"/>
      <c r="O76" s="1">
        <v>0</v>
      </c>
      <c r="P76" s="1">
        <f t="shared" si="26"/>
        <v>28</v>
      </c>
      <c r="Q76" s="5">
        <f t="shared" si="30"/>
        <v>193</v>
      </c>
      <c r="R76" s="5">
        <f t="shared" si="31"/>
        <v>168</v>
      </c>
      <c r="S76" s="1">
        <f t="shared" si="28"/>
        <v>13.107142857142858</v>
      </c>
      <c r="T76" s="1">
        <f t="shared" si="29"/>
        <v>7.1071428571428568</v>
      </c>
      <c r="U76" s="1">
        <v>31.6</v>
      </c>
      <c r="V76" s="1">
        <v>24.6</v>
      </c>
      <c r="W76" s="1">
        <v>25.8</v>
      </c>
      <c r="X76" s="1">
        <v>25.4</v>
      </c>
      <c r="Y76" s="1">
        <v>17.8</v>
      </c>
      <c r="Z76" s="1">
        <v>24</v>
      </c>
      <c r="AA76" s="1"/>
      <c r="AB76" s="1">
        <f t="shared" si="32"/>
        <v>57.9</v>
      </c>
      <c r="AC76" s="7">
        <v>12</v>
      </c>
      <c r="AD76" s="9">
        <f t="shared" si="33"/>
        <v>14</v>
      </c>
      <c r="AE76" s="1">
        <f t="shared" si="34"/>
        <v>50.4</v>
      </c>
      <c r="AF76" s="1">
        <v>14</v>
      </c>
      <c r="AG76" s="1">
        <v>70</v>
      </c>
      <c r="AH76" s="9">
        <f t="shared" si="35"/>
        <v>0.2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21" t="s">
        <v>158</v>
      </c>
      <c r="B77" s="1" t="s">
        <v>38</v>
      </c>
      <c r="C77" s="1"/>
      <c r="D77" s="1"/>
      <c r="E77" s="19">
        <f>0+E67</f>
        <v>140</v>
      </c>
      <c r="F77" s="19">
        <f>0+F67</f>
        <v>301</v>
      </c>
      <c r="G77" s="7">
        <v>0.3</v>
      </c>
      <c r="H77" s="1">
        <v>180</v>
      </c>
      <c r="I77" s="1" t="s">
        <v>173</v>
      </c>
      <c r="J77" s="1"/>
      <c r="K77" s="1"/>
      <c r="L77" s="1">
        <f t="shared" si="25"/>
        <v>140</v>
      </c>
      <c r="M77" s="1"/>
      <c r="N77" s="1"/>
      <c r="O77" s="1">
        <v>0</v>
      </c>
      <c r="P77" s="1">
        <f t="shared" si="26"/>
        <v>28</v>
      </c>
      <c r="Q77" s="5">
        <f>15*P77-O77-F77</f>
        <v>119</v>
      </c>
      <c r="R77" s="5">
        <f t="shared" si="31"/>
        <v>196</v>
      </c>
      <c r="S77" s="1">
        <f t="shared" si="28"/>
        <v>17.75</v>
      </c>
      <c r="T77" s="1">
        <f t="shared" si="29"/>
        <v>10.75</v>
      </c>
      <c r="U77" s="1">
        <v>22.2</v>
      </c>
      <c r="V77" s="1">
        <v>7.6</v>
      </c>
      <c r="W77" s="1">
        <v>24.6</v>
      </c>
      <c r="X77" s="1">
        <v>19.600000000000001</v>
      </c>
      <c r="Y77" s="1">
        <v>20.2</v>
      </c>
      <c r="Z77" s="1">
        <v>20.8</v>
      </c>
      <c r="AA77" s="1"/>
      <c r="AB77" s="1">
        <f t="shared" si="32"/>
        <v>35.699999999999996</v>
      </c>
      <c r="AC77" s="7">
        <v>14</v>
      </c>
      <c r="AD77" s="9">
        <f t="shared" si="33"/>
        <v>14</v>
      </c>
      <c r="AE77" s="1">
        <f t="shared" si="34"/>
        <v>58.8</v>
      </c>
      <c r="AF77" s="1">
        <v>14</v>
      </c>
      <c r="AG77" s="1">
        <v>70</v>
      </c>
      <c r="AH77" s="9">
        <f t="shared" si="35"/>
        <v>0.2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1" t="s">
        <v>174</v>
      </c>
      <c r="B78" s="1" t="s">
        <v>38</v>
      </c>
      <c r="C78" s="1">
        <v>84</v>
      </c>
      <c r="D78" s="1"/>
      <c r="E78" s="1">
        <v>35</v>
      </c>
      <c r="F78" s="1">
        <v>45</v>
      </c>
      <c r="G78" s="7">
        <v>0.22</v>
      </c>
      <c r="H78" s="1"/>
      <c r="I78" s="1" t="s">
        <v>175</v>
      </c>
      <c r="J78" s="1"/>
      <c r="K78" s="1">
        <v>37</v>
      </c>
      <c r="L78" s="1">
        <f t="shared" si="25"/>
        <v>-2</v>
      </c>
      <c r="M78" s="1"/>
      <c r="N78" s="1"/>
      <c r="O78" s="1">
        <v>0</v>
      </c>
      <c r="P78" s="1">
        <f t="shared" si="26"/>
        <v>7</v>
      </c>
      <c r="Q78" s="5">
        <f t="shared" si="30"/>
        <v>53</v>
      </c>
      <c r="R78" s="5">
        <f t="shared" si="31"/>
        <v>84</v>
      </c>
      <c r="S78" s="1">
        <f t="shared" si="28"/>
        <v>18.428571428571427</v>
      </c>
      <c r="T78" s="1">
        <f t="shared" si="29"/>
        <v>6.4285714285714288</v>
      </c>
      <c r="U78" s="1">
        <v>2.6</v>
      </c>
      <c r="V78" s="1">
        <v>3</v>
      </c>
      <c r="W78" s="1">
        <v>5.8</v>
      </c>
      <c r="X78" s="1">
        <v>7.4</v>
      </c>
      <c r="Y78" s="1">
        <v>4</v>
      </c>
      <c r="Z78" s="1">
        <v>0.6</v>
      </c>
      <c r="AA78" s="1"/>
      <c r="AB78" s="1">
        <f t="shared" si="32"/>
        <v>11.66</v>
      </c>
      <c r="AC78" s="7">
        <v>6</v>
      </c>
      <c r="AD78" s="9">
        <f t="shared" si="33"/>
        <v>14</v>
      </c>
      <c r="AE78" s="1">
        <f t="shared" si="34"/>
        <v>18.48</v>
      </c>
      <c r="AF78" s="1">
        <v>14</v>
      </c>
      <c r="AG78" s="1">
        <v>140</v>
      </c>
      <c r="AH78" s="9">
        <f t="shared" si="35"/>
        <v>0.1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1" t="s">
        <v>176</v>
      </c>
      <c r="B79" s="1" t="s">
        <v>38</v>
      </c>
      <c r="C79" s="1">
        <v>1008</v>
      </c>
      <c r="D79" s="1">
        <v>68</v>
      </c>
      <c r="E79" s="1">
        <v>566</v>
      </c>
      <c r="F79" s="1">
        <v>360</v>
      </c>
      <c r="G79" s="7">
        <v>0.25</v>
      </c>
      <c r="H79" s="1">
        <v>180</v>
      </c>
      <c r="I79" s="1" t="s">
        <v>177</v>
      </c>
      <c r="J79" s="1"/>
      <c r="K79" s="1">
        <v>655</v>
      </c>
      <c r="L79" s="1">
        <f t="shared" si="25"/>
        <v>-89</v>
      </c>
      <c r="M79" s="1"/>
      <c r="N79" s="1"/>
      <c r="O79" s="1">
        <v>0</v>
      </c>
      <c r="P79" s="1">
        <f t="shared" si="26"/>
        <v>113.2</v>
      </c>
      <c r="Q79" s="5">
        <f t="shared" si="30"/>
        <v>1224.8</v>
      </c>
      <c r="R79" s="5">
        <f t="shared" si="31"/>
        <v>1176</v>
      </c>
      <c r="S79" s="1">
        <f t="shared" si="28"/>
        <v>13.568904593639576</v>
      </c>
      <c r="T79" s="1">
        <f t="shared" si="29"/>
        <v>3.1802120141342756</v>
      </c>
      <c r="U79" s="1">
        <v>78</v>
      </c>
      <c r="V79" s="1">
        <v>69.8</v>
      </c>
      <c r="W79" s="1">
        <v>66.8</v>
      </c>
      <c r="X79" s="1">
        <v>124.6</v>
      </c>
      <c r="Y79" s="1">
        <v>75</v>
      </c>
      <c r="Z79" s="1">
        <v>52.6</v>
      </c>
      <c r="AA79" s="1"/>
      <c r="AB79" s="1">
        <f t="shared" si="32"/>
        <v>306.2</v>
      </c>
      <c r="AC79" s="7">
        <v>12</v>
      </c>
      <c r="AD79" s="9">
        <f t="shared" si="33"/>
        <v>98</v>
      </c>
      <c r="AE79" s="1">
        <f t="shared" si="34"/>
        <v>294</v>
      </c>
      <c r="AF79" s="1">
        <v>14</v>
      </c>
      <c r="AG79" s="1">
        <v>70</v>
      </c>
      <c r="AH79" s="9">
        <f t="shared" si="35"/>
        <v>1.4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1" t="s">
        <v>50</v>
      </c>
      <c r="B80" s="1" t="s">
        <v>38</v>
      </c>
      <c r="C80" s="1"/>
      <c r="D80" s="1">
        <v>14</v>
      </c>
      <c r="E80" s="19">
        <f>12+E10</f>
        <v>273</v>
      </c>
      <c r="F80" s="19">
        <f>-3+F10</f>
        <v>510</v>
      </c>
      <c r="G80" s="7">
        <v>0.25</v>
      </c>
      <c r="H80" s="1">
        <v>180</v>
      </c>
      <c r="I80" s="1" t="s">
        <v>178</v>
      </c>
      <c r="J80" s="1"/>
      <c r="K80" s="1">
        <v>16</v>
      </c>
      <c r="L80" s="1">
        <f t="shared" si="25"/>
        <v>257</v>
      </c>
      <c r="M80" s="1"/>
      <c r="N80" s="1"/>
      <c r="O80" s="1">
        <v>0</v>
      </c>
      <c r="P80" s="1">
        <f t="shared" si="26"/>
        <v>54.6</v>
      </c>
      <c r="Q80" s="5">
        <f t="shared" si="30"/>
        <v>254.39999999999998</v>
      </c>
      <c r="R80" s="5">
        <f t="shared" si="31"/>
        <v>336</v>
      </c>
      <c r="S80" s="1">
        <f t="shared" si="28"/>
        <v>15.494505494505495</v>
      </c>
      <c r="T80" s="1">
        <f t="shared" si="29"/>
        <v>9.3406593406593412</v>
      </c>
      <c r="U80" s="1">
        <v>33.6</v>
      </c>
      <c r="V80" s="1">
        <v>45.8</v>
      </c>
      <c r="W80" s="1">
        <v>55</v>
      </c>
      <c r="X80" s="1">
        <v>94.2</v>
      </c>
      <c r="Y80" s="1">
        <v>63</v>
      </c>
      <c r="Z80" s="1">
        <v>43</v>
      </c>
      <c r="AA80" s="1"/>
      <c r="AB80" s="1">
        <f t="shared" si="32"/>
        <v>63.599999999999994</v>
      </c>
      <c r="AC80" s="7">
        <v>12</v>
      </c>
      <c r="AD80" s="9">
        <f t="shared" si="33"/>
        <v>28</v>
      </c>
      <c r="AE80" s="1">
        <f t="shared" si="34"/>
        <v>84</v>
      </c>
      <c r="AF80" s="1">
        <v>14</v>
      </c>
      <c r="AG80" s="1">
        <v>70</v>
      </c>
      <c r="AH80" s="9">
        <f t="shared" si="35"/>
        <v>0.4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1" t="s">
        <v>179</v>
      </c>
      <c r="B81" s="1" t="s">
        <v>38</v>
      </c>
      <c r="C81" s="1">
        <v>2</v>
      </c>
      <c r="D81" s="1">
        <v>84</v>
      </c>
      <c r="E81" s="1">
        <v>10</v>
      </c>
      <c r="F81" s="1">
        <v>74</v>
      </c>
      <c r="G81" s="7">
        <v>0.2</v>
      </c>
      <c r="H81" s="1">
        <v>365</v>
      </c>
      <c r="I81" s="1" t="s">
        <v>180</v>
      </c>
      <c r="J81" s="1"/>
      <c r="K81" s="1">
        <v>14</v>
      </c>
      <c r="L81" s="1">
        <f t="shared" si="25"/>
        <v>-4</v>
      </c>
      <c r="M81" s="1"/>
      <c r="N81" s="1"/>
      <c r="O81" s="1">
        <v>84</v>
      </c>
      <c r="P81" s="1">
        <f t="shared" si="26"/>
        <v>2</v>
      </c>
      <c r="Q81" s="5"/>
      <c r="R81" s="5">
        <f t="shared" si="31"/>
        <v>0</v>
      </c>
      <c r="S81" s="1">
        <f t="shared" si="28"/>
        <v>79</v>
      </c>
      <c r="T81" s="1">
        <f t="shared" si="29"/>
        <v>79</v>
      </c>
      <c r="U81" s="1">
        <v>7.8</v>
      </c>
      <c r="V81" s="1">
        <v>9.1999999999999993</v>
      </c>
      <c r="W81" s="1">
        <v>8.6</v>
      </c>
      <c r="X81" s="1">
        <v>4.8</v>
      </c>
      <c r="Y81" s="1">
        <v>4.4000000000000004</v>
      </c>
      <c r="Z81" s="1">
        <v>7.8</v>
      </c>
      <c r="AA81" s="1"/>
      <c r="AB81" s="1">
        <f t="shared" si="32"/>
        <v>0</v>
      </c>
      <c r="AC81" s="7">
        <v>6</v>
      </c>
      <c r="AD81" s="9">
        <f t="shared" si="33"/>
        <v>0</v>
      </c>
      <c r="AE81" s="1">
        <f t="shared" si="34"/>
        <v>0</v>
      </c>
      <c r="AF81" s="1">
        <v>14</v>
      </c>
      <c r="AG81" s="1">
        <v>140</v>
      </c>
      <c r="AH81" s="9">
        <f t="shared" si="35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1" t="s">
        <v>181</v>
      </c>
      <c r="B82" s="1" t="s">
        <v>38</v>
      </c>
      <c r="C82" s="1">
        <v>168</v>
      </c>
      <c r="D82" s="1">
        <v>342</v>
      </c>
      <c r="E82" s="1">
        <v>136</v>
      </c>
      <c r="F82" s="1">
        <v>361</v>
      </c>
      <c r="G82" s="7">
        <v>0.23</v>
      </c>
      <c r="H82" s="1">
        <v>180</v>
      </c>
      <c r="I82" s="1" t="s">
        <v>182</v>
      </c>
      <c r="J82" s="1"/>
      <c r="K82" s="1">
        <v>136</v>
      </c>
      <c r="L82" s="1">
        <f t="shared" si="25"/>
        <v>0</v>
      </c>
      <c r="M82" s="1"/>
      <c r="N82" s="1"/>
      <c r="O82" s="1">
        <v>0</v>
      </c>
      <c r="P82" s="1">
        <f t="shared" si="26"/>
        <v>27.2</v>
      </c>
      <c r="Q82" s="5">
        <f>15*P82-O82-F82</f>
        <v>47</v>
      </c>
      <c r="R82" s="5">
        <f t="shared" si="31"/>
        <v>84</v>
      </c>
      <c r="S82" s="1">
        <f t="shared" si="28"/>
        <v>16.360294117647058</v>
      </c>
      <c r="T82" s="1">
        <f t="shared" si="29"/>
        <v>13.272058823529411</v>
      </c>
      <c r="U82" s="1">
        <v>12.8</v>
      </c>
      <c r="V82" s="1">
        <v>1</v>
      </c>
      <c r="W82" s="1">
        <v>24.6</v>
      </c>
      <c r="X82" s="1">
        <v>22.2</v>
      </c>
      <c r="Y82" s="1">
        <v>11.6</v>
      </c>
      <c r="Z82" s="1">
        <v>5.4</v>
      </c>
      <c r="AA82" s="1"/>
      <c r="AB82" s="1">
        <f t="shared" si="32"/>
        <v>10.81</v>
      </c>
      <c r="AC82" s="7">
        <v>6</v>
      </c>
      <c r="AD82" s="9">
        <f t="shared" si="33"/>
        <v>14</v>
      </c>
      <c r="AE82" s="1">
        <f t="shared" si="34"/>
        <v>19.32</v>
      </c>
      <c r="AF82" s="1">
        <v>14</v>
      </c>
      <c r="AG82" s="1">
        <v>140</v>
      </c>
      <c r="AH82" s="9">
        <f t="shared" si="35"/>
        <v>0.1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183</v>
      </c>
      <c r="B83" s="1" t="s">
        <v>38</v>
      </c>
      <c r="C83" s="1">
        <v>131</v>
      </c>
      <c r="D83" s="1">
        <v>91</v>
      </c>
      <c r="E83" s="1">
        <v>77</v>
      </c>
      <c r="F83" s="1">
        <v>121</v>
      </c>
      <c r="G83" s="7">
        <v>0.23</v>
      </c>
      <c r="H83" s="1"/>
      <c r="I83" s="1" t="s">
        <v>175</v>
      </c>
      <c r="J83" s="1"/>
      <c r="K83" s="1">
        <v>82</v>
      </c>
      <c r="L83" s="1">
        <f t="shared" si="25"/>
        <v>-5</v>
      </c>
      <c r="M83" s="1"/>
      <c r="N83" s="1"/>
      <c r="O83" s="1">
        <v>168</v>
      </c>
      <c r="P83" s="1">
        <f t="shared" si="26"/>
        <v>15.4</v>
      </c>
      <c r="Q83" s="5"/>
      <c r="R83" s="5">
        <f t="shared" si="31"/>
        <v>0</v>
      </c>
      <c r="S83" s="1">
        <f t="shared" si="28"/>
        <v>18.766233766233764</v>
      </c>
      <c r="T83" s="1">
        <f t="shared" si="29"/>
        <v>18.766233766233764</v>
      </c>
      <c r="U83" s="1">
        <v>20.399999999999999</v>
      </c>
      <c r="V83" s="1">
        <v>21.8</v>
      </c>
      <c r="W83" s="1">
        <v>17.2</v>
      </c>
      <c r="X83" s="1">
        <v>20</v>
      </c>
      <c r="Y83" s="1">
        <v>14.2</v>
      </c>
      <c r="Z83" s="1">
        <v>5</v>
      </c>
      <c r="AA83" s="1"/>
      <c r="AB83" s="1">
        <f t="shared" si="32"/>
        <v>0</v>
      </c>
      <c r="AC83" s="7">
        <v>6</v>
      </c>
      <c r="AD83" s="9">
        <f t="shared" si="33"/>
        <v>0</v>
      </c>
      <c r="AE83" s="1">
        <f t="shared" si="34"/>
        <v>0</v>
      </c>
      <c r="AF83" s="1">
        <v>14</v>
      </c>
      <c r="AG83" s="1">
        <v>140</v>
      </c>
      <c r="AH83" s="9">
        <f t="shared" si="35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184</v>
      </c>
      <c r="B84" s="1" t="s">
        <v>88</v>
      </c>
      <c r="C84" s="1">
        <v>18.899999999999999</v>
      </c>
      <c r="D84" s="1"/>
      <c r="E84" s="1"/>
      <c r="F84" s="1">
        <v>18.899999999999999</v>
      </c>
      <c r="G84" s="7">
        <v>1</v>
      </c>
      <c r="H84" s="1">
        <v>180</v>
      </c>
      <c r="I84" s="1" t="s">
        <v>185</v>
      </c>
      <c r="J84" s="1"/>
      <c r="K84" s="1"/>
      <c r="L84" s="1">
        <f t="shared" si="25"/>
        <v>0</v>
      </c>
      <c r="M84" s="1"/>
      <c r="N84" s="1"/>
      <c r="O84" s="1">
        <v>0</v>
      </c>
      <c r="P84" s="1">
        <f t="shared" si="26"/>
        <v>0</v>
      </c>
      <c r="Q84" s="5"/>
      <c r="R84" s="5">
        <f t="shared" si="31"/>
        <v>0</v>
      </c>
      <c r="S84" s="1" t="e">
        <f t="shared" si="28"/>
        <v>#DIV/0!</v>
      </c>
      <c r="T84" s="1" t="e">
        <f t="shared" si="29"/>
        <v>#DIV/0!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8" t="s">
        <v>90</v>
      </c>
      <c r="AB84" s="1">
        <f t="shared" si="32"/>
        <v>0</v>
      </c>
      <c r="AC84" s="7">
        <v>2.7</v>
      </c>
      <c r="AD84" s="9">
        <f t="shared" si="33"/>
        <v>0</v>
      </c>
      <c r="AE84" s="1">
        <f t="shared" si="34"/>
        <v>0</v>
      </c>
      <c r="AF84" s="1">
        <v>14</v>
      </c>
      <c r="AG84" s="1">
        <v>126</v>
      </c>
      <c r="AH84" s="9">
        <f t="shared" si="35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186</v>
      </c>
      <c r="B85" s="1" t="s">
        <v>88</v>
      </c>
      <c r="C85" s="1">
        <v>100</v>
      </c>
      <c r="D85" s="1">
        <v>10</v>
      </c>
      <c r="E85" s="1">
        <v>70</v>
      </c>
      <c r="F85" s="1">
        <v>25</v>
      </c>
      <c r="G85" s="7">
        <v>1</v>
      </c>
      <c r="H85" s="1">
        <v>180</v>
      </c>
      <c r="I85" s="1" t="s">
        <v>187</v>
      </c>
      <c r="J85" s="1"/>
      <c r="K85" s="1">
        <v>75</v>
      </c>
      <c r="L85" s="1">
        <f t="shared" si="25"/>
        <v>-5</v>
      </c>
      <c r="M85" s="1"/>
      <c r="N85" s="1"/>
      <c r="O85" s="1">
        <v>120</v>
      </c>
      <c r="P85" s="1">
        <f t="shared" si="26"/>
        <v>14</v>
      </c>
      <c r="Q85" s="5">
        <f t="shared" si="30"/>
        <v>51</v>
      </c>
      <c r="R85" s="5">
        <f t="shared" si="31"/>
        <v>60</v>
      </c>
      <c r="S85" s="1">
        <f t="shared" si="28"/>
        <v>14.642857142857142</v>
      </c>
      <c r="T85" s="1">
        <f t="shared" si="29"/>
        <v>10.357142857142858</v>
      </c>
      <c r="U85" s="1">
        <v>9</v>
      </c>
      <c r="V85" s="1">
        <v>16</v>
      </c>
      <c r="W85" s="1">
        <v>10</v>
      </c>
      <c r="X85" s="1">
        <v>10</v>
      </c>
      <c r="Y85" s="1">
        <v>8</v>
      </c>
      <c r="Z85" s="1">
        <v>8</v>
      </c>
      <c r="AA85" s="1"/>
      <c r="AB85" s="1">
        <f t="shared" si="32"/>
        <v>51</v>
      </c>
      <c r="AC85" s="7">
        <v>5</v>
      </c>
      <c r="AD85" s="9">
        <f t="shared" si="33"/>
        <v>12</v>
      </c>
      <c r="AE85" s="1">
        <f t="shared" si="34"/>
        <v>60</v>
      </c>
      <c r="AF85" s="1">
        <v>12</v>
      </c>
      <c r="AG85" s="1">
        <v>84</v>
      </c>
      <c r="AH85" s="9">
        <f t="shared" si="35"/>
        <v>0.14285714285714285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H8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2026-10-22T15:29:33Z</dcterms:created>
  <dcterms:modified xsi:type="dcterms:W3CDTF">2026-10-22T15:41:08Z</dcterms:modified>
</cp:coreProperties>
</file>