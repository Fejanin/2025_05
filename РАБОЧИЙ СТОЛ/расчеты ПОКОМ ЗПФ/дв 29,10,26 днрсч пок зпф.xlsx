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4D6B9E2E-05A8-4DBD-A68C-68234AD5BC0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5" i="1" l="1"/>
  <c r="R8" i="1"/>
  <c r="U55" i="1" l="1"/>
  <c r="T5" i="1"/>
  <c r="P87" i="1" l="1"/>
  <c r="L87" i="1"/>
  <c r="P86" i="1"/>
  <c r="W86" i="1" s="1"/>
  <c r="L86" i="1"/>
  <c r="P85" i="1"/>
  <c r="L85" i="1"/>
  <c r="P84" i="1"/>
  <c r="L84" i="1"/>
  <c r="P83" i="1"/>
  <c r="L83" i="1"/>
  <c r="F82" i="1"/>
  <c r="E82" i="1"/>
  <c r="L82" i="1" s="1"/>
  <c r="F81" i="1"/>
  <c r="E81" i="1"/>
  <c r="P81" i="1" s="1"/>
  <c r="P80" i="1"/>
  <c r="W80" i="1" s="1"/>
  <c r="L80" i="1"/>
  <c r="F79" i="1"/>
  <c r="E79" i="1"/>
  <c r="P79" i="1" s="1"/>
  <c r="P78" i="1"/>
  <c r="L78" i="1"/>
  <c r="P77" i="1"/>
  <c r="L77" i="1"/>
  <c r="P76" i="1"/>
  <c r="W76" i="1" s="1"/>
  <c r="L76" i="1"/>
  <c r="P75" i="1"/>
  <c r="W75" i="1" s="1"/>
  <c r="L75" i="1"/>
  <c r="P74" i="1"/>
  <c r="V74" i="1" s="1"/>
  <c r="L74" i="1"/>
  <c r="F73" i="1"/>
  <c r="E73" i="1"/>
  <c r="L73" i="1" s="1"/>
  <c r="F72" i="1"/>
  <c r="E72" i="1"/>
  <c r="L72" i="1" s="1"/>
  <c r="P71" i="1"/>
  <c r="L71" i="1"/>
  <c r="P70" i="1"/>
  <c r="W70" i="1" s="1"/>
  <c r="L70" i="1"/>
  <c r="P69" i="1"/>
  <c r="W69" i="1" s="1"/>
  <c r="L69" i="1"/>
  <c r="P68" i="1"/>
  <c r="W68" i="1" s="1"/>
  <c r="L68" i="1"/>
  <c r="P67" i="1"/>
  <c r="W67" i="1" s="1"/>
  <c r="L67" i="1"/>
  <c r="P66" i="1"/>
  <c r="V66" i="1" s="1"/>
  <c r="L66" i="1"/>
  <c r="P65" i="1"/>
  <c r="W65" i="1" s="1"/>
  <c r="L65" i="1"/>
  <c r="P64" i="1"/>
  <c r="W64" i="1" s="1"/>
  <c r="L64" i="1"/>
  <c r="F63" i="1"/>
  <c r="AK63" i="1" s="1"/>
  <c r="AO63" i="1" s="1"/>
  <c r="E63" i="1"/>
  <c r="P63" i="1" s="1"/>
  <c r="P62" i="1"/>
  <c r="V62" i="1" s="1"/>
  <c r="L62" i="1"/>
  <c r="F61" i="1"/>
  <c r="E61" i="1"/>
  <c r="P61" i="1" s="1"/>
  <c r="P60" i="1"/>
  <c r="W60" i="1" s="1"/>
  <c r="L60" i="1"/>
  <c r="P59" i="1"/>
  <c r="W59" i="1" s="1"/>
  <c r="L59" i="1"/>
  <c r="P58" i="1"/>
  <c r="W58" i="1" s="1"/>
  <c r="L58" i="1"/>
  <c r="P57" i="1"/>
  <c r="R57" i="1" s="1"/>
  <c r="L57" i="1"/>
  <c r="P56" i="1"/>
  <c r="W56" i="1" s="1"/>
  <c r="L56" i="1"/>
  <c r="P55" i="1"/>
  <c r="W55" i="1" s="1"/>
  <c r="L55" i="1"/>
  <c r="P54" i="1"/>
  <c r="L54" i="1"/>
  <c r="P53" i="1"/>
  <c r="L53" i="1"/>
  <c r="P52" i="1"/>
  <c r="L52" i="1"/>
  <c r="P51" i="1"/>
  <c r="R51" i="1" s="1"/>
  <c r="L51" i="1"/>
  <c r="P50" i="1"/>
  <c r="W50" i="1" s="1"/>
  <c r="L50" i="1"/>
  <c r="P49" i="1"/>
  <c r="L49" i="1"/>
  <c r="P48" i="1"/>
  <c r="W48" i="1" s="1"/>
  <c r="L48" i="1"/>
  <c r="P47" i="1"/>
  <c r="L47" i="1"/>
  <c r="P46" i="1"/>
  <c r="L46" i="1"/>
  <c r="P45" i="1"/>
  <c r="R45" i="1" s="1"/>
  <c r="L45" i="1"/>
  <c r="P44" i="1"/>
  <c r="W44" i="1" s="1"/>
  <c r="L44" i="1"/>
  <c r="P43" i="1"/>
  <c r="L43" i="1"/>
  <c r="P42" i="1"/>
  <c r="W42" i="1" s="1"/>
  <c r="L42" i="1"/>
  <c r="F41" i="1"/>
  <c r="E41" i="1"/>
  <c r="P41" i="1" s="1"/>
  <c r="P40" i="1"/>
  <c r="W40" i="1" s="1"/>
  <c r="L40" i="1"/>
  <c r="P39" i="1"/>
  <c r="L39" i="1"/>
  <c r="P38" i="1"/>
  <c r="L38" i="1"/>
  <c r="P37" i="1"/>
  <c r="L37" i="1"/>
  <c r="F36" i="1"/>
  <c r="E36" i="1"/>
  <c r="P36" i="1" s="1"/>
  <c r="P35" i="1"/>
  <c r="V35" i="1" s="1"/>
  <c r="L35" i="1"/>
  <c r="P34" i="1"/>
  <c r="L34" i="1"/>
  <c r="F33" i="1"/>
  <c r="E33" i="1"/>
  <c r="P33" i="1" s="1"/>
  <c r="P32" i="1"/>
  <c r="W32" i="1" s="1"/>
  <c r="L32" i="1"/>
  <c r="F31" i="1"/>
  <c r="E31" i="1"/>
  <c r="L31" i="1" s="1"/>
  <c r="P30" i="1"/>
  <c r="L30" i="1"/>
  <c r="P29" i="1"/>
  <c r="L29" i="1"/>
  <c r="F28" i="1"/>
  <c r="E28" i="1"/>
  <c r="P28" i="1" s="1"/>
  <c r="F27" i="1"/>
  <c r="E27" i="1"/>
  <c r="P27" i="1" s="1"/>
  <c r="P26" i="1"/>
  <c r="L26" i="1"/>
  <c r="P25" i="1"/>
  <c r="W25" i="1" s="1"/>
  <c r="L25" i="1"/>
  <c r="P24" i="1"/>
  <c r="W24" i="1" s="1"/>
  <c r="L24" i="1"/>
  <c r="F23" i="1"/>
  <c r="E23" i="1"/>
  <c r="P23" i="1" s="1"/>
  <c r="F22" i="1"/>
  <c r="E22" i="1"/>
  <c r="P22" i="1" s="1"/>
  <c r="P21" i="1"/>
  <c r="W21" i="1" s="1"/>
  <c r="L21" i="1"/>
  <c r="P20" i="1"/>
  <c r="V20" i="1" s="1"/>
  <c r="L20" i="1"/>
  <c r="P19" i="1"/>
  <c r="L19" i="1"/>
  <c r="F18" i="1"/>
  <c r="E18" i="1"/>
  <c r="P18" i="1" s="1"/>
  <c r="P17" i="1"/>
  <c r="V17" i="1" s="1"/>
  <c r="L17" i="1"/>
  <c r="P16" i="1"/>
  <c r="W16" i="1" s="1"/>
  <c r="L16" i="1"/>
  <c r="F15" i="1"/>
  <c r="E15" i="1"/>
  <c r="P15" i="1" s="1"/>
  <c r="P14" i="1"/>
  <c r="W14" i="1" s="1"/>
  <c r="L14" i="1"/>
  <c r="P13" i="1"/>
  <c r="W13" i="1" s="1"/>
  <c r="L13" i="1"/>
  <c r="P12" i="1"/>
  <c r="W12" i="1" s="1"/>
  <c r="L12" i="1"/>
  <c r="P11" i="1"/>
  <c r="V11" i="1" s="1"/>
  <c r="L11" i="1"/>
  <c r="F10" i="1"/>
  <c r="E10" i="1"/>
  <c r="P10" i="1" s="1"/>
  <c r="P9" i="1"/>
  <c r="W9" i="1" s="1"/>
  <c r="L9" i="1"/>
  <c r="P8" i="1"/>
  <c r="W8" i="1" s="1"/>
  <c r="L8" i="1"/>
  <c r="P7" i="1"/>
  <c r="W7" i="1" s="1"/>
  <c r="L7" i="1"/>
  <c r="P6" i="1"/>
  <c r="V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R15" i="1" l="1"/>
  <c r="R18" i="1"/>
  <c r="R22" i="1"/>
  <c r="R23" i="1"/>
  <c r="AK23" i="1" s="1"/>
  <c r="R27" i="1"/>
  <c r="R28" i="1"/>
  <c r="R33" i="1"/>
  <c r="R36" i="1"/>
  <c r="R41" i="1"/>
  <c r="R79" i="1"/>
  <c r="AK79" i="1" s="1"/>
  <c r="S79" i="1" s="1"/>
  <c r="V79" i="1" s="1"/>
  <c r="R81" i="1"/>
  <c r="W19" i="1"/>
  <c r="R19" i="1"/>
  <c r="W26" i="1"/>
  <c r="R26" i="1"/>
  <c r="W29" i="1"/>
  <c r="R29" i="1"/>
  <c r="W34" i="1"/>
  <c r="R34" i="1"/>
  <c r="W38" i="1"/>
  <c r="R38" i="1"/>
  <c r="W39" i="1"/>
  <c r="R39" i="1"/>
  <c r="W43" i="1"/>
  <c r="W46" i="1"/>
  <c r="R46" i="1"/>
  <c r="W47" i="1"/>
  <c r="R47" i="1"/>
  <c r="W49" i="1"/>
  <c r="R49" i="1"/>
  <c r="W52" i="1"/>
  <c r="R52" i="1"/>
  <c r="W53" i="1"/>
  <c r="R53" i="1"/>
  <c r="W54" i="1"/>
  <c r="R54" i="1"/>
  <c r="W71" i="1"/>
  <c r="R71" i="1"/>
  <c r="W77" i="1"/>
  <c r="R77" i="1"/>
  <c r="W83" i="1"/>
  <c r="R83" i="1"/>
  <c r="W84" i="1"/>
  <c r="R84" i="1"/>
  <c r="W85" i="1"/>
  <c r="R85" i="1"/>
  <c r="AI85" i="1" s="1"/>
  <c r="W41" i="1"/>
  <c r="AK15" i="1"/>
  <c r="W51" i="1"/>
  <c r="W18" i="1"/>
  <c r="AI81" i="1"/>
  <c r="P82" i="1"/>
  <c r="AK33" i="1"/>
  <c r="AO33" i="1" s="1"/>
  <c r="V76" i="1"/>
  <c r="W57" i="1"/>
  <c r="AK10" i="1"/>
  <c r="S10" i="1" s="1"/>
  <c r="V10" i="1" s="1"/>
  <c r="AI52" i="1"/>
  <c r="W20" i="1"/>
  <c r="W78" i="1"/>
  <c r="L79" i="1"/>
  <c r="AK32" i="1"/>
  <c r="AL32" i="1" s="1"/>
  <c r="AI34" i="1"/>
  <c r="AK38" i="1"/>
  <c r="AO38" i="1" s="1"/>
  <c r="W63" i="1"/>
  <c r="W81" i="1"/>
  <c r="W11" i="1"/>
  <c r="AK55" i="1"/>
  <c r="AL55" i="1" s="1"/>
  <c r="W30" i="1"/>
  <c r="AK27" i="1"/>
  <c r="AK58" i="1"/>
  <c r="AO58" i="1" s="1"/>
  <c r="W28" i="1"/>
  <c r="AK71" i="1"/>
  <c r="AO71" i="1" s="1"/>
  <c r="AK86" i="1"/>
  <c r="AO86" i="1" s="1"/>
  <c r="W22" i="1"/>
  <c r="AK51" i="1"/>
  <c r="AO51" i="1" s="1"/>
  <c r="AI51" i="1"/>
  <c r="AK30" i="1"/>
  <c r="AL30" i="1" s="1"/>
  <c r="AI30" i="1"/>
  <c r="AI61" i="1"/>
  <c r="AK61" i="1"/>
  <c r="S61" i="1" s="1"/>
  <c r="V61" i="1" s="1"/>
  <c r="AI87" i="1"/>
  <c r="AK87" i="1"/>
  <c r="AL87" i="1" s="1"/>
  <c r="AK78" i="1"/>
  <c r="AO78" i="1" s="1"/>
  <c r="AI78" i="1"/>
  <c r="AI15" i="1"/>
  <c r="AK45" i="1"/>
  <c r="AO45" i="1" s="1"/>
  <c r="AI45" i="1"/>
  <c r="AK37" i="1"/>
  <c r="S37" i="1" s="1"/>
  <c r="V37" i="1" s="1"/>
  <c r="AI37" i="1"/>
  <c r="AK57" i="1"/>
  <c r="AL57" i="1" s="1"/>
  <c r="AI57" i="1"/>
  <c r="E5" i="1"/>
  <c r="AK59" i="1"/>
  <c r="S59" i="1" s="1"/>
  <c r="V59" i="1" s="1"/>
  <c r="W45" i="1"/>
  <c r="W36" i="1"/>
  <c r="L22" i="1"/>
  <c r="W27" i="1"/>
  <c r="W62" i="1"/>
  <c r="L10" i="1"/>
  <c r="W23" i="1"/>
  <c r="W37" i="1"/>
  <c r="F5" i="1"/>
  <c r="AI63" i="1"/>
  <c r="P72" i="1"/>
  <c r="W87" i="1"/>
  <c r="V65" i="1"/>
  <c r="W6" i="1"/>
  <c r="V13" i="1"/>
  <c r="W79" i="1"/>
  <c r="AI10" i="1"/>
  <c r="L18" i="1"/>
  <c r="L28" i="1"/>
  <c r="L36" i="1"/>
  <c r="V67" i="1"/>
  <c r="W10" i="1"/>
  <c r="L41" i="1"/>
  <c r="V70" i="1"/>
  <c r="L81" i="1"/>
  <c r="W15" i="1"/>
  <c r="W33" i="1"/>
  <c r="L15" i="1"/>
  <c r="V64" i="1"/>
  <c r="V69" i="1"/>
  <c r="W74" i="1"/>
  <c r="W61" i="1"/>
  <c r="W17" i="1"/>
  <c r="L27" i="1"/>
  <c r="L33" i="1"/>
  <c r="P31" i="1"/>
  <c r="W35" i="1"/>
  <c r="L23" i="1"/>
  <c r="L63" i="1"/>
  <c r="W66" i="1"/>
  <c r="P73" i="1"/>
  <c r="R73" i="1" s="1"/>
  <c r="V12" i="1"/>
  <c r="V21" i="1"/>
  <c r="V9" i="1"/>
  <c r="S63" i="1"/>
  <c r="V63" i="1" s="1"/>
  <c r="AL63" i="1"/>
  <c r="V68" i="1"/>
  <c r="L61" i="1"/>
  <c r="V7" i="1"/>
  <c r="V14" i="1"/>
  <c r="R82" i="1" l="1"/>
  <c r="AK82" i="1" s="1"/>
  <c r="AI79" i="1"/>
  <c r="AK81" i="1"/>
  <c r="S81" i="1" s="1"/>
  <c r="V81" i="1" s="1"/>
  <c r="W82" i="1"/>
  <c r="AL10" i="1"/>
  <c r="AO10" i="1"/>
  <c r="AK34" i="1"/>
  <c r="AL34" i="1" s="1"/>
  <c r="AL15" i="1"/>
  <c r="S15" i="1"/>
  <c r="V15" i="1" s="1"/>
  <c r="AI33" i="1"/>
  <c r="AI38" i="1"/>
  <c r="AK52" i="1"/>
  <c r="AL52" i="1" s="1"/>
  <c r="AO15" i="1"/>
  <c r="AL33" i="1"/>
  <c r="S38" i="1"/>
  <c r="V38" i="1" s="1"/>
  <c r="S51" i="1"/>
  <c r="V51" i="1" s="1"/>
  <c r="AL51" i="1"/>
  <c r="AO32" i="1"/>
  <c r="AI55" i="1"/>
  <c r="AL45" i="1"/>
  <c r="V42" i="1"/>
  <c r="AI32" i="1"/>
  <c r="AK84" i="1"/>
  <c r="AI84" i="1"/>
  <c r="S33" i="1"/>
  <c r="V33" i="1" s="1"/>
  <c r="AO30" i="1"/>
  <c r="AO55" i="1"/>
  <c r="S32" i="1"/>
  <c r="V32" i="1" s="1"/>
  <c r="S30" i="1"/>
  <c r="V30" i="1" s="1"/>
  <c r="AL38" i="1"/>
  <c r="AL79" i="1"/>
  <c r="AO23" i="1"/>
  <c r="AL23" i="1"/>
  <c r="AO27" i="1"/>
  <c r="AL27" i="1"/>
  <c r="AK85" i="1"/>
  <c r="S85" i="1" s="1"/>
  <c r="V85" i="1" s="1"/>
  <c r="AI71" i="1"/>
  <c r="AI58" i="1"/>
  <c r="AI27" i="1"/>
  <c r="AO59" i="1"/>
  <c r="AI59" i="1"/>
  <c r="AI23" i="1"/>
  <c r="S55" i="1"/>
  <c r="V55" i="1" s="1"/>
  <c r="AO61" i="1"/>
  <c r="AL71" i="1"/>
  <c r="AL61" i="1"/>
  <c r="AL86" i="1"/>
  <c r="S71" i="1"/>
  <c r="V71" i="1" s="1"/>
  <c r="AO37" i="1"/>
  <c r="AL58" i="1"/>
  <c r="AL37" i="1"/>
  <c r="AI86" i="1"/>
  <c r="S58" i="1"/>
  <c r="V58" i="1" s="1"/>
  <c r="S45" i="1"/>
  <c r="V45" i="1" s="1"/>
  <c r="S86" i="1"/>
  <c r="V86" i="1" s="1"/>
  <c r="AK47" i="1"/>
  <c r="AI47" i="1"/>
  <c r="W72" i="1"/>
  <c r="AI83" i="1"/>
  <c r="AK83" i="1"/>
  <c r="AK26" i="1"/>
  <c r="AI26" i="1"/>
  <c r="AI39" i="1"/>
  <c r="AK39" i="1"/>
  <c r="AI53" i="1"/>
  <c r="AK53" i="1"/>
  <c r="P5" i="1"/>
  <c r="AK80" i="1"/>
  <c r="AI80" i="1"/>
  <c r="AK75" i="1"/>
  <c r="AI75" i="1"/>
  <c r="AO87" i="1"/>
  <c r="S87" i="1"/>
  <c r="V87" i="1" s="1"/>
  <c r="W31" i="1"/>
  <c r="AK50" i="1"/>
  <c r="AI50" i="1"/>
  <c r="AK46" i="1"/>
  <c r="AI46" i="1"/>
  <c r="AO57" i="1"/>
  <c r="S57" i="1"/>
  <c r="V57" i="1" s="1"/>
  <c r="AK29" i="1"/>
  <c r="AI29" i="1"/>
  <c r="AK25" i="1"/>
  <c r="AI25" i="1"/>
  <c r="AL59" i="1"/>
  <c r="AL78" i="1"/>
  <c r="AK24" i="1"/>
  <c r="AI24" i="1"/>
  <c r="AK40" i="1"/>
  <c r="AI40" i="1"/>
  <c r="AI44" i="1"/>
  <c r="AK44" i="1"/>
  <c r="AI49" i="1"/>
  <c r="AK49" i="1"/>
  <c r="AI43" i="1"/>
  <c r="AK43" i="1"/>
  <c r="W73" i="1"/>
  <c r="AK28" i="1"/>
  <c r="AI28" i="1"/>
  <c r="AK19" i="1"/>
  <c r="AI19" i="1"/>
  <c r="AK77" i="1"/>
  <c r="AI77" i="1"/>
  <c r="S27" i="1"/>
  <c r="V27" i="1" s="1"/>
  <c r="AK56" i="1"/>
  <c r="AI56" i="1"/>
  <c r="AK41" i="1"/>
  <c r="AI41" i="1"/>
  <c r="AK36" i="1"/>
  <c r="AI36" i="1"/>
  <c r="AK18" i="1"/>
  <c r="AI18" i="1"/>
  <c r="AK22" i="1"/>
  <c r="AI22" i="1"/>
  <c r="AK16" i="1"/>
  <c r="AI16" i="1"/>
  <c r="AK8" i="1"/>
  <c r="AI8" i="1"/>
  <c r="S23" i="1"/>
  <c r="V23" i="1" s="1"/>
  <c r="AO79" i="1"/>
  <c r="S78" i="1"/>
  <c r="V78" i="1" s="1"/>
  <c r="AK54" i="1"/>
  <c r="AI54" i="1"/>
  <c r="AK48" i="1"/>
  <c r="AI48" i="1"/>
  <c r="AI60" i="1"/>
  <c r="AK60" i="1"/>
  <c r="L5" i="1"/>
  <c r="AO82" i="1" l="1"/>
  <c r="AL82" i="1"/>
  <c r="S82" i="1"/>
  <c r="V82" i="1" s="1"/>
  <c r="R5" i="1"/>
  <c r="AI82" i="1"/>
  <c r="AO81" i="1"/>
  <c r="AL81" i="1"/>
  <c r="AO85" i="1"/>
  <c r="AO34" i="1"/>
  <c r="S34" i="1"/>
  <c r="V34" i="1" s="1"/>
  <c r="AL85" i="1"/>
  <c r="S52" i="1"/>
  <c r="V52" i="1" s="1"/>
  <c r="AO52" i="1"/>
  <c r="S84" i="1"/>
  <c r="V84" i="1" s="1"/>
  <c r="AL84" i="1"/>
  <c r="AO84" i="1"/>
  <c r="S48" i="1"/>
  <c r="V48" i="1" s="1"/>
  <c r="AO48" i="1"/>
  <c r="AL48" i="1"/>
  <c r="S24" i="1"/>
  <c r="V24" i="1" s="1"/>
  <c r="AL24" i="1"/>
  <c r="AO24" i="1"/>
  <c r="S41" i="1"/>
  <c r="V41" i="1" s="1"/>
  <c r="AL41" i="1"/>
  <c r="AO41" i="1"/>
  <c r="AL80" i="1"/>
  <c r="AO80" i="1"/>
  <c r="S80" i="1"/>
  <c r="V80" i="1" s="1"/>
  <c r="AO54" i="1"/>
  <c r="AL54" i="1"/>
  <c r="S54" i="1"/>
  <c r="V54" i="1" s="1"/>
  <c r="S36" i="1"/>
  <c r="V36" i="1" s="1"/>
  <c r="AO36" i="1"/>
  <c r="AL36" i="1"/>
  <c r="AO25" i="1"/>
  <c r="S25" i="1"/>
  <c r="V25" i="1" s="1"/>
  <c r="AL25" i="1"/>
  <c r="AL8" i="1"/>
  <c r="S8" i="1"/>
  <c r="AO8" i="1"/>
  <c r="AI73" i="1"/>
  <c r="AK73" i="1"/>
  <c r="AO53" i="1"/>
  <c r="S53" i="1"/>
  <c r="V53" i="1" s="1"/>
  <c r="AL53" i="1"/>
  <c r="AL26" i="1"/>
  <c r="AO26" i="1"/>
  <c r="S26" i="1"/>
  <c r="V26" i="1" s="1"/>
  <c r="AO56" i="1"/>
  <c r="S56" i="1"/>
  <c r="V56" i="1" s="1"/>
  <c r="AL56" i="1"/>
  <c r="S83" i="1"/>
  <c r="V83" i="1" s="1"/>
  <c r="AL83" i="1"/>
  <c r="AO83" i="1"/>
  <c r="AL75" i="1"/>
  <c r="AO75" i="1"/>
  <c r="S75" i="1"/>
  <c r="V75" i="1" s="1"/>
  <c r="S50" i="1"/>
  <c r="V50" i="1" s="1"/>
  <c r="AO50" i="1"/>
  <c r="AL50" i="1"/>
  <c r="AL49" i="1"/>
  <c r="S49" i="1"/>
  <c r="V49" i="1" s="1"/>
  <c r="AO49" i="1"/>
  <c r="AK72" i="1"/>
  <c r="AI72" i="1"/>
  <c r="AO40" i="1"/>
  <c r="S40" i="1"/>
  <c r="V40" i="1" s="1"/>
  <c r="AL40" i="1"/>
  <c r="S77" i="1"/>
  <c r="V77" i="1" s="1"/>
  <c r="AO77" i="1"/>
  <c r="AL77" i="1"/>
  <c r="AO29" i="1"/>
  <c r="S29" i="1"/>
  <c r="V29" i="1" s="1"/>
  <c r="AL29" i="1"/>
  <c r="S28" i="1"/>
  <c r="V28" i="1" s="1"/>
  <c r="AO28" i="1"/>
  <c r="AL28" i="1"/>
  <c r="AL43" i="1"/>
  <c r="S43" i="1"/>
  <c r="V43" i="1" s="1"/>
  <c r="AO43" i="1"/>
  <c r="S19" i="1"/>
  <c r="V19" i="1" s="1"/>
  <c r="AL19" i="1"/>
  <c r="AO19" i="1"/>
  <c r="AO46" i="1"/>
  <c r="AL46" i="1"/>
  <c r="S46" i="1"/>
  <c r="V46" i="1" s="1"/>
  <c r="AL18" i="1"/>
  <c r="AO18" i="1"/>
  <c r="S18" i="1"/>
  <c r="V18" i="1" s="1"/>
  <c r="AO44" i="1"/>
  <c r="S44" i="1"/>
  <c r="V44" i="1" s="1"/>
  <c r="AL44" i="1"/>
  <c r="AK31" i="1"/>
  <c r="AI31" i="1"/>
  <c r="S39" i="1"/>
  <c r="V39" i="1" s="1"/>
  <c r="AL39" i="1"/>
  <c r="AO39" i="1"/>
  <c r="AO16" i="1"/>
  <c r="AL16" i="1"/>
  <c r="S16" i="1"/>
  <c r="V16" i="1" s="1"/>
  <c r="S22" i="1"/>
  <c r="V22" i="1" s="1"/>
  <c r="AL22" i="1"/>
  <c r="AO22" i="1"/>
  <c r="AO60" i="1"/>
  <c r="S60" i="1"/>
  <c r="V60" i="1" s="1"/>
  <c r="AL60" i="1"/>
  <c r="AO47" i="1"/>
  <c r="S47" i="1"/>
  <c r="V47" i="1" s="1"/>
  <c r="AL47" i="1"/>
  <c r="AK5" i="1" l="1"/>
  <c r="AK1" i="1" s="1"/>
  <c r="AI5" i="1"/>
  <c r="AO31" i="1"/>
  <c r="S31" i="1"/>
  <c r="V31" i="1" s="1"/>
  <c r="AL31" i="1"/>
  <c r="AL73" i="1"/>
  <c r="AO73" i="1"/>
  <c r="S73" i="1"/>
  <c r="V73" i="1" s="1"/>
  <c r="V8" i="1"/>
  <c r="AO72" i="1"/>
  <c r="AL72" i="1"/>
  <c r="S72" i="1"/>
  <c r="V72" i="1" s="1"/>
  <c r="AO5" i="1" l="1"/>
  <c r="AL5" i="1"/>
  <c r="S5" i="1"/>
</calcChain>
</file>

<file path=xl/sharedStrings.xml><?xml version="1.0" encoding="utf-8"?>
<sst xmlns="http://schemas.openxmlformats.org/spreadsheetml/2006/main" count="334" uniqueCount="198">
  <si>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</si>
  <si>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</si>
  <si>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</si>
  <si>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</si>
  <si>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</si>
  <si>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</si>
  <si>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</si>
  <si>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</si>
  <si>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</si>
  <si>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</si>
  <si>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</si>
  <si>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</si>
  <si>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</si>
  <si>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</si>
  <si>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</si>
  <si>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</si>
  <si>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</si>
  <si>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</si>
  <si>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</si>
  <si>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</si>
  <si>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</si>
  <si>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</si>
  <si>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</si>
  <si>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</si>
  <si>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</si>
  <si>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</si>
  <si>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</si>
  <si>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</si>
  <si>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</si>
  <si>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27,10,</t>
  </si>
  <si>
    <t>29,10,</t>
  </si>
  <si>
    <t>22,10,</t>
  </si>
  <si>
    <t>15,10,</t>
  </si>
  <si>
    <t>08,10,</t>
  </si>
  <si>
    <t>01,10,</t>
  </si>
  <si>
    <t>24,09,</t>
  </si>
  <si>
    <t>22,09,</t>
  </si>
  <si>
    <t>17,09,</t>
  </si>
  <si>
    <t>10,09,</t>
  </si>
  <si>
    <t>03,09,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</si>
  <si>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</si>
  <si>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</si>
  <si>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</si>
  <si>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</si>
  <si>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</si>
  <si>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</si>
  <si>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</si>
  <si>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Вареники Медвежье ушко Премиум с картофелем и лесными грибами клас. форма флоу-пак 0,6 кг  ПОКОМ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</si>
  <si>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</si>
  <si>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</si>
  <si>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</si>
  <si>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</si>
  <si>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</si>
  <si>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</si>
  <si>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</si>
  <si>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</si>
  <si>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</si>
  <si>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</si>
  <si>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</si>
  <si>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</si>
  <si>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</si>
  <si>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</si>
  <si>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</si>
  <si>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</si>
  <si>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</si>
  <si>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</si>
  <si>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</si>
  <si>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</si>
  <si>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</si>
  <si>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</si>
  <si>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</si>
  <si>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</si>
  <si>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</si>
  <si>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</si>
  <si>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</si>
  <si>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</si>
  <si>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</si>
  <si>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</si>
  <si>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</si>
  <si>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</si>
  <si>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</si>
  <si>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</si>
  <si>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</si>
  <si>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</si>
  <si>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</si>
  <si>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</si>
  <si>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</si>
  <si>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</si>
  <si>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</si>
  <si>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</si>
  <si>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</si>
  <si>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</si>
  <si>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</si>
  <si>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</si>
  <si>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Сливушки в темпуре ТМ Вязанка флоу-пак 0,23 кг  ПОКОМ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</si>
  <si>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</si>
  <si>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</si>
  <si>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</si>
  <si>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</si>
  <si>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</si>
  <si>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</si>
  <si>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</si>
  <si>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</si>
  <si>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</si>
  <si>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</si>
  <si>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</si>
  <si>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</si>
  <si>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</si>
  <si>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</si>
  <si>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</si>
  <si>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</si>
  <si>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</si>
  <si>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</si>
  <si>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</si>
  <si>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</si>
  <si>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</si>
  <si>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</si>
  <si>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</si>
  <si>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</si>
  <si>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</si>
  <si>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</si>
  <si>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</si>
  <si>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</si>
  <si>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</si>
  <si>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</si>
  <si>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</si>
  <si>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</si>
  <si>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</si>
  <si>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</si>
  <si>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</si>
  <si>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</si>
  <si>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</si>
  <si>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</si>
  <si>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</si>
  <si>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</si>
  <si>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</si>
  <si>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</si>
  <si>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</si>
  <si>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</si>
  <si>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</si>
  <si>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</si>
  <si>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</si>
  <si>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</si>
  <si>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</si>
  <si>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</si>
  <si>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</si>
  <si>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65шт списано (17,10,26)</t>
  </si>
  <si>
    <t>Пельмени Со свининой и говядиной ТМ Особый рецепт Любимая ложка 1,0 кг  ПОКОМ</t>
  </si>
  <si>
    <t>ВНИМАНИЕ / 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</si>
  <si>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</si>
  <si>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</si>
  <si>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</si>
  <si>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</si>
  <si>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</si>
  <si>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</si>
  <si>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</si>
  <si>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</si>
  <si>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</si>
  <si>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</si>
  <si>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</si>
  <si>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</si>
  <si>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</si>
  <si>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</si>
  <si>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</si>
  <si>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</si>
  <si>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</si>
  <si>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</si>
  <si>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</si>
  <si>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</si>
  <si>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</si>
  <si>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</si>
  <si>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</si>
  <si>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</si>
  <si>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</si>
  <si>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</si>
  <si>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</si>
  <si>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</si>
  <si>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</si>
  <si>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</si>
  <si>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</si>
  <si>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</si>
  <si>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</si>
  <si>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</si>
  <si>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</si>
  <si>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</si>
  <si>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</si>
  <si>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</si>
  <si>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639 списано (19,09,26)</t>
    </r>
  </si>
  <si>
    <t>завод вывел</t>
  </si>
  <si>
    <t>итого</t>
  </si>
  <si>
    <t>ТК</t>
  </si>
  <si>
    <t>Рекуто</t>
  </si>
  <si>
    <t>ТК ком</t>
  </si>
  <si>
    <t>до 1800 кг (промо на ноябрь)</t>
  </si>
  <si>
    <t>до 1200 кг (промо на ноябрь)</t>
  </si>
  <si>
    <t>до 500 шт (промо на ноябрь)</t>
  </si>
  <si>
    <t>дн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</si>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</sst>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;[Red]\-0\ "/>
    <numFmt numFmtId="165" formatCode="0.0"/>
    <numFmt numFmtId="166" formatCode="0.00_ ;[Red]\-0.00\ "/>
    <numFmt numFmtId="167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4" fillId="7" borderId="1" xfId="1" applyNumberFormat="1" applyFont="1" applyFill="1"/>
    <xf numFmtId="0" fontId="0" fillId="0" borderId="1" xfId="0" applyBorder="1"/>
    <xf numFmtId="164" fontId="1" fillId="4" borderId="1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164" fontId="1" fillId="8" borderId="2" xfId="1" applyNumberFormat="1" applyFill="1" applyBorder="1"/>
    <xf numFmtId="164" fontId="1" fillId="9" borderId="2" xfId="1" applyNumberFormat="1" applyFill="1" applyBorder="1"/>
    <xf numFmtId="166" fontId="1" fillId="0" borderId="1" xfId="1" applyNumberFormat="1"/>
    <xf numFmtId="167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увеличить заказ:</v>
          </cell>
        </row>
        <row r="2">
          <cell r="A2" t="str">
            <v>Вареники Медвежье ушко Премиум с картофелем и лесными грибами клас. форма флоу-пак 0,6 кг  ПОКОМ</v>
          </cell>
          <cell r="B2" t="str">
            <v>до 500 шт (промо на ноябрь)</v>
          </cell>
        </row>
        <row r="3">
          <cell r="A3" t="str">
            <v>Пельмени Медвежье ушко Премиум Мясные ТМ Медвежье ушко классическая форма флоу-пак 0,8 кг. ПОКОМ</v>
          </cell>
          <cell r="B3" t="str">
            <v>до 500 шт (промо на ноябрь)</v>
          </cell>
        </row>
        <row r="4">
          <cell r="A4" t="str">
            <v>Пельмени Бульмени с говядиной и свининой Наваристые Горячая штучка ВЕС  ПОКОМ</v>
          </cell>
          <cell r="B4" t="str">
            <v>до 1200 кг (промо на ноябрь)</v>
          </cell>
        </row>
        <row r="5">
          <cell r="A5" t="str">
            <v>Чебуреки сочные ТМ Зареченские ТС Зареченские продукты.  Поком</v>
          </cell>
          <cell r="B5" t="str">
            <v>до 1800 кг (промо на ноябрь)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8" sqref="U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1" width="7" style="23" customWidth="1"/>
    <col min="22" max="23" width="5" customWidth="1"/>
    <col min="24" max="33" width="6" customWidth="1"/>
    <col min="34" max="34" width="27" customWidth="1"/>
    <col min="35" max="35" width="6.5703125" customWidth="1"/>
    <col min="36" max="36" width="6" style="6" customWidth="1"/>
    <col min="37" max="37" width="7.85546875" style="12" customWidth="1"/>
    <col min="38" max="38" width="6.5703125" customWidth="1"/>
    <col min="39" max="40" width="5" customWidth="1"/>
    <col min="41" max="41" width="6" style="12" customWidth="1"/>
    <col min="4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9">
        <v>-4.2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30">
        <f>AK2-AK5</f>
        <v>-16</v>
      </c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196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>
        <v>1000</v>
      </c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189</v>
      </c>
      <c r="S3" s="3" t="s">
        <v>17</v>
      </c>
      <c r="T3" s="3" t="s">
        <v>190</v>
      </c>
      <c r="U3" s="3" t="s">
        <v>192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191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9" t="s">
        <v>197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37592.800000000003</v>
      </c>
      <c r="F5" s="4">
        <f>SUM(F6:F496)</f>
        <v>43814.700000000004</v>
      </c>
      <c r="G5" s="7"/>
      <c r="H5" s="1"/>
      <c r="I5" s="1"/>
      <c r="J5" s="1"/>
      <c r="K5" s="4">
        <f t="shared" ref="K5:T5" si="0">SUM(K6:K496)</f>
        <v>35256.700000000004</v>
      </c>
      <c r="L5" s="4">
        <f t="shared" si="0"/>
        <v>2336.1000000000004</v>
      </c>
      <c r="M5" s="4">
        <f t="shared" si="0"/>
        <v>0</v>
      </c>
      <c r="N5" s="4">
        <f t="shared" si="0"/>
        <v>0</v>
      </c>
      <c r="O5" s="4">
        <f t="shared" si="0"/>
        <v>31757</v>
      </c>
      <c r="P5" s="4">
        <f t="shared" si="0"/>
        <v>7518.5599999999995</v>
      </c>
      <c r="Q5" s="4">
        <v>23927.880000000005</v>
      </c>
      <c r="R5" s="4">
        <f t="shared" si="0"/>
        <v>9032.64</v>
      </c>
      <c r="S5" s="4">
        <f t="shared" si="0"/>
        <v>9084</v>
      </c>
      <c r="T5" s="4">
        <f t="shared" si="0"/>
        <v>4000</v>
      </c>
      <c r="U5" s="4"/>
      <c r="V5" s="1"/>
      <c r="W5" s="1"/>
      <c r="X5" s="4">
        <f t="shared" ref="X5:AG5" si="1">SUM(X6:X496)</f>
        <v>6356.619999999999</v>
      </c>
      <c r="Y5" s="4">
        <f t="shared" si="1"/>
        <v>6422.1000000000013</v>
      </c>
      <c r="Z5" s="4">
        <f t="shared" si="1"/>
        <v>6272.7400000000007</v>
      </c>
      <c r="AA5" s="4">
        <f t="shared" si="1"/>
        <v>5670.62</v>
      </c>
      <c r="AB5" s="4">
        <f t="shared" si="1"/>
        <v>5811.699999999998</v>
      </c>
      <c r="AC5" s="4">
        <f t="shared" si="1"/>
        <v>6459.7</v>
      </c>
      <c r="AD5" s="4">
        <f t="shared" si="1"/>
        <v>5411.119999999999</v>
      </c>
      <c r="AE5" s="4">
        <f t="shared" si="1"/>
        <v>5646.1997999999976</v>
      </c>
      <c r="AF5" s="4">
        <f t="shared" si="1"/>
        <v>7428.6320000000014</v>
      </c>
      <c r="AG5" s="4">
        <f t="shared" si="1"/>
        <v>5263.7599999999993</v>
      </c>
      <c r="AH5" s="1"/>
      <c r="AI5" s="4">
        <f>SUM(AI6:AI496)</f>
        <v>4550.967200000001</v>
      </c>
      <c r="AJ5" s="7"/>
      <c r="AK5" s="11">
        <f>SUM(AK6:AK496)</f>
        <v>1016</v>
      </c>
      <c r="AL5" s="4">
        <f>SUM(AL6:AL496)</f>
        <v>4614.3600000000006</v>
      </c>
      <c r="AM5" s="1"/>
      <c r="AN5" s="1"/>
      <c r="AO5" s="11">
        <f>SUM(AO6:AO496)</f>
        <v>11.633333333333333</v>
      </c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4" t="s">
        <v>41</v>
      </c>
      <c r="B6" s="14" t="s">
        <v>42</v>
      </c>
      <c r="C6" s="14">
        <v>212</v>
      </c>
      <c r="D6" s="14">
        <v>25</v>
      </c>
      <c r="E6" s="19">
        <v>221</v>
      </c>
      <c r="F6" s="19">
        <v>-31</v>
      </c>
      <c r="G6" s="15">
        <v>0</v>
      </c>
      <c r="H6" s="14"/>
      <c r="I6" s="14" t="s">
        <v>43</v>
      </c>
      <c r="J6" s="14" t="s">
        <v>44</v>
      </c>
      <c r="K6" s="14">
        <v>237</v>
      </c>
      <c r="L6" s="14">
        <f t="shared" ref="L6:L37" si="2">E6-K6</f>
        <v>-16</v>
      </c>
      <c r="M6" s="14"/>
      <c r="N6" s="14"/>
      <c r="O6" s="14"/>
      <c r="P6" s="14">
        <f t="shared" ref="P6:P37" si="3">E6/5</f>
        <v>44.2</v>
      </c>
      <c r="Q6" s="16"/>
      <c r="R6" s="16"/>
      <c r="S6" s="16"/>
      <c r="T6" s="24"/>
      <c r="U6" s="25"/>
      <c r="V6" s="14">
        <f t="shared" ref="V6:V37" si="4">(F6+O6+S6)/P6</f>
        <v>-0.70135746606334837</v>
      </c>
      <c r="W6" s="14">
        <f t="shared" ref="W6:W37" si="5">(F6+O6)/P6</f>
        <v>-0.70135746606334837</v>
      </c>
      <c r="X6" s="14">
        <v>27</v>
      </c>
      <c r="Y6" s="14">
        <v>23.2</v>
      </c>
      <c r="Z6" s="14">
        <v>28.8</v>
      </c>
      <c r="AA6" s="14">
        <v>20.8</v>
      </c>
      <c r="AB6" s="14">
        <v>24.2</v>
      </c>
      <c r="AC6" s="14">
        <v>27.4</v>
      </c>
      <c r="AD6" s="14">
        <v>22.6</v>
      </c>
      <c r="AE6" s="14">
        <v>31</v>
      </c>
      <c r="AF6" s="14">
        <v>6.4</v>
      </c>
      <c r="AG6" s="14">
        <v>10.8</v>
      </c>
      <c r="AH6" s="14"/>
      <c r="AI6" s="14"/>
      <c r="AJ6" s="15"/>
      <c r="AK6" s="17"/>
      <c r="AL6" s="14"/>
      <c r="AM6" s="14"/>
      <c r="AN6" s="14"/>
      <c r="AO6" s="17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45</v>
      </c>
      <c r="B7" s="14" t="s">
        <v>42</v>
      </c>
      <c r="C7" s="14">
        <v>224</v>
      </c>
      <c r="D7" s="14">
        <v>8</v>
      </c>
      <c r="E7" s="19">
        <v>131</v>
      </c>
      <c r="F7" s="19">
        <v>66</v>
      </c>
      <c r="G7" s="15">
        <v>0</v>
      </c>
      <c r="H7" s="14"/>
      <c r="I7" s="14" t="s">
        <v>43</v>
      </c>
      <c r="J7" s="14" t="s">
        <v>46</v>
      </c>
      <c r="K7" s="14">
        <v>142</v>
      </c>
      <c r="L7" s="14">
        <f t="shared" si="2"/>
        <v>-11</v>
      </c>
      <c r="M7" s="14"/>
      <c r="N7" s="14"/>
      <c r="O7" s="14"/>
      <c r="P7" s="14">
        <f t="shared" si="3"/>
        <v>26.2</v>
      </c>
      <c r="Q7" s="16"/>
      <c r="R7" s="16"/>
      <c r="S7" s="16"/>
      <c r="T7" s="24"/>
      <c r="U7" s="25"/>
      <c r="V7" s="14">
        <f t="shared" si="4"/>
        <v>2.5190839694656488</v>
      </c>
      <c r="W7" s="14">
        <f t="shared" si="5"/>
        <v>2.5190839694656488</v>
      </c>
      <c r="X7" s="14">
        <v>22.4</v>
      </c>
      <c r="Y7" s="14">
        <v>23.2</v>
      </c>
      <c r="Z7" s="14">
        <v>17</v>
      </c>
      <c r="AA7" s="14">
        <v>21.4</v>
      </c>
      <c r="AB7" s="14">
        <v>21.8</v>
      </c>
      <c r="AC7" s="14">
        <v>27.2</v>
      </c>
      <c r="AD7" s="14">
        <v>25.4</v>
      </c>
      <c r="AE7" s="14">
        <v>31</v>
      </c>
      <c r="AF7" s="14">
        <v>4.4000000000000004</v>
      </c>
      <c r="AG7" s="14">
        <v>0</v>
      </c>
      <c r="AH7" s="14"/>
      <c r="AI7" s="14"/>
      <c r="AJ7" s="15"/>
      <c r="AK7" s="17"/>
      <c r="AL7" s="14"/>
      <c r="AM7" s="14"/>
      <c r="AN7" s="14"/>
      <c r="AO7" s="17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/>
      <c r="D8" s="1">
        <v>243</v>
      </c>
      <c r="E8" s="1">
        <v>25</v>
      </c>
      <c r="F8" s="1">
        <v>209</v>
      </c>
      <c r="G8" s="7">
        <v>0.6</v>
      </c>
      <c r="H8" s="1">
        <v>180</v>
      </c>
      <c r="I8" s="1" t="s">
        <v>48</v>
      </c>
      <c r="J8" s="1"/>
      <c r="K8" s="1">
        <v>28</v>
      </c>
      <c r="L8" s="1">
        <f t="shared" si="2"/>
        <v>-3</v>
      </c>
      <c r="M8" s="1"/>
      <c r="N8" s="1"/>
      <c r="O8" s="1">
        <v>0</v>
      </c>
      <c r="P8" s="1">
        <f t="shared" si="3"/>
        <v>5</v>
      </c>
      <c r="Q8" s="5"/>
      <c r="R8" s="27">
        <f>T8</f>
        <v>500</v>
      </c>
      <c r="S8" s="5">
        <f>AJ8*AK8</f>
        <v>480</v>
      </c>
      <c r="T8" s="25">
        <v>500</v>
      </c>
      <c r="U8" s="25" t="s">
        <v>195</v>
      </c>
      <c r="V8" s="1">
        <f t="shared" si="4"/>
        <v>137.80000000000001</v>
      </c>
      <c r="W8" s="1">
        <f t="shared" si="5"/>
        <v>41.8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 t="s">
        <v>49</v>
      </c>
      <c r="AI8" s="1">
        <f>G8*R8</f>
        <v>300</v>
      </c>
      <c r="AJ8" s="7">
        <v>10</v>
      </c>
      <c r="AK8" s="9">
        <f>MROUND(R8, AJ8*AM8)/AJ8</f>
        <v>48</v>
      </c>
      <c r="AL8" s="1">
        <f>AK8*AJ8*G8</f>
        <v>288</v>
      </c>
      <c r="AM8" s="1">
        <v>12</v>
      </c>
      <c r="AN8" s="1">
        <v>84</v>
      </c>
      <c r="AO8" s="9">
        <f>AK8/AN8</f>
        <v>0.5714285714285714</v>
      </c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50</v>
      </c>
      <c r="B9" s="14" t="s">
        <v>42</v>
      </c>
      <c r="C9" s="14">
        <v>1684</v>
      </c>
      <c r="D9" s="14">
        <v>2513</v>
      </c>
      <c r="E9" s="19">
        <v>1013</v>
      </c>
      <c r="F9" s="19">
        <v>1992</v>
      </c>
      <c r="G9" s="15">
        <v>0</v>
      </c>
      <c r="H9" s="14">
        <v>180</v>
      </c>
      <c r="I9" s="14" t="s">
        <v>51</v>
      </c>
      <c r="J9" s="14" t="s">
        <v>52</v>
      </c>
      <c r="K9" s="14">
        <v>1191</v>
      </c>
      <c r="L9" s="14">
        <f t="shared" si="2"/>
        <v>-178</v>
      </c>
      <c r="M9" s="14"/>
      <c r="N9" s="14"/>
      <c r="O9" s="14"/>
      <c r="P9" s="14">
        <f t="shared" si="3"/>
        <v>202.6</v>
      </c>
      <c r="Q9" s="16"/>
      <c r="R9" s="16"/>
      <c r="S9" s="16"/>
      <c r="T9" s="24"/>
      <c r="U9" s="25"/>
      <c r="V9" s="14">
        <f t="shared" si="4"/>
        <v>9.8321816386969392</v>
      </c>
      <c r="W9" s="14">
        <f t="shared" si="5"/>
        <v>9.8321816386969392</v>
      </c>
      <c r="X9" s="14">
        <v>86.2</v>
      </c>
      <c r="Y9" s="14">
        <v>1.4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/>
      <c r="AI9" s="14"/>
      <c r="AJ9" s="15"/>
      <c r="AK9" s="17"/>
      <c r="AL9" s="14"/>
      <c r="AM9" s="14"/>
      <c r="AN9" s="14"/>
      <c r="AO9" s="17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53</v>
      </c>
      <c r="B10" s="1" t="s">
        <v>42</v>
      </c>
      <c r="C10" s="1">
        <v>-3</v>
      </c>
      <c r="D10" s="1">
        <v>254</v>
      </c>
      <c r="E10" s="19">
        <f>207+E65</f>
        <v>255</v>
      </c>
      <c r="F10" s="19">
        <f>0+F65</f>
        <v>731</v>
      </c>
      <c r="G10" s="7">
        <v>0.3</v>
      </c>
      <c r="H10" s="1">
        <v>180</v>
      </c>
      <c r="I10" s="1" t="s">
        <v>54</v>
      </c>
      <c r="J10" s="1"/>
      <c r="K10" s="1">
        <v>397</v>
      </c>
      <c r="L10" s="1">
        <f t="shared" si="2"/>
        <v>-142</v>
      </c>
      <c r="M10" s="1"/>
      <c r="N10" s="1"/>
      <c r="O10" s="1">
        <v>0</v>
      </c>
      <c r="P10" s="1">
        <f t="shared" si="3"/>
        <v>51</v>
      </c>
      <c r="Q10" s="5"/>
      <c r="R10" s="5"/>
      <c r="S10" s="5">
        <f>AJ10*AK10</f>
        <v>0</v>
      </c>
      <c r="T10" s="25"/>
      <c r="U10" s="25"/>
      <c r="V10" s="1">
        <f t="shared" si="4"/>
        <v>14.333333333333334</v>
      </c>
      <c r="W10" s="1">
        <f t="shared" si="5"/>
        <v>14.333333333333334</v>
      </c>
      <c r="X10" s="1">
        <v>33</v>
      </c>
      <c r="Y10" s="1">
        <v>96.2</v>
      </c>
      <c r="Z10" s="1">
        <v>34.4</v>
      </c>
      <c r="AA10" s="1">
        <v>56.4</v>
      </c>
      <c r="AB10" s="1">
        <v>54.4</v>
      </c>
      <c r="AC10" s="1">
        <v>74.2</v>
      </c>
      <c r="AD10" s="1">
        <v>66.2</v>
      </c>
      <c r="AE10" s="1">
        <v>59.2</v>
      </c>
      <c r="AF10" s="1">
        <v>80.599999999999994</v>
      </c>
      <c r="AG10" s="1">
        <v>35.4</v>
      </c>
      <c r="AH10" s="1"/>
      <c r="AI10" s="1">
        <f>G10*R10</f>
        <v>0</v>
      </c>
      <c r="AJ10" s="7">
        <v>12</v>
      </c>
      <c r="AK10" s="9">
        <f>MROUND(R10, AJ10*AM10)/AJ10</f>
        <v>0</v>
      </c>
      <c r="AL10" s="1">
        <f>AK10*AJ10*G10</f>
        <v>0</v>
      </c>
      <c r="AM10" s="1">
        <v>14</v>
      </c>
      <c r="AN10" s="1">
        <v>70</v>
      </c>
      <c r="AO10" s="9">
        <f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55</v>
      </c>
      <c r="B11" s="14" t="s">
        <v>42</v>
      </c>
      <c r="C11" s="14">
        <v>699</v>
      </c>
      <c r="D11" s="14">
        <v>816</v>
      </c>
      <c r="E11" s="19">
        <v>343</v>
      </c>
      <c r="F11" s="19">
        <v>779</v>
      </c>
      <c r="G11" s="15">
        <v>0</v>
      </c>
      <c r="H11" s="14">
        <v>180</v>
      </c>
      <c r="I11" s="14" t="s">
        <v>51</v>
      </c>
      <c r="J11" s="14" t="s">
        <v>56</v>
      </c>
      <c r="K11" s="14">
        <v>424</v>
      </c>
      <c r="L11" s="14">
        <f t="shared" si="2"/>
        <v>-81</v>
      </c>
      <c r="M11" s="14"/>
      <c r="N11" s="14"/>
      <c r="O11" s="14"/>
      <c r="P11" s="14">
        <f t="shared" si="3"/>
        <v>68.599999999999994</v>
      </c>
      <c r="Q11" s="16"/>
      <c r="R11" s="16"/>
      <c r="S11" s="16"/>
      <c r="T11" s="24"/>
      <c r="U11" s="25"/>
      <c r="V11" s="14">
        <f t="shared" si="4"/>
        <v>11.355685131195337</v>
      </c>
      <c r="W11" s="14">
        <f t="shared" si="5"/>
        <v>11.355685131195337</v>
      </c>
      <c r="X11" s="14">
        <v>37.200000000000003</v>
      </c>
      <c r="Y11" s="14">
        <v>1.4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/>
      <c r="AI11" s="14"/>
      <c r="AJ11" s="15"/>
      <c r="AK11" s="17"/>
      <c r="AL11" s="14"/>
      <c r="AM11" s="14"/>
      <c r="AN11" s="14"/>
      <c r="AO11" s="17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4" t="s">
        <v>57</v>
      </c>
      <c r="B12" s="14" t="s">
        <v>42</v>
      </c>
      <c r="C12" s="14">
        <v>210</v>
      </c>
      <c r="D12" s="14">
        <v>908</v>
      </c>
      <c r="E12" s="19">
        <v>225</v>
      </c>
      <c r="F12" s="19">
        <v>477</v>
      </c>
      <c r="G12" s="15">
        <v>0</v>
      </c>
      <c r="H12" s="14">
        <v>180</v>
      </c>
      <c r="I12" s="14" t="s">
        <v>51</v>
      </c>
      <c r="J12" s="14" t="s">
        <v>58</v>
      </c>
      <c r="K12" s="14">
        <v>240</v>
      </c>
      <c r="L12" s="14">
        <f t="shared" si="2"/>
        <v>-15</v>
      </c>
      <c r="M12" s="14"/>
      <c r="N12" s="14"/>
      <c r="O12" s="14"/>
      <c r="P12" s="14">
        <f t="shared" si="3"/>
        <v>45</v>
      </c>
      <c r="Q12" s="16"/>
      <c r="R12" s="16"/>
      <c r="S12" s="16"/>
      <c r="T12" s="24"/>
      <c r="U12" s="25"/>
      <c r="V12" s="14">
        <f t="shared" si="4"/>
        <v>10.6</v>
      </c>
      <c r="W12" s="14">
        <f t="shared" si="5"/>
        <v>10.6</v>
      </c>
      <c r="X12" s="14">
        <v>33.6</v>
      </c>
      <c r="Y12" s="14">
        <v>25.2</v>
      </c>
      <c r="Z12" s="14">
        <v>25.6</v>
      </c>
      <c r="AA12" s="14">
        <v>7.4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/>
      <c r="AI12" s="14"/>
      <c r="AJ12" s="15"/>
      <c r="AK12" s="17"/>
      <c r="AL12" s="14"/>
      <c r="AM12" s="14"/>
      <c r="AN12" s="14"/>
      <c r="AO12" s="17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59</v>
      </c>
      <c r="B13" s="14" t="s">
        <v>42</v>
      </c>
      <c r="C13" s="14">
        <v>619</v>
      </c>
      <c r="D13" s="14">
        <v>89</v>
      </c>
      <c r="E13" s="19">
        <v>402</v>
      </c>
      <c r="F13" s="19">
        <v>14</v>
      </c>
      <c r="G13" s="15">
        <v>0</v>
      </c>
      <c r="H13" s="14">
        <v>180</v>
      </c>
      <c r="I13" s="14" t="s">
        <v>51</v>
      </c>
      <c r="J13" s="14" t="s">
        <v>60</v>
      </c>
      <c r="K13" s="14">
        <v>739</v>
      </c>
      <c r="L13" s="14">
        <f t="shared" si="2"/>
        <v>-337</v>
      </c>
      <c r="M13" s="14"/>
      <c r="N13" s="14"/>
      <c r="O13" s="14"/>
      <c r="P13" s="14">
        <f t="shared" si="3"/>
        <v>80.400000000000006</v>
      </c>
      <c r="Q13" s="16"/>
      <c r="R13" s="16"/>
      <c r="S13" s="16"/>
      <c r="T13" s="24"/>
      <c r="U13" s="25"/>
      <c r="V13" s="14">
        <f t="shared" si="4"/>
        <v>0.17412935323383083</v>
      </c>
      <c r="W13" s="14">
        <f t="shared" si="5"/>
        <v>0.17412935323383083</v>
      </c>
      <c r="X13" s="14">
        <v>130.80000000000001</v>
      </c>
      <c r="Y13" s="14">
        <v>56.6</v>
      </c>
      <c r="Z13" s="14">
        <v>66.599999999999994</v>
      </c>
      <c r="AA13" s="14">
        <v>86.4</v>
      </c>
      <c r="AB13" s="14">
        <v>36.200000000000003</v>
      </c>
      <c r="AC13" s="14">
        <v>30.8</v>
      </c>
      <c r="AD13" s="14">
        <v>17.600000000000001</v>
      </c>
      <c r="AE13" s="14">
        <v>3.2</v>
      </c>
      <c r="AF13" s="14">
        <v>0</v>
      </c>
      <c r="AG13" s="14">
        <v>0</v>
      </c>
      <c r="AH13" s="14"/>
      <c r="AI13" s="14"/>
      <c r="AJ13" s="15"/>
      <c r="AK13" s="17"/>
      <c r="AL13" s="14"/>
      <c r="AM13" s="14"/>
      <c r="AN13" s="14"/>
      <c r="AO13" s="17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61</v>
      </c>
      <c r="B14" s="14" t="s">
        <v>42</v>
      </c>
      <c r="C14" s="14">
        <v>382</v>
      </c>
      <c r="D14" s="14">
        <v>1228</v>
      </c>
      <c r="E14" s="19">
        <v>538</v>
      </c>
      <c r="F14" s="19">
        <v>732</v>
      </c>
      <c r="G14" s="15">
        <v>0</v>
      </c>
      <c r="H14" s="14">
        <v>180</v>
      </c>
      <c r="I14" s="14" t="s">
        <v>51</v>
      </c>
      <c r="J14" s="14" t="s">
        <v>62</v>
      </c>
      <c r="K14" s="14">
        <v>624</v>
      </c>
      <c r="L14" s="14">
        <f t="shared" si="2"/>
        <v>-86</v>
      </c>
      <c r="M14" s="14"/>
      <c r="N14" s="14"/>
      <c r="O14" s="14"/>
      <c r="P14" s="14">
        <f t="shared" si="3"/>
        <v>107.6</v>
      </c>
      <c r="Q14" s="16"/>
      <c r="R14" s="16"/>
      <c r="S14" s="16"/>
      <c r="T14" s="24"/>
      <c r="U14" s="25"/>
      <c r="V14" s="14">
        <f t="shared" si="4"/>
        <v>6.8029739776951672</v>
      </c>
      <c r="W14" s="14">
        <f t="shared" si="5"/>
        <v>6.8029739776951672</v>
      </c>
      <c r="X14" s="14">
        <v>63.6</v>
      </c>
      <c r="Y14" s="14">
        <v>18.8</v>
      </c>
      <c r="Z14" s="14">
        <v>7</v>
      </c>
      <c r="AA14" s="14">
        <v>0.4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/>
      <c r="AI14" s="14"/>
      <c r="AJ14" s="15"/>
      <c r="AK14" s="17"/>
      <c r="AL14" s="14"/>
      <c r="AM14" s="14"/>
      <c r="AN14" s="14"/>
      <c r="AO14" s="17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63</v>
      </c>
      <c r="B15" s="1" t="s">
        <v>42</v>
      </c>
      <c r="C15" s="1">
        <v>-24</v>
      </c>
      <c r="D15" s="1">
        <v>206</v>
      </c>
      <c r="E15" s="19">
        <f>176+E66</f>
        <v>531</v>
      </c>
      <c r="F15" s="19">
        <f>-1+F66</f>
        <v>470</v>
      </c>
      <c r="G15" s="7">
        <v>0.28000000000000003</v>
      </c>
      <c r="H15" s="1">
        <v>180</v>
      </c>
      <c r="I15" s="1" t="s">
        <v>64</v>
      </c>
      <c r="J15" s="1"/>
      <c r="K15" s="1">
        <v>184</v>
      </c>
      <c r="L15" s="1">
        <f t="shared" si="2"/>
        <v>347</v>
      </c>
      <c r="M15" s="1"/>
      <c r="N15" s="1"/>
      <c r="O15" s="1">
        <v>840</v>
      </c>
      <c r="P15" s="1">
        <f t="shared" si="3"/>
        <v>106.2</v>
      </c>
      <c r="Q15" s="5">
        <v>176.79999999999995</v>
      </c>
      <c r="R15" s="5">
        <f>IF(14*P15-O15-F15+$R$1*P15&lt;0,0,14*P15-O15-F15+$R$1*P15)</f>
        <v>0</v>
      </c>
      <c r="S15" s="5">
        <f>AJ15*AK15</f>
        <v>0</v>
      </c>
      <c r="T15" s="25"/>
      <c r="U15" s="25"/>
      <c r="V15" s="1">
        <f t="shared" si="4"/>
        <v>12.335216572504708</v>
      </c>
      <c r="W15" s="1">
        <f t="shared" si="5"/>
        <v>12.335216572504708</v>
      </c>
      <c r="X15" s="1">
        <v>106.6</v>
      </c>
      <c r="Y15" s="1">
        <v>101.8</v>
      </c>
      <c r="Z15" s="1">
        <v>99.6</v>
      </c>
      <c r="AA15" s="1">
        <v>98.2</v>
      </c>
      <c r="AB15" s="1">
        <v>107</v>
      </c>
      <c r="AC15" s="1">
        <v>125.8</v>
      </c>
      <c r="AD15" s="1">
        <v>110.6</v>
      </c>
      <c r="AE15" s="1">
        <v>135</v>
      </c>
      <c r="AF15" s="1">
        <v>170.2</v>
      </c>
      <c r="AG15" s="1">
        <v>160.6</v>
      </c>
      <c r="AH15" s="1"/>
      <c r="AI15" s="1">
        <f>G15*R15</f>
        <v>0</v>
      </c>
      <c r="AJ15" s="7">
        <v>6</v>
      </c>
      <c r="AK15" s="9">
        <f>MROUND(R15, AJ15*AM15)/AJ15</f>
        <v>0</v>
      </c>
      <c r="AL15" s="1">
        <f>AK15*AJ15*G15</f>
        <v>0</v>
      </c>
      <c r="AM15" s="1">
        <v>14</v>
      </c>
      <c r="AN15" s="1">
        <v>140</v>
      </c>
      <c r="AO15" s="9">
        <f>AK15/AN15</f>
        <v>0</v>
      </c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65</v>
      </c>
      <c r="B16" s="1" t="s">
        <v>42</v>
      </c>
      <c r="C16" s="1">
        <v>238</v>
      </c>
      <c r="D16" s="1">
        <v>888</v>
      </c>
      <c r="E16" s="1">
        <v>460</v>
      </c>
      <c r="F16" s="1">
        <v>486</v>
      </c>
      <c r="G16" s="7">
        <v>0.24</v>
      </c>
      <c r="H16" s="1">
        <v>180</v>
      </c>
      <c r="I16" s="1" t="s">
        <v>66</v>
      </c>
      <c r="J16" s="1"/>
      <c r="K16" s="1">
        <v>544</v>
      </c>
      <c r="L16" s="1">
        <f t="shared" si="2"/>
        <v>-84</v>
      </c>
      <c r="M16" s="1"/>
      <c r="N16" s="1"/>
      <c r="O16" s="1">
        <v>1008</v>
      </c>
      <c r="P16" s="1">
        <f t="shared" si="3"/>
        <v>92</v>
      </c>
      <c r="Q16" s="5"/>
      <c r="R16" s="5"/>
      <c r="S16" s="5">
        <f>AJ16*AK16</f>
        <v>0</v>
      </c>
      <c r="T16" s="25"/>
      <c r="U16" s="25"/>
      <c r="V16" s="1">
        <f t="shared" si="4"/>
        <v>16.239130434782609</v>
      </c>
      <c r="W16" s="1">
        <f t="shared" si="5"/>
        <v>16.239130434782609</v>
      </c>
      <c r="X16" s="1">
        <v>118.2</v>
      </c>
      <c r="Y16" s="1">
        <v>105.6</v>
      </c>
      <c r="Z16" s="1">
        <v>95.8</v>
      </c>
      <c r="AA16" s="1">
        <v>106</v>
      </c>
      <c r="AB16" s="1">
        <v>104.4</v>
      </c>
      <c r="AC16" s="1">
        <v>123.8</v>
      </c>
      <c r="AD16" s="1">
        <v>127.2</v>
      </c>
      <c r="AE16" s="1">
        <v>128</v>
      </c>
      <c r="AF16" s="1">
        <v>174.2</v>
      </c>
      <c r="AG16" s="1">
        <v>176.4</v>
      </c>
      <c r="AH16" s="1"/>
      <c r="AI16" s="1">
        <f>G16*R16</f>
        <v>0</v>
      </c>
      <c r="AJ16" s="7">
        <v>12</v>
      </c>
      <c r="AK16" s="9">
        <f>MROUND(R16, AJ16*AM16)/AJ16</f>
        <v>0</v>
      </c>
      <c r="AL16" s="1">
        <f>AK16*AJ16*G16</f>
        <v>0</v>
      </c>
      <c r="AM16" s="1">
        <v>14</v>
      </c>
      <c r="AN16" s="1">
        <v>70</v>
      </c>
      <c r="AO16" s="9">
        <f>AK16/AN16</f>
        <v>0</v>
      </c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67</v>
      </c>
      <c r="B17" s="14" t="s">
        <v>42</v>
      </c>
      <c r="C17" s="14">
        <v>263</v>
      </c>
      <c r="D17" s="14">
        <v>2183</v>
      </c>
      <c r="E17" s="19">
        <v>701</v>
      </c>
      <c r="F17" s="19">
        <v>1230</v>
      </c>
      <c r="G17" s="15">
        <v>0</v>
      </c>
      <c r="H17" s="14"/>
      <c r="I17" s="14" t="s">
        <v>51</v>
      </c>
      <c r="J17" s="14" t="s">
        <v>68</v>
      </c>
      <c r="K17" s="14">
        <v>934</v>
      </c>
      <c r="L17" s="14">
        <f t="shared" si="2"/>
        <v>-233</v>
      </c>
      <c r="M17" s="14"/>
      <c r="N17" s="14"/>
      <c r="O17" s="14"/>
      <c r="P17" s="14">
        <f t="shared" si="3"/>
        <v>140.19999999999999</v>
      </c>
      <c r="Q17" s="16"/>
      <c r="R17" s="16"/>
      <c r="S17" s="16"/>
      <c r="T17" s="24"/>
      <c r="U17" s="25"/>
      <c r="V17" s="14">
        <f t="shared" si="4"/>
        <v>8.7731811697574908</v>
      </c>
      <c r="W17" s="14">
        <f t="shared" si="5"/>
        <v>8.7731811697574908</v>
      </c>
      <c r="X17" s="14">
        <v>129.80000000000001</v>
      </c>
      <c r="Y17" s="14">
        <v>155.4</v>
      </c>
      <c r="Z17" s="14">
        <v>119</v>
      </c>
      <c r="AA17" s="14">
        <v>136.6</v>
      </c>
      <c r="AB17" s="14">
        <v>59.4</v>
      </c>
      <c r="AC17" s="14">
        <v>44.8</v>
      </c>
      <c r="AD17" s="14">
        <v>14</v>
      </c>
      <c r="AE17" s="14">
        <v>0</v>
      </c>
      <c r="AF17" s="14">
        <v>0</v>
      </c>
      <c r="AG17" s="14">
        <v>0</v>
      </c>
      <c r="AH17" s="14"/>
      <c r="AI17" s="14"/>
      <c r="AJ17" s="15"/>
      <c r="AK17" s="17"/>
      <c r="AL17" s="14"/>
      <c r="AM17" s="14"/>
      <c r="AN17" s="14"/>
      <c r="AO17" s="17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68</v>
      </c>
      <c r="B18" s="1" t="s">
        <v>42</v>
      </c>
      <c r="C18" s="1">
        <v>-5</v>
      </c>
      <c r="D18" s="1">
        <v>66</v>
      </c>
      <c r="E18" s="19">
        <f>61+E17</f>
        <v>762</v>
      </c>
      <c r="F18" s="19">
        <f>0+F17</f>
        <v>1230</v>
      </c>
      <c r="G18" s="7">
        <v>0.24</v>
      </c>
      <c r="H18" s="1">
        <v>180</v>
      </c>
      <c r="I18" s="1" t="s">
        <v>69</v>
      </c>
      <c r="J18" s="1"/>
      <c r="K18" s="1">
        <v>61</v>
      </c>
      <c r="L18" s="1">
        <f t="shared" si="2"/>
        <v>701</v>
      </c>
      <c r="M18" s="1"/>
      <c r="N18" s="1"/>
      <c r="O18" s="1">
        <v>504</v>
      </c>
      <c r="P18" s="1">
        <f t="shared" si="3"/>
        <v>152.4</v>
      </c>
      <c r="Q18" s="5">
        <v>399.59999999999991</v>
      </c>
      <c r="R18" s="5">
        <f t="shared" ref="R18:R19" si="6">IF(14*P18-O18-F18+$R$1*P18&lt;0,0,14*P18-O18-F18+$R$1*P18)</f>
        <v>0</v>
      </c>
      <c r="S18" s="5">
        <f>AJ18*AK18</f>
        <v>0</v>
      </c>
      <c r="T18" s="25"/>
      <c r="U18" s="25"/>
      <c r="V18" s="1">
        <f t="shared" si="4"/>
        <v>11.377952755905511</v>
      </c>
      <c r="W18" s="1">
        <f t="shared" si="5"/>
        <v>11.377952755905511</v>
      </c>
      <c r="X18" s="1">
        <v>151.80000000000001</v>
      </c>
      <c r="Y18" s="1">
        <v>185.6</v>
      </c>
      <c r="Z18" s="1">
        <v>154.4</v>
      </c>
      <c r="AA18" s="1">
        <v>167.2</v>
      </c>
      <c r="AB18" s="1">
        <v>147</v>
      </c>
      <c r="AC18" s="1">
        <v>130.4</v>
      </c>
      <c r="AD18" s="1">
        <v>80.2</v>
      </c>
      <c r="AE18" s="1">
        <v>193.6</v>
      </c>
      <c r="AF18" s="1">
        <v>291.8</v>
      </c>
      <c r="AG18" s="1">
        <v>130</v>
      </c>
      <c r="AH18" s="1"/>
      <c r="AI18" s="1">
        <f>G18*R18</f>
        <v>0</v>
      </c>
      <c r="AJ18" s="7">
        <v>12</v>
      </c>
      <c r="AK18" s="9">
        <f>MROUND(R18, AJ18*AM18)/AJ18</f>
        <v>0</v>
      </c>
      <c r="AL18" s="1">
        <f>AK18*AJ18*G18</f>
        <v>0</v>
      </c>
      <c r="AM18" s="1">
        <v>14</v>
      </c>
      <c r="AN18" s="1">
        <v>70</v>
      </c>
      <c r="AO18" s="9">
        <f>AK18/AN18</f>
        <v>0</v>
      </c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70</v>
      </c>
      <c r="B19" s="1" t="s">
        <v>42</v>
      </c>
      <c r="C19" s="1">
        <v>1680</v>
      </c>
      <c r="D19" s="1">
        <v>46</v>
      </c>
      <c r="E19" s="1">
        <v>638</v>
      </c>
      <c r="F19" s="1">
        <v>991</v>
      </c>
      <c r="G19" s="7">
        <v>0.24</v>
      </c>
      <c r="H19" s="1">
        <v>180</v>
      </c>
      <c r="I19" s="1" t="s">
        <v>71</v>
      </c>
      <c r="J19" s="1"/>
      <c r="K19" s="1">
        <v>671</v>
      </c>
      <c r="L19" s="1">
        <f t="shared" si="2"/>
        <v>-33</v>
      </c>
      <c r="M19" s="1"/>
      <c r="N19" s="1"/>
      <c r="O19" s="1">
        <v>168</v>
      </c>
      <c r="P19" s="1">
        <f t="shared" si="3"/>
        <v>127.6</v>
      </c>
      <c r="Q19" s="5">
        <v>627.39999999999986</v>
      </c>
      <c r="R19" s="5">
        <f t="shared" si="6"/>
        <v>91.479999999999905</v>
      </c>
      <c r="S19" s="5">
        <f>AJ19*AK19</f>
        <v>168</v>
      </c>
      <c r="T19" s="25"/>
      <c r="U19" s="25"/>
      <c r="V19" s="1">
        <f t="shared" si="4"/>
        <v>10.399686520376177</v>
      </c>
      <c r="W19" s="1">
        <f t="shared" si="5"/>
        <v>9.0830721003134798</v>
      </c>
      <c r="X19" s="1">
        <v>107.6</v>
      </c>
      <c r="Y19" s="1">
        <v>65</v>
      </c>
      <c r="Z19" s="1">
        <v>122.6</v>
      </c>
      <c r="AA19" s="1">
        <v>71.2</v>
      </c>
      <c r="AB19" s="1">
        <v>67.2</v>
      </c>
      <c r="AC19" s="1">
        <v>75.8</v>
      </c>
      <c r="AD19" s="1">
        <v>81.8</v>
      </c>
      <c r="AE19" s="1">
        <v>108.4</v>
      </c>
      <c r="AF19" s="1">
        <v>213</v>
      </c>
      <c r="AG19" s="1">
        <v>127.2</v>
      </c>
      <c r="AH19" s="1"/>
      <c r="AI19" s="1">
        <f>G19*R19</f>
        <v>21.955199999999977</v>
      </c>
      <c r="AJ19" s="7">
        <v>12</v>
      </c>
      <c r="AK19" s="9">
        <f>MROUND(R19, AJ19*AM19)/AJ19</f>
        <v>14</v>
      </c>
      <c r="AL19" s="1">
        <f>AK19*AJ19*G19</f>
        <v>40.32</v>
      </c>
      <c r="AM19" s="1">
        <v>14</v>
      </c>
      <c r="AN19" s="1">
        <v>70</v>
      </c>
      <c r="AO19" s="9">
        <f>AK19/AN19</f>
        <v>0.2</v>
      </c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72</v>
      </c>
      <c r="B20" s="14" t="s">
        <v>42</v>
      </c>
      <c r="C20" s="14">
        <v>838</v>
      </c>
      <c r="D20" s="14">
        <v>355</v>
      </c>
      <c r="E20" s="19">
        <v>557</v>
      </c>
      <c r="F20" s="19">
        <v>339</v>
      </c>
      <c r="G20" s="15">
        <v>0</v>
      </c>
      <c r="H20" s="14"/>
      <c r="I20" s="14" t="s">
        <v>51</v>
      </c>
      <c r="J20" s="14" t="s">
        <v>44</v>
      </c>
      <c r="K20" s="14">
        <v>628</v>
      </c>
      <c r="L20" s="14">
        <f t="shared" si="2"/>
        <v>-71</v>
      </c>
      <c r="M20" s="14"/>
      <c r="N20" s="14"/>
      <c r="O20" s="14"/>
      <c r="P20" s="14">
        <f t="shared" si="3"/>
        <v>111.4</v>
      </c>
      <c r="Q20" s="16"/>
      <c r="R20" s="16"/>
      <c r="S20" s="16"/>
      <c r="T20" s="24"/>
      <c r="U20" s="25"/>
      <c r="V20" s="14">
        <f t="shared" si="4"/>
        <v>3.0430879712746854</v>
      </c>
      <c r="W20" s="14">
        <f t="shared" si="5"/>
        <v>3.0430879712746854</v>
      </c>
      <c r="X20" s="14">
        <v>93.8</v>
      </c>
      <c r="Y20" s="14">
        <v>82.8</v>
      </c>
      <c r="Z20" s="14">
        <v>116.6</v>
      </c>
      <c r="AA20" s="14">
        <v>76.2</v>
      </c>
      <c r="AB20" s="14">
        <v>60.4</v>
      </c>
      <c r="AC20" s="14">
        <v>42.8</v>
      </c>
      <c r="AD20" s="14">
        <v>13.8</v>
      </c>
      <c r="AE20" s="14">
        <v>0</v>
      </c>
      <c r="AF20" s="14">
        <v>0</v>
      </c>
      <c r="AG20" s="14">
        <v>0</v>
      </c>
      <c r="AH20" s="14"/>
      <c r="AI20" s="14"/>
      <c r="AJ20" s="15"/>
      <c r="AK20" s="17"/>
      <c r="AL20" s="14"/>
      <c r="AM20" s="14"/>
      <c r="AN20" s="14"/>
      <c r="AO20" s="17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73</v>
      </c>
      <c r="B21" s="14" t="s">
        <v>42</v>
      </c>
      <c r="C21" s="14">
        <v>233</v>
      </c>
      <c r="D21" s="14">
        <v>490</v>
      </c>
      <c r="E21" s="19">
        <v>396</v>
      </c>
      <c r="F21" s="19">
        <v>159</v>
      </c>
      <c r="G21" s="15">
        <v>0</v>
      </c>
      <c r="H21" s="14">
        <v>180</v>
      </c>
      <c r="I21" s="14" t="s">
        <v>51</v>
      </c>
      <c r="J21" s="14" t="s">
        <v>74</v>
      </c>
      <c r="K21" s="14">
        <v>410</v>
      </c>
      <c r="L21" s="14">
        <f t="shared" si="2"/>
        <v>-14</v>
      </c>
      <c r="M21" s="14"/>
      <c r="N21" s="14"/>
      <c r="O21" s="14"/>
      <c r="P21" s="14">
        <f t="shared" si="3"/>
        <v>79.2</v>
      </c>
      <c r="Q21" s="16"/>
      <c r="R21" s="16"/>
      <c r="S21" s="16"/>
      <c r="T21" s="24"/>
      <c r="U21" s="25"/>
      <c r="V21" s="14">
        <f t="shared" si="4"/>
        <v>2.0075757575757573</v>
      </c>
      <c r="W21" s="14">
        <f t="shared" si="5"/>
        <v>2.0075757575757573</v>
      </c>
      <c r="X21" s="14">
        <v>79.2</v>
      </c>
      <c r="Y21" s="14">
        <v>68.400000000000006</v>
      </c>
      <c r="Z21" s="14">
        <v>70.2</v>
      </c>
      <c r="AA21" s="14">
        <v>73.2</v>
      </c>
      <c r="AB21" s="14">
        <v>22.8</v>
      </c>
      <c r="AC21" s="14">
        <v>15.6</v>
      </c>
      <c r="AD21" s="14">
        <v>12</v>
      </c>
      <c r="AE21" s="14">
        <v>0.6</v>
      </c>
      <c r="AF21" s="14">
        <v>0</v>
      </c>
      <c r="AG21" s="14">
        <v>0</v>
      </c>
      <c r="AH21" s="14"/>
      <c r="AI21" s="14"/>
      <c r="AJ21" s="15"/>
      <c r="AK21" s="17"/>
      <c r="AL21" s="14"/>
      <c r="AM21" s="14"/>
      <c r="AN21" s="14"/>
      <c r="AO21" s="17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44</v>
      </c>
      <c r="B22" s="1" t="s">
        <v>42</v>
      </c>
      <c r="C22" s="1">
        <v>-2</v>
      </c>
      <c r="D22" s="1">
        <v>93</v>
      </c>
      <c r="E22" s="19">
        <f>75+E6+E20</f>
        <v>853</v>
      </c>
      <c r="F22" s="19">
        <f>-15+F6+F20</f>
        <v>293</v>
      </c>
      <c r="G22" s="7">
        <v>0.24</v>
      </c>
      <c r="H22" s="1">
        <v>180</v>
      </c>
      <c r="I22" s="1" t="s">
        <v>75</v>
      </c>
      <c r="J22" s="1"/>
      <c r="K22" s="1">
        <v>82</v>
      </c>
      <c r="L22" s="1">
        <f t="shared" si="2"/>
        <v>771</v>
      </c>
      <c r="M22" s="1"/>
      <c r="N22" s="1"/>
      <c r="O22" s="1">
        <v>1176</v>
      </c>
      <c r="P22" s="1">
        <f t="shared" si="3"/>
        <v>170.6</v>
      </c>
      <c r="Q22" s="5">
        <v>919.40000000000009</v>
      </c>
      <c r="R22" s="5">
        <f t="shared" ref="R22:R23" si="7">IF(14*P22-O22-F22+$R$1*P22&lt;0,0,14*P22-O22-F22+$R$1*P22)</f>
        <v>202.88000000000011</v>
      </c>
      <c r="S22" s="5">
        <f t="shared" ref="S22:S34" si="8">AJ22*AK22</f>
        <v>168</v>
      </c>
      <c r="T22" s="25"/>
      <c r="U22" s="25"/>
      <c r="V22" s="1">
        <f t="shared" si="4"/>
        <v>9.5955451348182894</v>
      </c>
      <c r="W22" s="1">
        <f t="shared" si="5"/>
        <v>8.6107854630715117</v>
      </c>
      <c r="X22" s="1">
        <v>132.80000000000001</v>
      </c>
      <c r="Y22" s="1">
        <v>119.4</v>
      </c>
      <c r="Z22" s="1">
        <v>161.80000000000001</v>
      </c>
      <c r="AA22" s="1">
        <v>107.4</v>
      </c>
      <c r="AB22" s="1">
        <v>133.4</v>
      </c>
      <c r="AC22" s="1">
        <v>125.4</v>
      </c>
      <c r="AD22" s="1">
        <v>87.6</v>
      </c>
      <c r="AE22" s="1">
        <v>136</v>
      </c>
      <c r="AF22" s="1">
        <v>211.8</v>
      </c>
      <c r="AG22" s="1">
        <v>99.8</v>
      </c>
      <c r="AH22" s="1"/>
      <c r="AI22" s="1">
        <f t="shared" ref="AI22:AI34" si="9">G22*R22</f>
        <v>48.691200000000023</v>
      </c>
      <c r="AJ22" s="7">
        <v>12</v>
      </c>
      <c r="AK22" s="9">
        <f t="shared" ref="AK22:AK34" si="10">MROUND(R22, AJ22*AM22)/AJ22</f>
        <v>14</v>
      </c>
      <c r="AL22" s="1">
        <f t="shared" ref="AL22:AL34" si="11">AK22*AJ22*G22</f>
        <v>40.32</v>
      </c>
      <c r="AM22" s="1">
        <v>14</v>
      </c>
      <c r="AN22" s="1">
        <v>70</v>
      </c>
      <c r="AO22" s="9">
        <f t="shared" ref="AO22:AO34" si="12">AK22/AN22</f>
        <v>0.2</v>
      </c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74</v>
      </c>
      <c r="B23" s="1" t="s">
        <v>42</v>
      </c>
      <c r="C23" s="1">
        <v>-1</v>
      </c>
      <c r="D23" s="1">
        <v>1</v>
      </c>
      <c r="E23" s="19">
        <f>0+E21</f>
        <v>396</v>
      </c>
      <c r="F23" s="19">
        <f>0+F21</f>
        <v>159</v>
      </c>
      <c r="G23" s="7">
        <v>0.48</v>
      </c>
      <c r="H23" s="1">
        <v>180</v>
      </c>
      <c r="I23" s="1" t="s">
        <v>76</v>
      </c>
      <c r="J23" s="1"/>
      <c r="K23" s="1"/>
      <c r="L23" s="1">
        <f t="shared" si="2"/>
        <v>396</v>
      </c>
      <c r="M23" s="1"/>
      <c r="N23" s="1"/>
      <c r="O23" s="1">
        <v>784</v>
      </c>
      <c r="P23" s="1">
        <f t="shared" si="3"/>
        <v>79.2</v>
      </c>
      <c r="Q23" s="5">
        <v>165.79999999999995</v>
      </c>
      <c r="R23" s="5">
        <f t="shared" si="7"/>
        <v>0</v>
      </c>
      <c r="S23" s="5">
        <f t="shared" si="8"/>
        <v>0</v>
      </c>
      <c r="T23" s="25"/>
      <c r="U23" s="25"/>
      <c r="V23" s="1">
        <f t="shared" si="4"/>
        <v>11.906565656565656</v>
      </c>
      <c r="W23" s="1">
        <f t="shared" si="5"/>
        <v>11.906565656565656</v>
      </c>
      <c r="X23" s="1">
        <v>79.2</v>
      </c>
      <c r="Y23" s="1">
        <v>68.400000000000006</v>
      </c>
      <c r="Z23" s="1">
        <v>70.2</v>
      </c>
      <c r="AA23" s="1">
        <v>73.599999999999994</v>
      </c>
      <c r="AB23" s="1">
        <v>45.6</v>
      </c>
      <c r="AC23" s="1">
        <v>44.8</v>
      </c>
      <c r="AD23" s="1">
        <v>34.6</v>
      </c>
      <c r="AE23" s="1">
        <v>28.2</v>
      </c>
      <c r="AF23" s="1">
        <v>130</v>
      </c>
      <c r="AG23" s="1">
        <v>84.6</v>
      </c>
      <c r="AH23" s="1"/>
      <c r="AI23" s="1">
        <f t="shared" si="9"/>
        <v>0</v>
      </c>
      <c r="AJ23" s="7">
        <v>8</v>
      </c>
      <c r="AK23" s="9">
        <f t="shared" si="10"/>
        <v>0</v>
      </c>
      <c r="AL23" s="1">
        <f t="shared" si="11"/>
        <v>0</v>
      </c>
      <c r="AM23" s="1">
        <v>14</v>
      </c>
      <c r="AN23" s="1">
        <v>70</v>
      </c>
      <c r="AO23" s="9">
        <f t="shared" si="12"/>
        <v>0</v>
      </c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77</v>
      </c>
      <c r="B24" s="1" t="s">
        <v>42</v>
      </c>
      <c r="C24" s="1">
        <v>416</v>
      </c>
      <c r="D24" s="1">
        <v>2077</v>
      </c>
      <c r="E24" s="1">
        <v>568</v>
      </c>
      <c r="F24" s="1">
        <v>1850</v>
      </c>
      <c r="G24" s="7">
        <v>0.09</v>
      </c>
      <c r="H24" s="1">
        <v>180</v>
      </c>
      <c r="I24" s="1" t="s">
        <v>78</v>
      </c>
      <c r="J24" s="1"/>
      <c r="K24" s="1">
        <v>604</v>
      </c>
      <c r="L24" s="1">
        <f t="shared" si="2"/>
        <v>-36</v>
      </c>
      <c r="M24" s="1"/>
      <c r="N24" s="1"/>
      <c r="O24" s="1">
        <v>0</v>
      </c>
      <c r="P24" s="1">
        <f t="shared" si="3"/>
        <v>113.6</v>
      </c>
      <c r="Q24" s="5"/>
      <c r="R24" s="5"/>
      <c r="S24" s="5">
        <f t="shared" si="8"/>
        <v>0</v>
      </c>
      <c r="T24" s="25"/>
      <c r="U24" s="25"/>
      <c r="V24" s="1">
        <f t="shared" si="4"/>
        <v>16.285211267605636</v>
      </c>
      <c r="W24" s="1">
        <f t="shared" si="5"/>
        <v>16.285211267605636</v>
      </c>
      <c r="X24" s="1">
        <v>144.80000000000001</v>
      </c>
      <c r="Y24" s="1">
        <v>210.6</v>
      </c>
      <c r="Z24" s="1">
        <v>160.19999999999999</v>
      </c>
      <c r="AA24" s="1">
        <v>173.4</v>
      </c>
      <c r="AB24" s="1">
        <v>201</v>
      </c>
      <c r="AC24" s="1">
        <v>236.2</v>
      </c>
      <c r="AD24" s="1">
        <v>153</v>
      </c>
      <c r="AE24" s="1">
        <v>114.4</v>
      </c>
      <c r="AF24" s="1">
        <v>151.4</v>
      </c>
      <c r="AG24" s="1">
        <v>219.8</v>
      </c>
      <c r="AH24" s="1"/>
      <c r="AI24" s="1">
        <f t="shared" si="9"/>
        <v>0</v>
      </c>
      <c r="AJ24" s="7">
        <v>24</v>
      </c>
      <c r="AK24" s="9">
        <f t="shared" si="10"/>
        <v>0</v>
      </c>
      <c r="AL24" s="1">
        <f t="shared" si="11"/>
        <v>0</v>
      </c>
      <c r="AM24" s="1">
        <v>14</v>
      </c>
      <c r="AN24" s="1">
        <v>126</v>
      </c>
      <c r="AO24" s="9">
        <f t="shared" si="12"/>
        <v>0</v>
      </c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79</v>
      </c>
      <c r="B25" s="1" t="s">
        <v>42</v>
      </c>
      <c r="C25" s="1">
        <v>-1</v>
      </c>
      <c r="D25" s="1"/>
      <c r="E25" s="1"/>
      <c r="F25" s="1">
        <v>-1</v>
      </c>
      <c r="G25" s="7">
        <v>0.36</v>
      </c>
      <c r="H25" s="1">
        <v>180</v>
      </c>
      <c r="I25" s="1" t="s">
        <v>80</v>
      </c>
      <c r="J25" s="1"/>
      <c r="K25" s="1">
        <v>72</v>
      </c>
      <c r="L25" s="1">
        <f t="shared" si="2"/>
        <v>-72</v>
      </c>
      <c r="M25" s="1"/>
      <c r="N25" s="1"/>
      <c r="O25" s="1">
        <v>0</v>
      </c>
      <c r="P25" s="1">
        <f t="shared" si="3"/>
        <v>0</v>
      </c>
      <c r="Q25" s="20">
        <v>0</v>
      </c>
      <c r="R25" s="20">
        <v>0</v>
      </c>
      <c r="S25" s="20">
        <f t="shared" si="8"/>
        <v>0</v>
      </c>
      <c r="T25" s="26"/>
      <c r="U25" s="25"/>
      <c r="V25" s="1" t="e">
        <f t="shared" si="4"/>
        <v>#DIV/0!</v>
      </c>
      <c r="W25" s="1" t="e">
        <f t="shared" si="5"/>
        <v>#DIV/0!</v>
      </c>
      <c r="X25" s="1">
        <v>0</v>
      </c>
      <c r="Y25" s="1">
        <v>0</v>
      </c>
      <c r="Z25" s="1">
        <v>0</v>
      </c>
      <c r="AA25" s="1">
        <v>0.4</v>
      </c>
      <c r="AB25" s="1">
        <v>22</v>
      </c>
      <c r="AC25" s="1">
        <v>28.6</v>
      </c>
      <c r="AD25" s="1">
        <v>28.4</v>
      </c>
      <c r="AE25" s="1">
        <v>25.8</v>
      </c>
      <c r="AF25" s="1">
        <v>7.6</v>
      </c>
      <c r="AG25" s="1">
        <v>17.8</v>
      </c>
      <c r="AH25" s="21" t="s">
        <v>81</v>
      </c>
      <c r="AI25" s="1">
        <f t="shared" si="9"/>
        <v>0</v>
      </c>
      <c r="AJ25" s="7">
        <v>10</v>
      </c>
      <c r="AK25" s="9">
        <f t="shared" si="10"/>
        <v>0</v>
      </c>
      <c r="AL25" s="1">
        <f t="shared" si="11"/>
        <v>0</v>
      </c>
      <c r="AM25" s="1">
        <v>14</v>
      </c>
      <c r="AN25" s="1">
        <v>70</v>
      </c>
      <c r="AO25" s="9">
        <f t="shared" si="12"/>
        <v>0</v>
      </c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82</v>
      </c>
      <c r="B26" s="1" t="s">
        <v>42</v>
      </c>
      <c r="C26" s="1">
        <v>425</v>
      </c>
      <c r="D26" s="1">
        <v>16</v>
      </c>
      <c r="E26" s="1">
        <v>252</v>
      </c>
      <c r="F26" s="1">
        <v>158</v>
      </c>
      <c r="G26" s="7">
        <v>0.2</v>
      </c>
      <c r="H26" s="1">
        <v>180</v>
      </c>
      <c r="I26" s="1" t="s">
        <v>83</v>
      </c>
      <c r="J26" s="1"/>
      <c r="K26" s="1">
        <v>266</v>
      </c>
      <c r="L26" s="1">
        <f t="shared" si="2"/>
        <v>-14</v>
      </c>
      <c r="M26" s="1"/>
      <c r="N26" s="1"/>
      <c r="O26" s="1">
        <v>336</v>
      </c>
      <c r="P26" s="1">
        <f t="shared" si="3"/>
        <v>50.4</v>
      </c>
      <c r="Q26" s="5">
        <v>211.60000000000002</v>
      </c>
      <c r="R26" s="5">
        <f t="shared" ref="R26:R29" si="13">IF(14*P26-O26-F26+$R$1*P26&lt;0,0,14*P26-O26-F26+$R$1*P26)</f>
        <v>0</v>
      </c>
      <c r="S26" s="5">
        <f t="shared" si="8"/>
        <v>0</v>
      </c>
      <c r="T26" s="25"/>
      <c r="U26" s="25"/>
      <c r="V26" s="1">
        <f t="shared" si="4"/>
        <v>9.8015873015873023</v>
      </c>
      <c r="W26" s="1">
        <f t="shared" si="5"/>
        <v>9.8015873015873023</v>
      </c>
      <c r="X26" s="1">
        <v>46.6</v>
      </c>
      <c r="Y26" s="1">
        <v>46</v>
      </c>
      <c r="Z26" s="1">
        <v>65.599999999999994</v>
      </c>
      <c r="AA26" s="1">
        <v>48.2</v>
      </c>
      <c r="AB26" s="1">
        <v>66</v>
      </c>
      <c r="AC26" s="1">
        <v>76.2</v>
      </c>
      <c r="AD26" s="1">
        <v>34.4</v>
      </c>
      <c r="AE26" s="1">
        <v>75</v>
      </c>
      <c r="AF26" s="1">
        <v>132.80000000000001</v>
      </c>
      <c r="AG26" s="1">
        <v>56.6</v>
      </c>
      <c r="AH26" s="1"/>
      <c r="AI26" s="1">
        <f t="shared" si="9"/>
        <v>0</v>
      </c>
      <c r="AJ26" s="7">
        <v>12</v>
      </c>
      <c r="AK26" s="9">
        <f t="shared" si="10"/>
        <v>0</v>
      </c>
      <c r="AL26" s="1">
        <f t="shared" si="11"/>
        <v>0</v>
      </c>
      <c r="AM26" s="1">
        <v>14</v>
      </c>
      <c r="AN26" s="1">
        <v>70</v>
      </c>
      <c r="AO26" s="9">
        <f t="shared" si="12"/>
        <v>0</v>
      </c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84</v>
      </c>
      <c r="B27" s="1" t="s">
        <v>42</v>
      </c>
      <c r="C27" s="1">
        <v>-57</v>
      </c>
      <c r="D27" s="1">
        <v>301</v>
      </c>
      <c r="E27" s="19">
        <f>243+E69</f>
        <v>775</v>
      </c>
      <c r="F27" s="19">
        <f>-18+F69</f>
        <v>601</v>
      </c>
      <c r="G27" s="7">
        <v>0.2</v>
      </c>
      <c r="H27" s="1">
        <v>180</v>
      </c>
      <c r="I27" s="1" t="s">
        <v>85</v>
      </c>
      <c r="J27" s="1"/>
      <c r="K27" s="1">
        <v>243</v>
      </c>
      <c r="L27" s="1">
        <f t="shared" si="2"/>
        <v>532</v>
      </c>
      <c r="M27" s="1"/>
      <c r="N27" s="1"/>
      <c r="O27" s="1">
        <v>504</v>
      </c>
      <c r="P27" s="1">
        <f t="shared" si="3"/>
        <v>155</v>
      </c>
      <c r="Q27" s="5">
        <v>1065</v>
      </c>
      <c r="R27" s="5">
        <f t="shared" si="13"/>
        <v>414</v>
      </c>
      <c r="S27" s="5">
        <f t="shared" si="8"/>
        <v>336</v>
      </c>
      <c r="T27" s="25"/>
      <c r="U27" s="25"/>
      <c r="V27" s="1">
        <f t="shared" si="4"/>
        <v>9.2967741935483872</v>
      </c>
      <c r="W27" s="1">
        <f t="shared" si="5"/>
        <v>7.129032258064516</v>
      </c>
      <c r="X27" s="1">
        <v>114.8</v>
      </c>
      <c r="Y27" s="1">
        <v>142.6</v>
      </c>
      <c r="Z27" s="1">
        <v>165</v>
      </c>
      <c r="AA27" s="1">
        <v>123.6</v>
      </c>
      <c r="AB27" s="1">
        <v>169.6</v>
      </c>
      <c r="AC27" s="1">
        <v>189.4</v>
      </c>
      <c r="AD27" s="1">
        <v>124</v>
      </c>
      <c r="AE27" s="1">
        <v>163.80000000000001</v>
      </c>
      <c r="AF27" s="1">
        <v>277.60000000000002</v>
      </c>
      <c r="AG27" s="1">
        <v>113</v>
      </c>
      <c r="AH27" s="1"/>
      <c r="AI27" s="1">
        <f t="shared" si="9"/>
        <v>82.800000000000011</v>
      </c>
      <c r="AJ27" s="7">
        <v>12</v>
      </c>
      <c r="AK27" s="9">
        <f t="shared" si="10"/>
        <v>28</v>
      </c>
      <c r="AL27" s="1">
        <f t="shared" si="11"/>
        <v>67.2</v>
      </c>
      <c r="AM27" s="1">
        <v>14</v>
      </c>
      <c r="AN27" s="1">
        <v>70</v>
      </c>
      <c r="AO27" s="9">
        <f t="shared" si="12"/>
        <v>0.4</v>
      </c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56</v>
      </c>
      <c r="B28" s="1" t="s">
        <v>42</v>
      </c>
      <c r="C28" s="1">
        <v>-31</v>
      </c>
      <c r="D28" s="1">
        <v>213</v>
      </c>
      <c r="E28" s="19">
        <f>178+E11</f>
        <v>521</v>
      </c>
      <c r="F28" s="19">
        <f>0+F11</f>
        <v>779</v>
      </c>
      <c r="G28" s="7">
        <v>0.2</v>
      </c>
      <c r="H28" s="1">
        <v>180</v>
      </c>
      <c r="I28" s="1" t="s">
        <v>86</v>
      </c>
      <c r="J28" s="1"/>
      <c r="K28" s="1">
        <v>180</v>
      </c>
      <c r="L28" s="1">
        <f t="shared" si="2"/>
        <v>341</v>
      </c>
      <c r="M28" s="1"/>
      <c r="N28" s="1"/>
      <c r="O28" s="1">
        <v>672</v>
      </c>
      <c r="P28" s="1">
        <f t="shared" si="3"/>
        <v>104.2</v>
      </c>
      <c r="Q28" s="5">
        <v>112</v>
      </c>
      <c r="R28" s="5">
        <f t="shared" si="13"/>
        <v>0</v>
      </c>
      <c r="S28" s="5">
        <f t="shared" si="8"/>
        <v>0</v>
      </c>
      <c r="T28" s="25"/>
      <c r="U28" s="25"/>
      <c r="V28" s="1">
        <f t="shared" si="4"/>
        <v>13.925143953934741</v>
      </c>
      <c r="W28" s="1">
        <f t="shared" si="5"/>
        <v>13.925143953934741</v>
      </c>
      <c r="X28" s="1">
        <v>112.8</v>
      </c>
      <c r="Y28" s="1">
        <v>115.2</v>
      </c>
      <c r="Z28" s="1">
        <v>121.2</v>
      </c>
      <c r="AA28" s="1">
        <v>105.4</v>
      </c>
      <c r="AB28" s="1">
        <v>107.8</v>
      </c>
      <c r="AC28" s="1">
        <v>134.4</v>
      </c>
      <c r="AD28" s="1">
        <v>105.2</v>
      </c>
      <c r="AE28" s="1">
        <v>117</v>
      </c>
      <c r="AF28" s="1">
        <v>248.2</v>
      </c>
      <c r="AG28" s="1">
        <v>107.2</v>
      </c>
      <c r="AH28" s="1"/>
      <c r="AI28" s="1">
        <f t="shared" si="9"/>
        <v>0</v>
      </c>
      <c r="AJ28" s="7">
        <v>12</v>
      </c>
      <c r="AK28" s="9">
        <f t="shared" si="10"/>
        <v>0</v>
      </c>
      <c r="AL28" s="1">
        <f t="shared" si="11"/>
        <v>0</v>
      </c>
      <c r="AM28" s="1">
        <v>14</v>
      </c>
      <c r="AN28" s="1">
        <v>70</v>
      </c>
      <c r="AO28" s="9">
        <f t="shared" si="12"/>
        <v>0</v>
      </c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87</v>
      </c>
      <c r="B29" s="1" t="s">
        <v>88</v>
      </c>
      <c r="C29" s="1">
        <v>353.9</v>
      </c>
      <c r="D29" s="1">
        <v>689.5</v>
      </c>
      <c r="E29" s="1">
        <v>291.60000000000002</v>
      </c>
      <c r="F29" s="1">
        <v>714.8</v>
      </c>
      <c r="G29" s="7">
        <v>1</v>
      </c>
      <c r="H29" s="1"/>
      <c r="I29" s="1" t="s">
        <v>89</v>
      </c>
      <c r="J29" s="1"/>
      <c r="K29" s="1">
        <v>301.60000000000002</v>
      </c>
      <c r="L29" s="1">
        <f t="shared" si="2"/>
        <v>-10</v>
      </c>
      <c r="M29" s="1"/>
      <c r="N29" s="1"/>
      <c r="O29" s="1">
        <v>0</v>
      </c>
      <c r="P29" s="1">
        <f t="shared" si="3"/>
        <v>58.320000000000007</v>
      </c>
      <c r="Q29" s="5">
        <v>101.68000000000018</v>
      </c>
      <c r="R29" s="5">
        <f t="shared" si="13"/>
        <v>0</v>
      </c>
      <c r="S29" s="5">
        <f t="shared" si="8"/>
        <v>0</v>
      </c>
      <c r="T29" s="25"/>
      <c r="U29" s="25"/>
      <c r="V29" s="1">
        <f t="shared" si="4"/>
        <v>12.256515775034291</v>
      </c>
      <c r="W29" s="1">
        <f t="shared" si="5"/>
        <v>12.256515775034291</v>
      </c>
      <c r="X29" s="1">
        <v>39.479999999999997</v>
      </c>
      <c r="Y29" s="1">
        <v>54.760000000000012</v>
      </c>
      <c r="Z29" s="1">
        <v>50.44</v>
      </c>
      <c r="AA29" s="1">
        <v>37.64</v>
      </c>
      <c r="AB29" s="1">
        <v>50.6</v>
      </c>
      <c r="AC29" s="1">
        <v>37.760000000000012</v>
      </c>
      <c r="AD29" s="1">
        <v>30.32</v>
      </c>
      <c r="AE29" s="1">
        <v>45.56</v>
      </c>
      <c r="AF29" s="1">
        <v>23</v>
      </c>
      <c r="AG29" s="1">
        <v>21</v>
      </c>
      <c r="AH29" s="1"/>
      <c r="AI29" s="1">
        <f t="shared" si="9"/>
        <v>0</v>
      </c>
      <c r="AJ29" s="7">
        <v>3.7</v>
      </c>
      <c r="AK29" s="9">
        <f t="shared" si="10"/>
        <v>0</v>
      </c>
      <c r="AL29" s="1">
        <f t="shared" si="11"/>
        <v>0</v>
      </c>
      <c r="AM29" s="1">
        <v>14</v>
      </c>
      <c r="AN29" s="1">
        <v>126</v>
      </c>
      <c r="AO29" s="9">
        <f t="shared" si="12"/>
        <v>0</v>
      </c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90</v>
      </c>
      <c r="B30" s="1" t="s">
        <v>88</v>
      </c>
      <c r="C30" s="1">
        <v>27.5</v>
      </c>
      <c r="D30" s="1">
        <v>374</v>
      </c>
      <c r="E30" s="1">
        <v>66</v>
      </c>
      <c r="F30" s="1">
        <v>275</v>
      </c>
      <c r="G30" s="7">
        <v>1</v>
      </c>
      <c r="H30" s="1">
        <v>180</v>
      </c>
      <c r="I30" s="1" t="s">
        <v>91</v>
      </c>
      <c r="J30" s="1"/>
      <c r="K30" s="1">
        <v>132.1</v>
      </c>
      <c r="L30" s="1">
        <f t="shared" si="2"/>
        <v>-66.099999999999994</v>
      </c>
      <c r="M30" s="1"/>
      <c r="N30" s="1"/>
      <c r="O30" s="1">
        <v>0</v>
      </c>
      <c r="P30" s="1">
        <f t="shared" si="3"/>
        <v>13.2</v>
      </c>
      <c r="Q30" s="5"/>
      <c r="R30" s="5"/>
      <c r="S30" s="5">
        <f t="shared" si="8"/>
        <v>0</v>
      </c>
      <c r="T30" s="25"/>
      <c r="U30" s="25"/>
      <c r="V30" s="1">
        <f t="shared" si="4"/>
        <v>20.833333333333336</v>
      </c>
      <c r="W30" s="1">
        <f t="shared" si="5"/>
        <v>20.833333333333336</v>
      </c>
      <c r="X30" s="1">
        <v>19.5</v>
      </c>
      <c r="Y30" s="1">
        <v>23.9</v>
      </c>
      <c r="Z30" s="1">
        <v>16.399999999999999</v>
      </c>
      <c r="AA30" s="1">
        <v>23</v>
      </c>
      <c r="AB30" s="1">
        <v>20.8</v>
      </c>
      <c r="AC30" s="1">
        <v>23</v>
      </c>
      <c r="AD30" s="1">
        <v>13.2</v>
      </c>
      <c r="AE30" s="1">
        <v>12</v>
      </c>
      <c r="AF30" s="1">
        <v>25</v>
      </c>
      <c r="AG30" s="1">
        <v>29.7</v>
      </c>
      <c r="AH30" s="1"/>
      <c r="AI30" s="1">
        <f t="shared" si="9"/>
        <v>0</v>
      </c>
      <c r="AJ30" s="7">
        <v>5.5</v>
      </c>
      <c r="AK30" s="9">
        <f t="shared" si="10"/>
        <v>0</v>
      </c>
      <c r="AL30" s="1">
        <f t="shared" si="11"/>
        <v>0</v>
      </c>
      <c r="AM30" s="1">
        <v>12</v>
      </c>
      <c r="AN30" s="1">
        <v>84</v>
      </c>
      <c r="AO30" s="9">
        <f t="shared" si="12"/>
        <v>0</v>
      </c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92</v>
      </c>
      <c r="B31" s="1" t="s">
        <v>88</v>
      </c>
      <c r="C31" s="1">
        <v>21</v>
      </c>
      <c r="D31" s="1">
        <v>105</v>
      </c>
      <c r="E31" s="19">
        <f>36+E68</f>
        <v>138</v>
      </c>
      <c r="F31" s="19">
        <f>0+F68</f>
        <v>89.3</v>
      </c>
      <c r="G31" s="7">
        <v>1</v>
      </c>
      <c r="H31" s="1">
        <v>180</v>
      </c>
      <c r="I31" s="1" t="s">
        <v>93</v>
      </c>
      <c r="J31" s="1"/>
      <c r="K31" s="1">
        <v>90</v>
      </c>
      <c r="L31" s="1">
        <f t="shared" si="2"/>
        <v>48</v>
      </c>
      <c r="M31" s="1"/>
      <c r="N31" s="1"/>
      <c r="O31" s="1">
        <v>378</v>
      </c>
      <c r="P31" s="1">
        <f t="shared" si="3"/>
        <v>27.6</v>
      </c>
      <c r="Q31" s="5"/>
      <c r="R31" s="5"/>
      <c r="S31" s="5">
        <f t="shared" si="8"/>
        <v>0</v>
      </c>
      <c r="T31" s="25"/>
      <c r="U31" s="25"/>
      <c r="V31" s="1">
        <f t="shared" si="4"/>
        <v>16.931159420289855</v>
      </c>
      <c r="W31" s="1">
        <f t="shared" si="5"/>
        <v>16.931159420289855</v>
      </c>
      <c r="X31" s="1">
        <v>17.399999999999999</v>
      </c>
      <c r="Y31" s="1">
        <v>19.34</v>
      </c>
      <c r="Z31" s="1">
        <v>32.6</v>
      </c>
      <c r="AA31" s="1">
        <v>21.88</v>
      </c>
      <c r="AB31" s="1">
        <v>28.8</v>
      </c>
      <c r="AC31" s="1">
        <v>28.2</v>
      </c>
      <c r="AD31" s="1">
        <v>29.4</v>
      </c>
      <c r="AE31" s="1">
        <v>24.6</v>
      </c>
      <c r="AF31" s="1">
        <v>25.8</v>
      </c>
      <c r="AG31" s="1">
        <v>45</v>
      </c>
      <c r="AH31" s="1"/>
      <c r="AI31" s="1">
        <f t="shared" si="9"/>
        <v>0</v>
      </c>
      <c r="AJ31" s="7">
        <v>3</v>
      </c>
      <c r="AK31" s="9">
        <f t="shared" si="10"/>
        <v>0</v>
      </c>
      <c r="AL31" s="1">
        <f t="shared" si="11"/>
        <v>0</v>
      </c>
      <c r="AM31" s="1">
        <v>14</v>
      </c>
      <c r="AN31" s="1">
        <v>126</v>
      </c>
      <c r="AO31" s="9">
        <f t="shared" si="12"/>
        <v>0</v>
      </c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94</v>
      </c>
      <c r="B32" s="1" t="s">
        <v>42</v>
      </c>
      <c r="C32" s="1"/>
      <c r="D32" s="1">
        <v>341</v>
      </c>
      <c r="E32" s="1">
        <v>68</v>
      </c>
      <c r="F32" s="1">
        <v>251</v>
      </c>
      <c r="G32" s="7">
        <v>0.23</v>
      </c>
      <c r="H32" s="1">
        <v>180</v>
      </c>
      <c r="I32" s="1" t="s">
        <v>95</v>
      </c>
      <c r="J32" s="1"/>
      <c r="K32" s="1">
        <v>83</v>
      </c>
      <c r="L32" s="1">
        <f t="shared" si="2"/>
        <v>-15</v>
      </c>
      <c r="M32" s="1"/>
      <c r="N32" s="1"/>
      <c r="O32" s="1">
        <v>0</v>
      </c>
      <c r="P32" s="1">
        <f t="shared" si="3"/>
        <v>13.6</v>
      </c>
      <c r="Q32" s="5"/>
      <c r="R32" s="5"/>
      <c r="S32" s="5">
        <f t="shared" si="8"/>
        <v>0</v>
      </c>
      <c r="T32" s="25"/>
      <c r="U32" s="25"/>
      <c r="V32" s="1">
        <f t="shared" si="4"/>
        <v>18.455882352941178</v>
      </c>
      <c r="W32" s="1">
        <f t="shared" si="5"/>
        <v>18.455882352941178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 t="s">
        <v>49</v>
      </c>
      <c r="AI32" s="1">
        <f t="shared" si="9"/>
        <v>0</v>
      </c>
      <c r="AJ32" s="7">
        <v>12</v>
      </c>
      <c r="AK32" s="9">
        <f t="shared" si="10"/>
        <v>0</v>
      </c>
      <c r="AL32" s="1">
        <f t="shared" si="11"/>
        <v>0</v>
      </c>
      <c r="AM32" s="1">
        <v>14</v>
      </c>
      <c r="AN32" s="1">
        <v>70</v>
      </c>
      <c r="AO32" s="9">
        <f t="shared" si="12"/>
        <v>0</v>
      </c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46</v>
      </c>
      <c r="B33" s="1" t="s">
        <v>42</v>
      </c>
      <c r="C33" s="1">
        <v>466</v>
      </c>
      <c r="D33" s="1">
        <v>1123</v>
      </c>
      <c r="E33" s="19">
        <f>579+E7</f>
        <v>710</v>
      </c>
      <c r="F33" s="19">
        <f>842+F7</f>
        <v>908</v>
      </c>
      <c r="G33" s="7">
        <v>0.25</v>
      </c>
      <c r="H33" s="1">
        <v>365</v>
      </c>
      <c r="I33" s="1" t="s">
        <v>96</v>
      </c>
      <c r="J33" s="1"/>
      <c r="K33" s="1">
        <v>685</v>
      </c>
      <c r="L33" s="1">
        <f t="shared" si="2"/>
        <v>25</v>
      </c>
      <c r="M33" s="1"/>
      <c r="N33" s="1"/>
      <c r="O33" s="1">
        <v>756</v>
      </c>
      <c r="P33" s="1">
        <f t="shared" si="3"/>
        <v>142</v>
      </c>
      <c r="Q33" s="5">
        <v>324</v>
      </c>
      <c r="R33" s="5">
        <f t="shared" ref="R33:R34" si="14">IF(14*P33-O33-F33+$R$1*P33&lt;0,0,14*P33-O33-F33+$R$1*P33)</f>
        <v>0</v>
      </c>
      <c r="S33" s="5">
        <f t="shared" si="8"/>
        <v>0</v>
      </c>
      <c r="T33" s="25"/>
      <c r="U33" s="25"/>
      <c r="V33" s="1">
        <f t="shared" si="4"/>
        <v>11.71830985915493</v>
      </c>
      <c r="W33" s="1">
        <f t="shared" si="5"/>
        <v>11.71830985915493</v>
      </c>
      <c r="X33" s="1">
        <v>141.4</v>
      </c>
      <c r="Y33" s="1">
        <v>155.4</v>
      </c>
      <c r="Z33" s="1">
        <v>152.19999999999999</v>
      </c>
      <c r="AA33" s="1">
        <v>145.19999999999999</v>
      </c>
      <c r="AB33" s="1">
        <v>148</v>
      </c>
      <c r="AC33" s="1">
        <v>170.6</v>
      </c>
      <c r="AD33" s="1">
        <v>128</v>
      </c>
      <c r="AE33" s="1">
        <v>141.4</v>
      </c>
      <c r="AF33" s="1">
        <v>216.8</v>
      </c>
      <c r="AG33" s="1">
        <v>147.4</v>
      </c>
      <c r="AH33" s="1"/>
      <c r="AI33" s="1">
        <f t="shared" si="9"/>
        <v>0</v>
      </c>
      <c r="AJ33" s="7">
        <v>6</v>
      </c>
      <c r="AK33" s="9">
        <f t="shared" si="10"/>
        <v>0</v>
      </c>
      <c r="AL33" s="1">
        <f t="shared" si="11"/>
        <v>0</v>
      </c>
      <c r="AM33" s="1">
        <v>14</v>
      </c>
      <c r="AN33" s="1">
        <v>140</v>
      </c>
      <c r="AO33" s="9">
        <f t="shared" si="12"/>
        <v>0</v>
      </c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97</v>
      </c>
      <c r="B34" s="1" t="s">
        <v>42</v>
      </c>
      <c r="C34" s="1">
        <v>858</v>
      </c>
      <c r="D34" s="1">
        <v>420</v>
      </c>
      <c r="E34" s="1">
        <v>416</v>
      </c>
      <c r="F34" s="1">
        <v>705</v>
      </c>
      <c r="G34" s="7">
        <v>0.25</v>
      </c>
      <c r="H34" s="1">
        <v>365</v>
      </c>
      <c r="I34" s="1" t="s">
        <v>98</v>
      </c>
      <c r="J34" s="1"/>
      <c r="K34" s="1">
        <v>497</v>
      </c>
      <c r="L34" s="1">
        <f t="shared" si="2"/>
        <v>-81</v>
      </c>
      <c r="M34" s="1"/>
      <c r="N34" s="1"/>
      <c r="O34" s="1">
        <v>0</v>
      </c>
      <c r="P34" s="1">
        <f t="shared" si="3"/>
        <v>83.2</v>
      </c>
      <c r="Q34" s="5">
        <v>459.79999999999995</v>
      </c>
      <c r="R34" s="5">
        <f t="shared" si="14"/>
        <v>110.3599999999999</v>
      </c>
      <c r="S34" s="5">
        <f t="shared" si="8"/>
        <v>84</v>
      </c>
      <c r="T34" s="25"/>
      <c r="U34" s="25"/>
      <c r="V34" s="1">
        <f t="shared" si="4"/>
        <v>9.4831730769230766</v>
      </c>
      <c r="W34" s="1">
        <f t="shared" si="5"/>
        <v>8.4735576923076916</v>
      </c>
      <c r="X34" s="1">
        <v>67.400000000000006</v>
      </c>
      <c r="Y34" s="1">
        <v>96.4</v>
      </c>
      <c r="Z34" s="1">
        <v>105.6</v>
      </c>
      <c r="AA34" s="1">
        <v>72.400000000000006</v>
      </c>
      <c r="AB34" s="1">
        <v>84.8</v>
      </c>
      <c r="AC34" s="1">
        <v>106.8</v>
      </c>
      <c r="AD34" s="1">
        <v>85.8</v>
      </c>
      <c r="AE34" s="1">
        <v>62</v>
      </c>
      <c r="AF34" s="1">
        <v>165.8</v>
      </c>
      <c r="AG34" s="1">
        <v>143</v>
      </c>
      <c r="AH34" s="1"/>
      <c r="AI34" s="1">
        <f t="shared" si="9"/>
        <v>27.589999999999975</v>
      </c>
      <c r="AJ34" s="7">
        <v>6</v>
      </c>
      <c r="AK34" s="9">
        <f t="shared" si="10"/>
        <v>14</v>
      </c>
      <c r="AL34" s="1">
        <f t="shared" si="11"/>
        <v>21</v>
      </c>
      <c r="AM34" s="1">
        <v>14</v>
      </c>
      <c r="AN34" s="1">
        <v>140</v>
      </c>
      <c r="AO34" s="9">
        <f t="shared" si="12"/>
        <v>0.1</v>
      </c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99</v>
      </c>
      <c r="B35" s="14" t="s">
        <v>88</v>
      </c>
      <c r="C35" s="14">
        <v>588</v>
      </c>
      <c r="D35" s="14">
        <v>2294</v>
      </c>
      <c r="E35" s="19">
        <v>867</v>
      </c>
      <c r="F35" s="19">
        <v>1785</v>
      </c>
      <c r="G35" s="15">
        <v>0</v>
      </c>
      <c r="H35" s="14">
        <v>180</v>
      </c>
      <c r="I35" s="14" t="s">
        <v>51</v>
      </c>
      <c r="J35" s="14" t="s">
        <v>100</v>
      </c>
      <c r="K35" s="14">
        <v>887</v>
      </c>
      <c r="L35" s="14">
        <f t="shared" si="2"/>
        <v>-20</v>
      </c>
      <c r="M35" s="14"/>
      <c r="N35" s="14"/>
      <c r="O35" s="14"/>
      <c r="P35" s="14">
        <f t="shared" si="3"/>
        <v>173.4</v>
      </c>
      <c r="Q35" s="16"/>
      <c r="R35" s="16"/>
      <c r="S35" s="16"/>
      <c r="T35" s="24"/>
      <c r="U35" s="25"/>
      <c r="V35" s="14">
        <f t="shared" si="4"/>
        <v>10.294117647058822</v>
      </c>
      <c r="W35" s="14">
        <f t="shared" si="5"/>
        <v>10.294117647058822</v>
      </c>
      <c r="X35" s="14">
        <v>117.6</v>
      </c>
      <c r="Y35" s="14">
        <v>160.80000000000001</v>
      </c>
      <c r="Z35" s="14">
        <v>31.2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/>
      <c r="AI35" s="14"/>
      <c r="AJ35" s="15"/>
      <c r="AK35" s="17"/>
      <c r="AL35" s="14"/>
      <c r="AM35" s="14"/>
      <c r="AN35" s="14"/>
      <c r="AO35" s="17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100</v>
      </c>
      <c r="B36" s="1" t="s">
        <v>88</v>
      </c>
      <c r="C36" s="1"/>
      <c r="D36" s="1">
        <v>34</v>
      </c>
      <c r="E36" s="19">
        <f>24+E35</f>
        <v>891</v>
      </c>
      <c r="F36" s="19">
        <f>0+F35</f>
        <v>1785</v>
      </c>
      <c r="G36" s="7">
        <v>1</v>
      </c>
      <c r="H36" s="1">
        <v>180</v>
      </c>
      <c r="I36" s="1" t="s">
        <v>101</v>
      </c>
      <c r="J36" s="1"/>
      <c r="K36" s="1">
        <v>37</v>
      </c>
      <c r="L36" s="1">
        <f t="shared" si="2"/>
        <v>854</v>
      </c>
      <c r="M36" s="1"/>
      <c r="N36" s="1"/>
      <c r="O36" s="1">
        <v>432</v>
      </c>
      <c r="P36" s="1">
        <f t="shared" si="3"/>
        <v>178.2</v>
      </c>
      <c r="Q36" s="5">
        <v>277.79999999999973</v>
      </c>
      <c r="R36" s="5">
        <f>IF(14*P36-O36-F36+$R$1*P36&lt;0,0,14*P36-O36-F36+$R$1*P36)</f>
        <v>0</v>
      </c>
      <c r="S36" s="5">
        <f t="shared" ref="S36:S61" si="15">AJ36*AK36</f>
        <v>0</v>
      </c>
      <c r="T36" s="25"/>
      <c r="U36" s="25"/>
      <c r="V36" s="1">
        <f t="shared" si="4"/>
        <v>12.441077441077441</v>
      </c>
      <c r="W36" s="1">
        <f t="shared" si="5"/>
        <v>12.441077441077441</v>
      </c>
      <c r="X36" s="1">
        <v>118.8</v>
      </c>
      <c r="Y36" s="1">
        <v>160.80000000000001</v>
      </c>
      <c r="Z36" s="1">
        <v>138.80000000000001</v>
      </c>
      <c r="AA36" s="1">
        <v>99.6</v>
      </c>
      <c r="AB36" s="1">
        <v>98.6</v>
      </c>
      <c r="AC36" s="1">
        <v>101.4</v>
      </c>
      <c r="AD36" s="1">
        <v>99.4</v>
      </c>
      <c r="AE36" s="1">
        <v>85.799800000000005</v>
      </c>
      <c r="AF36" s="1">
        <v>51.4</v>
      </c>
      <c r="AG36" s="1">
        <v>49.8</v>
      </c>
      <c r="AH36" s="1"/>
      <c r="AI36" s="1">
        <f t="shared" ref="AI36:AI61" si="16">G36*R36</f>
        <v>0</v>
      </c>
      <c r="AJ36" s="7">
        <v>6</v>
      </c>
      <c r="AK36" s="9">
        <f t="shared" ref="AK36:AK61" si="17">MROUND(R36, AJ36*AM36)/AJ36</f>
        <v>0</v>
      </c>
      <c r="AL36" s="1">
        <f t="shared" ref="AL36:AL61" si="18">AK36*AJ36*G36</f>
        <v>0</v>
      </c>
      <c r="AM36" s="1">
        <v>12</v>
      </c>
      <c r="AN36" s="1">
        <v>84</v>
      </c>
      <c r="AO36" s="9">
        <f t="shared" ref="AO36:AO61" si="19">AK36/AN36</f>
        <v>0</v>
      </c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102</v>
      </c>
      <c r="B37" s="1" t="s">
        <v>42</v>
      </c>
      <c r="C37" s="1">
        <v>1416</v>
      </c>
      <c r="D37" s="1">
        <v>1070</v>
      </c>
      <c r="E37" s="1">
        <v>606</v>
      </c>
      <c r="F37" s="1">
        <v>1716</v>
      </c>
      <c r="G37" s="7">
        <v>0.23</v>
      </c>
      <c r="H37" s="1">
        <v>180</v>
      </c>
      <c r="I37" s="1" t="s">
        <v>75</v>
      </c>
      <c r="J37" s="1"/>
      <c r="K37" s="1">
        <v>664</v>
      </c>
      <c r="L37" s="1">
        <f t="shared" si="2"/>
        <v>-58</v>
      </c>
      <c r="M37" s="1"/>
      <c r="N37" s="1"/>
      <c r="O37" s="1">
        <v>0</v>
      </c>
      <c r="P37" s="1">
        <f t="shared" si="3"/>
        <v>121.2</v>
      </c>
      <c r="Q37" s="5"/>
      <c r="R37" s="5"/>
      <c r="S37" s="5">
        <f t="shared" si="15"/>
        <v>0</v>
      </c>
      <c r="T37" s="25"/>
      <c r="U37" s="25"/>
      <c r="V37" s="1">
        <f t="shared" si="4"/>
        <v>14.158415841584159</v>
      </c>
      <c r="W37" s="1">
        <f t="shared" si="5"/>
        <v>14.158415841584159</v>
      </c>
      <c r="X37" s="1">
        <v>90.6</v>
      </c>
      <c r="Y37" s="1">
        <v>180.2</v>
      </c>
      <c r="Z37" s="1">
        <v>99</v>
      </c>
      <c r="AA37" s="1">
        <v>206</v>
      </c>
      <c r="AB37" s="1">
        <v>45.4</v>
      </c>
      <c r="AC37" s="1">
        <v>70</v>
      </c>
      <c r="AD37" s="1">
        <v>177.4</v>
      </c>
      <c r="AE37" s="1">
        <v>205.4</v>
      </c>
      <c r="AF37" s="1">
        <v>210</v>
      </c>
      <c r="AG37" s="1">
        <v>71.8</v>
      </c>
      <c r="AH37" s="1"/>
      <c r="AI37" s="1">
        <f t="shared" si="16"/>
        <v>0</v>
      </c>
      <c r="AJ37" s="7">
        <v>12</v>
      </c>
      <c r="AK37" s="9">
        <f t="shared" si="17"/>
        <v>0</v>
      </c>
      <c r="AL37" s="1">
        <f t="shared" si="18"/>
        <v>0</v>
      </c>
      <c r="AM37" s="1">
        <v>14</v>
      </c>
      <c r="AN37" s="1">
        <v>70</v>
      </c>
      <c r="AO37" s="9">
        <f t="shared" si="19"/>
        <v>0</v>
      </c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103</v>
      </c>
      <c r="B38" s="1" t="s">
        <v>42</v>
      </c>
      <c r="C38" s="1">
        <v>1327</v>
      </c>
      <c r="D38" s="1">
        <v>1648</v>
      </c>
      <c r="E38" s="1">
        <v>1226</v>
      </c>
      <c r="F38" s="1">
        <v>1392</v>
      </c>
      <c r="G38" s="7">
        <v>0.25</v>
      </c>
      <c r="H38" s="1">
        <v>365</v>
      </c>
      <c r="I38" s="1" t="s">
        <v>104</v>
      </c>
      <c r="J38" s="1"/>
      <c r="K38" s="1">
        <v>1369</v>
      </c>
      <c r="L38" s="1">
        <f t="shared" ref="L38:L69" si="20">E38-K38</f>
        <v>-143</v>
      </c>
      <c r="M38" s="1"/>
      <c r="N38" s="1"/>
      <c r="O38" s="1">
        <v>2016</v>
      </c>
      <c r="P38" s="1">
        <f t="shared" ref="P38:P69" si="21">E38/5</f>
        <v>245.2</v>
      </c>
      <c r="Q38" s="5">
        <v>270</v>
      </c>
      <c r="R38" s="5">
        <f t="shared" ref="R38:R39" si="22">IF(14*P38-O38-F38+$R$1*P38&lt;0,0,14*P38-O38-F38+$R$1*P38)</f>
        <v>0</v>
      </c>
      <c r="S38" s="5">
        <f t="shared" si="15"/>
        <v>0</v>
      </c>
      <c r="T38" s="25"/>
      <c r="U38" s="25"/>
      <c r="V38" s="1">
        <f t="shared" ref="V38:V69" si="23">(F38+O38+S38)/P38</f>
        <v>13.898858075040783</v>
      </c>
      <c r="W38" s="1">
        <f t="shared" ref="W38:W69" si="24">(F38+O38)/P38</f>
        <v>13.898858075040783</v>
      </c>
      <c r="X38" s="1">
        <v>275.2</v>
      </c>
      <c r="Y38" s="1">
        <v>263</v>
      </c>
      <c r="Z38" s="1">
        <v>284.2</v>
      </c>
      <c r="AA38" s="1">
        <v>234.8</v>
      </c>
      <c r="AB38" s="1">
        <v>270.39999999999998</v>
      </c>
      <c r="AC38" s="1">
        <v>319.39999999999998</v>
      </c>
      <c r="AD38" s="1">
        <v>267.39999999999998</v>
      </c>
      <c r="AE38" s="1">
        <v>316.39999999999998</v>
      </c>
      <c r="AF38" s="1">
        <v>381</v>
      </c>
      <c r="AG38" s="1">
        <v>260</v>
      </c>
      <c r="AH38" s="1"/>
      <c r="AI38" s="1">
        <f t="shared" si="16"/>
        <v>0</v>
      </c>
      <c r="AJ38" s="7">
        <v>12</v>
      </c>
      <c r="AK38" s="9">
        <f t="shared" si="17"/>
        <v>0</v>
      </c>
      <c r="AL38" s="1">
        <f t="shared" si="18"/>
        <v>0</v>
      </c>
      <c r="AM38" s="1">
        <v>14</v>
      </c>
      <c r="AN38" s="1">
        <v>70</v>
      </c>
      <c r="AO38" s="9">
        <f t="shared" si="19"/>
        <v>0</v>
      </c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105</v>
      </c>
      <c r="B39" s="1" t="s">
        <v>42</v>
      </c>
      <c r="C39" s="1">
        <v>663</v>
      </c>
      <c r="D39" s="1">
        <v>1461</v>
      </c>
      <c r="E39" s="1">
        <v>1440</v>
      </c>
      <c r="F39" s="1">
        <v>443</v>
      </c>
      <c r="G39" s="7">
        <v>0.25</v>
      </c>
      <c r="H39" s="1">
        <v>365</v>
      </c>
      <c r="I39" s="1" t="s">
        <v>106</v>
      </c>
      <c r="J39" s="1"/>
      <c r="K39" s="1">
        <v>1578</v>
      </c>
      <c r="L39" s="1">
        <f t="shared" si="20"/>
        <v>-138</v>
      </c>
      <c r="M39" s="1"/>
      <c r="N39" s="1"/>
      <c r="O39" s="1">
        <v>1176</v>
      </c>
      <c r="P39" s="1">
        <f t="shared" si="21"/>
        <v>288</v>
      </c>
      <c r="Q39" s="5">
        <v>2413</v>
      </c>
      <c r="R39" s="5">
        <f t="shared" si="22"/>
        <v>1203.3999999999999</v>
      </c>
      <c r="S39" s="5">
        <f t="shared" si="15"/>
        <v>1176</v>
      </c>
      <c r="T39" s="25"/>
      <c r="U39" s="25"/>
      <c r="V39" s="1">
        <f t="shared" si="23"/>
        <v>9.7048611111111107</v>
      </c>
      <c r="W39" s="1">
        <f t="shared" si="24"/>
        <v>5.6215277777777777</v>
      </c>
      <c r="X39" s="1">
        <v>182.4</v>
      </c>
      <c r="Y39" s="1">
        <v>187.2</v>
      </c>
      <c r="Z39" s="1">
        <v>206.6</v>
      </c>
      <c r="AA39" s="1">
        <v>186.6</v>
      </c>
      <c r="AB39" s="1">
        <v>274</v>
      </c>
      <c r="AC39" s="1">
        <v>321</v>
      </c>
      <c r="AD39" s="1">
        <v>265.8</v>
      </c>
      <c r="AE39" s="1">
        <v>208.6</v>
      </c>
      <c r="AF39" s="1">
        <v>336</v>
      </c>
      <c r="AG39" s="1">
        <v>163.80000000000001</v>
      </c>
      <c r="AH39" s="1"/>
      <c r="AI39" s="1">
        <f t="shared" si="16"/>
        <v>300.84999999999997</v>
      </c>
      <c r="AJ39" s="7">
        <v>12</v>
      </c>
      <c r="AK39" s="9">
        <f t="shared" si="17"/>
        <v>98</v>
      </c>
      <c r="AL39" s="1">
        <f t="shared" si="18"/>
        <v>294</v>
      </c>
      <c r="AM39" s="1">
        <v>14</v>
      </c>
      <c r="AN39" s="1">
        <v>70</v>
      </c>
      <c r="AO39" s="9">
        <f t="shared" si="19"/>
        <v>1.4</v>
      </c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107</v>
      </c>
      <c r="B40" s="1" t="s">
        <v>42</v>
      </c>
      <c r="C40" s="1">
        <v>101</v>
      </c>
      <c r="D40" s="1">
        <v>1593</v>
      </c>
      <c r="E40" s="1">
        <v>453</v>
      </c>
      <c r="F40" s="1">
        <v>1091</v>
      </c>
      <c r="G40" s="7">
        <v>0.25</v>
      </c>
      <c r="H40" s="1">
        <v>180</v>
      </c>
      <c r="I40" s="1" t="s">
        <v>108</v>
      </c>
      <c r="J40" s="1"/>
      <c r="K40" s="1">
        <v>680</v>
      </c>
      <c r="L40" s="1">
        <f t="shared" si="20"/>
        <v>-227</v>
      </c>
      <c r="M40" s="1"/>
      <c r="N40" s="1"/>
      <c r="O40" s="1">
        <v>1008</v>
      </c>
      <c r="P40" s="1">
        <f t="shared" si="21"/>
        <v>90.6</v>
      </c>
      <c r="Q40" s="5"/>
      <c r="R40" s="5"/>
      <c r="S40" s="5">
        <f t="shared" si="15"/>
        <v>0</v>
      </c>
      <c r="T40" s="25"/>
      <c r="U40" s="25"/>
      <c r="V40" s="1">
        <f t="shared" si="23"/>
        <v>23.167770419426049</v>
      </c>
      <c r="W40" s="1">
        <f t="shared" si="24"/>
        <v>23.167770419426049</v>
      </c>
      <c r="X40" s="1">
        <v>146</v>
      </c>
      <c r="Y40" s="1">
        <v>150.4</v>
      </c>
      <c r="Z40" s="1">
        <v>124.8</v>
      </c>
      <c r="AA40" s="1">
        <v>125.4</v>
      </c>
      <c r="AB40" s="1">
        <v>141</v>
      </c>
      <c r="AC40" s="1">
        <v>163.19999999999999</v>
      </c>
      <c r="AD40" s="1">
        <v>128.19999999999999</v>
      </c>
      <c r="AE40" s="1">
        <v>133.80000000000001</v>
      </c>
      <c r="AF40" s="1">
        <v>172.6</v>
      </c>
      <c r="AG40" s="1">
        <v>55.8</v>
      </c>
      <c r="AH40" s="1"/>
      <c r="AI40" s="1">
        <f t="shared" si="16"/>
        <v>0</v>
      </c>
      <c r="AJ40" s="7">
        <v>12</v>
      </c>
      <c r="AK40" s="9">
        <f t="shared" si="17"/>
        <v>0</v>
      </c>
      <c r="AL40" s="1">
        <f t="shared" si="18"/>
        <v>0</v>
      </c>
      <c r="AM40" s="1">
        <v>14</v>
      </c>
      <c r="AN40" s="1">
        <v>70</v>
      </c>
      <c r="AO40" s="9">
        <f t="shared" si="19"/>
        <v>0</v>
      </c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58</v>
      </c>
      <c r="B41" s="1" t="s">
        <v>42</v>
      </c>
      <c r="C41" s="1"/>
      <c r="D41" s="1">
        <v>316</v>
      </c>
      <c r="E41" s="19">
        <f>274+E12</f>
        <v>499</v>
      </c>
      <c r="F41" s="19">
        <f>-20+F12</f>
        <v>457</v>
      </c>
      <c r="G41" s="7">
        <v>0.25</v>
      </c>
      <c r="H41" s="1">
        <v>180</v>
      </c>
      <c r="I41" s="1" t="s">
        <v>109</v>
      </c>
      <c r="J41" s="1"/>
      <c r="K41" s="1">
        <v>314</v>
      </c>
      <c r="L41" s="1">
        <f t="shared" si="20"/>
        <v>185</v>
      </c>
      <c r="M41" s="1"/>
      <c r="N41" s="1"/>
      <c r="O41" s="1">
        <v>168</v>
      </c>
      <c r="P41" s="1">
        <f t="shared" si="21"/>
        <v>99.8</v>
      </c>
      <c r="Q41" s="5">
        <v>772.2</v>
      </c>
      <c r="R41" s="5">
        <f>IF(14*P41-O41-F41+$R$1*P41&lt;0,0,14*P41-O41-F41+$R$1*P41)</f>
        <v>353.04</v>
      </c>
      <c r="S41" s="5">
        <f t="shared" si="15"/>
        <v>336</v>
      </c>
      <c r="T41" s="25"/>
      <c r="U41" s="25"/>
      <c r="V41" s="1">
        <f t="shared" si="23"/>
        <v>9.629258517034069</v>
      </c>
      <c r="W41" s="1">
        <f t="shared" si="24"/>
        <v>6.2625250501002006</v>
      </c>
      <c r="X41" s="1">
        <v>67</v>
      </c>
      <c r="Y41" s="1">
        <v>92.8</v>
      </c>
      <c r="Z41" s="1">
        <v>86.2</v>
      </c>
      <c r="AA41" s="1">
        <v>81.400000000000006</v>
      </c>
      <c r="AB41" s="1">
        <v>111.8</v>
      </c>
      <c r="AC41" s="1">
        <v>124.8</v>
      </c>
      <c r="AD41" s="1">
        <v>101</v>
      </c>
      <c r="AE41" s="1">
        <v>89.2</v>
      </c>
      <c r="AF41" s="1">
        <v>128.80000000000001</v>
      </c>
      <c r="AG41" s="1">
        <v>59.8</v>
      </c>
      <c r="AH41" s="1"/>
      <c r="AI41" s="1">
        <f t="shared" si="16"/>
        <v>88.26</v>
      </c>
      <c r="AJ41" s="7">
        <v>12</v>
      </c>
      <c r="AK41" s="9">
        <f t="shared" si="17"/>
        <v>28</v>
      </c>
      <c r="AL41" s="1">
        <f t="shared" si="18"/>
        <v>84</v>
      </c>
      <c r="AM41" s="1">
        <v>14</v>
      </c>
      <c r="AN41" s="1">
        <v>70</v>
      </c>
      <c r="AO41" s="9">
        <f t="shared" si="19"/>
        <v>0.4</v>
      </c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4" t="s">
        <v>110</v>
      </c>
      <c r="B42" s="14" t="s">
        <v>42</v>
      </c>
      <c r="C42" s="14">
        <v>394</v>
      </c>
      <c r="D42" s="14">
        <v>567</v>
      </c>
      <c r="E42" s="14">
        <v>471</v>
      </c>
      <c r="F42" s="14">
        <v>393</v>
      </c>
      <c r="G42" s="15">
        <v>0</v>
      </c>
      <c r="H42" s="14">
        <v>180</v>
      </c>
      <c r="I42" s="14" t="s">
        <v>188</v>
      </c>
      <c r="J42" s="14"/>
      <c r="K42" s="14">
        <v>547</v>
      </c>
      <c r="L42" s="14">
        <f t="shared" si="20"/>
        <v>-76</v>
      </c>
      <c r="M42" s="14"/>
      <c r="N42" s="14"/>
      <c r="O42" s="14">
        <v>192</v>
      </c>
      <c r="P42" s="14">
        <f t="shared" si="21"/>
        <v>94.2</v>
      </c>
      <c r="Q42" s="16"/>
      <c r="R42" s="16"/>
      <c r="S42" s="16"/>
      <c r="T42" s="24"/>
      <c r="U42" s="25"/>
      <c r="V42" s="14">
        <f t="shared" si="23"/>
        <v>6.2101910828025479</v>
      </c>
      <c r="W42" s="14">
        <f t="shared" si="24"/>
        <v>6.2101910828025479</v>
      </c>
      <c r="X42" s="14">
        <v>59.6</v>
      </c>
      <c r="Y42" s="14">
        <v>83.8</v>
      </c>
      <c r="Z42" s="14">
        <v>93.6</v>
      </c>
      <c r="AA42" s="14">
        <v>71.8</v>
      </c>
      <c r="AB42" s="14">
        <v>57.2</v>
      </c>
      <c r="AC42" s="14">
        <v>85.2</v>
      </c>
      <c r="AD42" s="14">
        <v>65</v>
      </c>
      <c r="AE42" s="14">
        <v>68.2</v>
      </c>
      <c r="AF42" s="14">
        <v>69</v>
      </c>
      <c r="AG42" s="14">
        <v>33.4</v>
      </c>
      <c r="AH42" s="21" t="s">
        <v>81</v>
      </c>
      <c r="AI42" s="14"/>
      <c r="AJ42" s="15">
        <v>8</v>
      </c>
      <c r="AK42" s="17"/>
      <c r="AL42" s="14"/>
      <c r="AM42" s="14">
        <v>12</v>
      </c>
      <c r="AN42" s="14">
        <v>84</v>
      </c>
      <c r="AO42" s="17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111</v>
      </c>
      <c r="B43" s="1" t="s">
        <v>42</v>
      </c>
      <c r="C43" s="1">
        <v>223</v>
      </c>
      <c r="D43" s="1">
        <v>307</v>
      </c>
      <c r="E43" s="1">
        <v>319</v>
      </c>
      <c r="F43" s="1">
        <v>169</v>
      </c>
      <c r="G43" s="7">
        <v>0.7</v>
      </c>
      <c r="H43" s="1">
        <v>180</v>
      </c>
      <c r="I43" s="1" t="s">
        <v>112</v>
      </c>
      <c r="J43" s="1"/>
      <c r="K43" s="1">
        <v>336</v>
      </c>
      <c r="L43" s="1">
        <f t="shared" si="20"/>
        <v>-17</v>
      </c>
      <c r="M43" s="1"/>
      <c r="N43" s="1"/>
      <c r="O43" s="1">
        <v>288</v>
      </c>
      <c r="P43" s="1">
        <f t="shared" si="21"/>
        <v>63.8</v>
      </c>
      <c r="Q43" s="5">
        <v>436.19999999999993</v>
      </c>
      <c r="R43" s="5">
        <v>0</v>
      </c>
      <c r="S43" s="5">
        <f t="shared" si="15"/>
        <v>0</v>
      </c>
      <c r="T43" s="25"/>
      <c r="U43" s="25"/>
      <c r="V43" s="1">
        <f t="shared" si="23"/>
        <v>7.1630094043887151</v>
      </c>
      <c r="W43" s="1">
        <f t="shared" si="24"/>
        <v>7.1630094043887151</v>
      </c>
      <c r="X43" s="1">
        <v>45</v>
      </c>
      <c r="Y43" s="1">
        <v>47.8</v>
      </c>
      <c r="Z43" s="1">
        <v>21</v>
      </c>
      <c r="AA43" s="1">
        <v>63.6</v>
      </c>
      <c r="AB43" s="1">
        <v>21</v>
      </c>
      <c r="AC43" s="1">
        <v>35</v>
      </c>
      <c r="AD43" s="1">
        <v>30.8</v>
      </c>
      <c r="AE43" s="1">
        <v>48</v>
      </c>
      <c r="AF43" s="1">
        <v>41</v>
      </c>
      <c r="AG43" s="1">
        <v>22.2</v>
      </c>
      <c r="AH43" s="21" t="s">
        <v>81</v>
      </c>
      <c r="AI43" s="1">
        <f t="shared" si="16"/>
        <v>0</v>
      </c>
      <c r="AJ43" s="7">
        <v>8</v>
      </c>
      <c r="AK43" s="9">
        <f t="shared" si="17"/>
        <v>0</v>
      </c>
      <c r="AL43" s="1">
        <f t="shared" si="18"/>
        <v>0</v>
      </c>
      <c r="AM43" s="1">
        <v>12</v>
      </c>
      <c r="AN43" s="1">
        <v>84</v>
      </c>
      <c r="AO43" s="9">
        <f t="shared" si="19"/>
        <v>0</v>
      </c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113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114</v>
      </c>
      <c r="J44" s="1"/>
      <c r="K44" s="1">
        <v>107</v>
      </c>
      <c r="L44" s="1">
        <f t="shared" si="20"/>
        <v>-107</v>
      </c>
      <c r="M44" s="1"/>
      <c r="N44" s="1"/>
      <c r="O44" s="1">
        <v>0</v>
      </c>
      <c r="P44" s="1">
        <f t="shared" si="21"/>
        <v>0</v>
      </c>
      <c r="Q44" s="20">
        <v>0</v>
      </c>
      <c r="R44" s="20">
        <v>0</v>
      </c>
      <c r="S44" s="20">
        <f t="shared" si="15"/>
        <v>0</v>
      </c>
      <c r="T44" s="26"/>
      <c r="U44" s="25"/>
      <c r="V44" s="1" t="e">
        <f t="shared" si="23"/>
        <v>#DIV/0!</v>
      </c>
      <c r="W44" s="1" t="e">
        <f t="shared" si="24"/>
        <v>#DIV/0!</v>
      </c>
      <c r="X44" s="1">
        <v>0</v>
      </c>
      <c r="Y44" s="1">
        <v>0</v>
      </c>
      <c r="Z44" s="1">
        <v>-0.4</v>
      </c>
      <c r="AA44" s="1">
        <v>0</v>
      </c>
      <c r="AB44" s="1">
        <v>0.6</v>
      </c>
      <c r="AC44" s="1">
        <v>0</v>
      </c>
      <c r="AD44" s="1">
        <v>0.2</v>
      </c>
      <c r="AE44" s="1">
        <v>1</v>
      </c>
      <c r="AF44" s="1">
        <v>0</v>
      </c>
      <c r="AG44" s="1">
        <v>2.2000000000000002</v>
      </c>
      <c r="AH44" s="21" t="s">
        <v>81</v>
      </c>
      <c r="AI44" s="1">
        <f t="shared" si="16"/>
        <v>0</v>
      </c>
      <c r="AJ44" s="7">
        <v>8</v>
      </c>
      <c r="AK44" s="9">
        <f t="shared" si="17"/>
        <v>0</v>
      </c>
      <c r="AL44" s="1">
        <f t="shared" si="18"/>
        <v>0</v>
      </c>
      <c r="AM44" s="1">
        <v>12</v>
      </c>
      <c r="AN44" s="1">
        <v>84</v>
      </c>
      <c r="AO44" s="9">
        <f t="shared" si="19"/>
        <v>0</v>
      </c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115</v>
      </c>
      <c r="B45" s="1" t="s">
        <v>42</v>
      </c>
      <c r="C45" s="1">
        <v>129</v>
      </c>
      <c r="D45" s="1">
        <v>520</v>
      </c>
      <c r="E45" s="1">
        <v>362</v>
      </c>
      <c r="F45" s="1">
        <v>147</v>
      </c>
      <c r="G45" s="7">
        <v>0.7</v>
      </c>
      <c r="H45" s="1">
        <v>180</v>
      </c>
      <c r="I45" s="1" t="s">
        <v>75</v>
      </c>
      <c r="J45" s="1"/>
      <c r="K45" s="1">
        <v>382</v>
      </c>
      <c r="L45" s="1">
        <f t="shared" si="20"/>
        <v>-20</v>
      </c>
      <c r="M45" s="1"/>
      <c r="N45" s="1"/>
      <c r="O45" s="1">
        <v>360</v>
      </c>
      <c r="P45" s="1">
        <f t="shared" si="21"/>
        <v>72.400000000000006</v>
      </c>
      <c r="Q45" s="5">
        <v>506.60000000000014</v>
      </c>
      <c r="R45" s="5">
        <f t="shared" ref="R45:R47" si="25">IF(14*P45-O45-F45+$R$1*P45&lt;0,0,14*P45-O45-F45+$R$1*P45)</f>
        <v>202.5200000000001</v>
      </c>
      <c r="S45" s="5">
        <f t="shared" si="15"/>
        <v>240</v>
      </c>
      <c r="T45" s="25"/>
      <c r="U45" s="25"/>
      <c r="V45" s="1">
        <f t="shared" si="23"/>
        <v>10.317679558011049</v>
      </c>
      <c r="W45" s="1">
        <f t="shared" si="24"/>
        <v>7.0027624309392262</v>
      </c>
      <c r="X45" s="1">
        <v>52.6</v>
      </c>
      <c r="Y45" s="1">
        <v>65.2</v>
      </c>
      <c r="Z45" s="1">
        <v>26.6</v>
      </c>
      <c r="AA45" s="1">
        <v>73.2</v>
      </c>
      <c r="AB45" s="1">
        <v>17.8</v>
      </c>
      <c r="AC45" s="1">
        <v>22.6</v>
      </c>
      <c r="AD45" s="1">
        <v>57</v>
      </c>
      <c r="AE45" s="1">
        <v>64.599999999999994</v>
      </c>
      <c r="AF45" s="1">
        <v>49.4</v>
      </c>
      <c r="AG45" s="1">
        <v>37.799999999999997</v>
      </c>
      <c r="AH45" s="1"/>
      <c r="AI45" s="1">
        <f t="shared" si="16"/>
        <v>141.76400000000007</v>
      </c>
      <c r="AJ45" s="7">
        <v>10</v>
      </c>
      <c r="AK45" s="9">
        <f t="shared" si="17"/>
        <v>24</v>
      </c>
      <c r="AL45" s="1">
        <f t="shared" si="18"/>
        <v>168</v>
      </c>
      <c r="AM45" s="1">
        <v>12</v>
      </c>
      <c r="AN45" s="1">
        <v>84</v>
      </c>
      <c r="AO45" s="9">
        <f t="shared" si="19"/>
        <v>0.2857142857142857</v>
      </c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116</v>
      </c>
      <c r="B46" s="1" t="s">
        <v>42</v>
      </c>
      <c r="C46" s="1">
        <v>786</v>
      </c>
      <c r="D46" s="1">
        <v>247</v>
      </c>
      <c r="E46" s="1">
        <v>318</v>
      </c>
      <c r="F46" s="1">
        <v>430</v>
      </c>
      <c r="G46" s="7">
        <v>0.7</v>
      </c>
      <c r="H46" s="1">
        <v>180</v>
      </c>
      <c r="I46" s="1" t="s">
        <v>117</v>
      </c>
      <c r="J46" s="1"/>
      <c r="K46" s="1">
        <v>416</v>
      </c>
      <c r="L46" s="1">
        <f t="shared" si="20"/>
        <v>-98</v>
      </c>
      <c r="M46" s="1"/>
      <c r="N46" s="1"/>
      <c r="O46" s="1">
        <v>0</v>
      </c>
      <c r="P46" s="1">
        <f t="shared" si="21"/>
        <v>63.6</v>
      </c>
      <c r="Q46" s="5">
        <v>460.4</v>
      </c>
      <c r="R46" s="5">
        <f t="shared" si="25"/>
        <v>193.27999999999997</v>
      </c>
      <c r="S46" s="5">
        <f t="shared" si="15"/>
        <v>240</v>
      </c>
      <c r="T46" s="25"/>
      <c r="U46" s="25"/>
      <c r="V46" s="1">
        <f t="shared" si="23"/>
        <v>10.534591194968554</v>
      </c>
      <c r="W46" s="1">
        <f t="shared" si="24"/>
        <v>6.7610062893081757</v>
      </c>
      <c r="X46" s="1">
        <v>35.6</v>
      </c>
      <c r="Y46" s="1">
        <v>63.8</v>
      </c>
      <c r="Z46" s="1">
        <v>110.6</v>
      </c>
      <c r="AA46" s="1">
        <v>63.8</v>
      </c>
      <c r="AB46" s="1">
        <v>72.400000000000006</v>
      </c>
      <c r="AC46" s="1">
        <v>81.2</v>
      </c>
      <c r="AD46" s="1">
        <v>38.6</v>
      </c>
      <c r="AE46" s="1">
        <v>27</v>
      </c>
      <c r="AF46" s="1">
        <v>138.6</v>
      </c>
      <c r="AG46" s="1">
        <v>47.6</v>
      </c>
      <c r="AH46" s="1"/>
      <c r="AI46" s="1">
        <f t="shared" si="16"/>
        <v>135.29599999999996</v>
      </c>
      <c r="AJ46" s="7">
        <v>10</v>
      </c>
      <c r="AK46" s="9">
        <f t="shared" si="17"/>
        <v>24</v>
      </c>
      <c r="AL46" s="1">
        <f t="shared" si="18"/>
        <v>168</v>
      </c>
      <c r="AM46" s="1">
        <v>12</v>
      </c>
      <c r="AN46" s="1">
        <v>84</v>
      </c>
      <c r="AO46" s="9">
        <f t="shared" si="19"/>
        <v>0.2857142857142857</v>
      </c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118</v>
      </c>
      <c r="B47" s="1" t="s">
        <v>42</v>
      </c>
      <c r="C47" s="1">
        <v>405</v>
      </c>
      <c r="D47" s="1">
        <v>430</v>
      </c>
      <c r="E47" s="1">
        <v>287</v>
      </c>
      <c r="F47" s="1">
        <v>125</v>
      </c>
      <c r="G47" s="7">
        <v>0.4</v>
      </c>
      <c r="H47" s="1">
        <v>180</v>
      </c>
      <c r="I47" s="1" t="s">
        <v>119</v>
      </c>
      <c r="J47" s="1"/>
      <c r="K47" s="1">
        <v>358</v>
      </c>
      <c r="L47" s="1">
        <f t="shared" si="20"/>
        <v>-71</v>
      </c>
      <c r="M47" s="1"/>
      <c r="N47" s="1"/>
      <c r="O47" s="1">
        <v>384</v>
      </c>
      <c r="P47" s="1">
        <f t="shared" si="21"/>
        <v>57.4</v>
      </c>
      <c r="Q47" s="5">
        <v>294.60000000000002</v>
      </c>
      <c r="R47" s="5">
        <f t="shared" si="25"/>
        <v>53.52000000000001</v>
      </c>
      <c r="S47" s="5">
        <f t="shared" si="15"/>
        <v>0</v>
      </c>
      <c r="T47" s="25"/>
      <c r="U47" s="25"/>
      <c r="V47" s="1">
        <f t="shared" si="23"/>
        <v>8.8675958188153317</v>
      </c>
      <c r="W47" s="1">
        <f t="shared" si="24"/>
        <v>8.8675958188153317</v>
      </c>
      <c r="X47" s="1">
        <v>40</v>
      </c>
      <c r="Y47" s="1">
        <v>49</v>
      </c>
      <c r="Z47" s="1">
        <v>84.6</v>
      </c>
      <c r="AA47" s="1">
        <v>19.2</v>
      </c>
      <c r="AB47" s="1">
        <v>82</v>
      </c>
      <c r="AC47" s="1">
        <v>87.8</v>
      </c>
      <c r="AD47" s="1">
        <v>60.6</v>
      </c>
      <c r="AE47" s="1">
        <v>50.8</v>
      </c>
      <c r="AF47" s="1">
        <v>35</v>
      </c>
      <c r="AG47" s="1">
        <v>72.8</v>
      </c>
      <c r="AH47" s="1"/>
      <c r="AI47" s="1">
        <f t="shared" si="16"/>
        <v>21.408000000000005</v>
      </c>
      <c r="AJ47" s="7">
        <v>16</v>
      </c>
      <c r="AK47" s="9">
        <f t="shared" si="17"/>
        <v>0</v>
      </c>
      <c r="AL47" s="1">
        <f t="shared" si="18"/>
        <v>0</v>
      </c>
      <c r="AM47" s="1">
        <v>12</v>
      </c>
      <c r="AN47" s="1">
        <v>84</v>
      </c>
      <c r="AO47" s="9">
        <f t="shared" si="19"/>
        <v>0</v>
      </c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120</v>
      </c>
      <c r="B48" s="1" t="s">
        <v>42</v>
      </c>
      <c r="C48" s="1">
        <v>46</v>
      </c>
      <c r="D48" s="1">
        <v>974</v>
      </c>
      <c r="E48" s="1">
        <v>290</v>
      </c>
      <c r="F48" s="1">
        <v>358</v>
      </c>
      <c r="G48" s="7">
        <v>0.7</v>
      </c>
      <c r="H48" s="1">
        <v>180</v>
      </c>
      <c r="I48" s="1" t="s">
        <v>121</v>
      </c>
      <c r="J48" s="1"/>
      <c r="K48" s="1">
        <v>494</v>
      </c>
      <c r="L48" s="1">
        <f t="shared" si="20"/>
        <v>-204</v>
      </c>
      <c r="M48" s="1"/>
      <c r="N48" s="1"/>
      <c r="O48" s="1">
        <v>720</v>
      </c>
      <c r="P48" s="1">
        <f t="shared" si="21"/>
        <v>58</v>
      </c>
      <c r="Q48" s="5"/>
      <c r="R48" s="5"/>
      <c r="S48" s="5">
        <f t="shared" si="15"/>
        <v>0</v>
      </c>
      <c r="T48" s="25"/>
      <c r="U48" s="25"/>
      <c r="V48" s="1">
        <f t="shared" si="23"/>
        <v>18.586206896551722</v>
      </c>
      <c r="W48" s="1">
        <f t="shared" si="24"/>
        <v>18.586206896551722</v>
      </c>
      <c r="X48" s="1">
        <v>87.8</v>
      </c>
      <c r="Y48" s="1">
        <v>87.2</v>
      </c>
      <c r="Z48" s="1">
        <v>83.6</v>
      </c>
      <c r="AA48" s="1">
        <v>89.6</v>
      </c>
      <c r="AB48" s="1">
        <v>84.6</v>
      </c>
      <c r="AC48" s="1">
        <v>111.4</v>
      </c>
      <c r="AD48" s="1">
        <v>97.4</v>
      </c>
      <c r="AE48" s="1">
        <v>77</v>
      </c>
      <c r="AF48" s="1">
        <v>89.4</v>
      </c>
      <c r="AG48" s="1">
        <v>39.200000000000003</v>
      </c>
      <c r="AH48" s="1"/>
      <c r="AI48" s="1">
        <f t="shared" si="16"/>
        <v>0</v>
      </c>
      <c r="AJ48" s="7">
        <v>10</v>
      </c>
      <c r="AK48" s="9">
        <f t="shared" si="17"/>
        <v>0</v>
      </c>
      <c r="AL48" s="1">
        <f t="shared" si="18"/>
        <v>0</v>
      </c>
      <c r="AM48" s="1">
        <v>12</v>
      </c>
      <c r="AN48" s="1">
        <v>84</v>
      </c>
      <c r="AO48" s="9">
        <f t="shared" si="19"/>
        <v>0</v>
      </c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122</v>
      </c>
      <c r="B49" s="1" t="s">
        <v>42</v>
      </c>
      <c r="C49" s="1">
        <v>262</v>
      </c>
      <c r="D49" s="1">
        <v>1871</v>
      </c>
      <c r="E49" s="1">
        <v>958</v>
      </c>
      <c r="F49" s="1">
        <v>914</v>
      </c>
      <c r="G49" s="7">
        <v>0.7</v>
      </c>
      <c r="H49" s="1">
        <v>180</v>
      </c>
      <c r="I49" s="1" t="s">
        <v>123</v>
      </c>
      <c r="J49" s="1"/>
      <c r="K49" s="1">
        <v>1113</v>
      </c>
      <c r="L49" s="1">
        <f t="shared" si="20"/>
        <v>-155</v>
      </c>
      <c r="M49" s="1"/>
      <c r="N49" s="1"/>
      <c r="O49" s="1">
        <v>240</v>
      </c>
      <c r="P49" s="1">
        <f t="shared" si="21"/>
        <v>191.6</v>
      </c>
      <c r="Q49" s="5">
        <v>1528.4</v>
      </c>
      <c r="R49" s="5">
        <f>IF(14*P49-O49-F49+$R$1*P49&lt;0,0,14*P49-O49-F49+$R$1*P49)</f>
        <v>723.68000000000006</v>
      </c>
      <c r="S49" s="5">
        <f t="shared" si="15"/>
        <v>720</v>
      </c>
      <c r="T49" s="25"/>
      <c r="U49" s="25"/>
      <c r="V49" s="1">
        <f t="shared" si="23"/>
        <v>9.7807933194154497</v>
      </c>
      <c r="W49" s="1">
        <f t="shared" si="24"/>
        <v>6.0229645093945718</v>
      </c>
      <c r="X49" s="1">
        <v>122.6</v>
      </c>
      <c r="Y49" s="1">
        <v>171.2</v>
      </c>
      <c r="Z49" s="1">
        <v>158</v>
      </c>
      <c r="AA49" s="1">
        <v>122.4</v>
      </c>
      <c r="AB49" s="1">
        <v>141.80000000000001</v>
      </c>
      <c r="AC49" s="1">
        <v>170.8</v>
      </c>
      <c r="AD49" s="1">
        <v>164.8</v>
      </c>
      <c r="AE49" s="1">
        <v>98.2</v>
      </c>
      <c r="AF49" s="1">
        <v>162.80000000000001</v>
      </c>
      <c r="AG49" s="1">
        <v>154.19999999999999</v>
      </c>
      <c r="AH49" s="1"/>
      <c r="AI49" s="1">
        <f t="shared" si="16"/>
        <v>506.57600000000002</v>
      </c>
      <c r="AJ49" s="7">
        <v>10</v>
      </c>
      <c r="AK49" s="9">
        <f t="shared" si="17"/>
        <v>72</v>
      </c>
      <c r="AL49" s="1">
        <f t="shared" si="18"/>
        <v>503.99999999999994</v>
      </c>
      <c r="AM49" s="1">
        <v>12</v>
      </c>
      <c r="AN49" s="1">
        <v>84</v>
      </c>
      <c r="AO49" s="9">
        <f t="shared" si="19"/>
        <v>0.8571428571428571</v>
      </c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124</v>
      </c>
      <c r="B50" s="1" t="s">
        <v>88</v>
      </c>
      <c r="C50" s="1">
        <v>505</v>
      </c>
      <c r="D50" s="1">
        <v>460</v>
      </c>
      <c r="E50" s="1">
        <v>700</v>
      </c>
      <c r="F50" s="1">
        <v>105</v>
      </c>
      <c r="G50" s="7">
        <v>1</v>
      </c>
      <c r="H50" s="1">
        <v>180</v>
      </c>
      <c r="I50" s="1" t="s">
        <v>125</v>
      </c>
      <c r="J50" s="1"/>
      <c r="K50" s="1">
        <v>745</v>
      </c>
      <c r="L50" s="1">
        <f t="shared" si="20"/>
        <v>-45</v>
      </c>
      <c r="M50" s="1"/>
      <c r="N50" s="1"/>
      <c r="O50" s="1">
        <v>1080</v>
      </c>
      <c r="P50" s="1">
        <f t="shared" si="21"/>
        <v>140</v>
      </c>
      <c r="Q50" s="5">
        <v>775</v>
      </c>
      <c r="R50" s="28">
        <v>600</v>
      </c>
      <c r="S50" s="5">
        <f t="shared" si="15"/>
        <v>600</v>
      </c>
      <c r="T50" s="25">
        <v>1200</v>
      </c>
      <c r="U50" s="25" t="s">
        <v>194</v>
      </c>
      <c r="V50" s="1">
        <f t="shared" si="23"/>
        <v>12.75</v>
      </c>
      <c r="W50" s="1">
        <f t="shared" si="24"/>
        <v>8.4642857142857135</v>
      </c>
      <c r="X50" s="1">
        <v>115</v>
      </c>
      <c r="Y50" s="1">
        <v>52</v>
      </c>
      <c r="Z50" s="1">
        <v>104</v>
      </c>
      <c r="AA50" s="1">
        <v>88</v>
      </c>
      <c r="AB50" s="1">
        <v>71</v>
      </c>
      <c r="AC50" s="1">
        <v>88</v>
      </c>
      <c r="AD50" s="1">
        <v>102.4</v>
      </c>
      <c r="AE50" s="1">
        <v>82</v>
      </c>
      <c r="AF50" s="1">
        <v>54</v>
      </c>
      <c r="AG50" s="1">
        <v>48</v>
      </c>
      <c r="AH50" s="1"/>
      <c r="AI50" s="1">
        <f t="shared" si="16"/>
        <v>600</v>
      </c>
      <c r="AJ50" s="7">
        <v>5</v>
      </c>
      <c r="AK50" s="9">
        <f t="shared" si="17"/>
        <v>120</v>
      </c>
      <c r="AL50" s="1">
        <f t="shared" si="18"/>
        <v>600</v>
      </c>
      <c r="AM50" s="1">
        <v>12</v>
      </c>
      <c r="AN50" s="1">
        <v>144</v>
      </c>
      <c r="AO50" s="9">
        <f t="shared" si="19"/>
        <v>0.83333333333333337</v>
      </c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126</v>
      </c>
      <c r="B51" s="1" t="s">
        <v>42</v>
      </c>
      <c r="C51" s="1">
        <v>474</v>
      </c>
      <c r="D51" s="1">
        <v>65</v>
      </c>
      <c r="E51" s="1">
        <v>411</v>
      </c>
      <c r="F51" s="1">
        <v>-62</v>
      </c>
      <c r="G51" s="7">
        <v>0.4</v>
      </c>
      <c r="H51" s="1">
        <v>180</v>
      </c>
      <c r="I51" s="1" t="s">
        <v>127</v>
      </c>
      <c r="J51" s="1"/>
      <c r="K51" s="1">
        <v>468</v>
      </c>
      <c r="L51" s="1">
        <f t="shared" si="20"/>
        <v>-57</v>
      </c>
      <c r="M51" s="1"/>
      <c r="N51" s="1"/>
      <c r="O51" s="1">
        <v>0</v>
      </c>
      <c r="P51" s="1">
        <f t="shared" si="21"/>
        <v>82.2</v>
      </c>
      <c r="Q51" s="5">
        <v>884</v>
      </c>
      <c r="R51" s="5">
        <f t="shared" ref="R51:R54" si="26">IF(14*P51-O51-F51+$R$1*P51&lt;0,0,14*P51-O51-F51+$R$1*P51)</f>
        <v>867.56</v>
      </c>
      <c r="S51" s="5">
        <f t="shared" si="15"/>
        <v>960</v>
      </c>
      <c r="T51" s="25"/>
      <c r="U51" s="25"/>
      <c r="V51" s="1">
        <f t="shared" si="23"/>
        <v>10.924574209245742</v>
      </c>
      <c r="W51" s="1">
        <f t="shared" si="24"/>
        <v>-0.75425790754257904</v>
      </c>
      <c r="X51" s="1">
        <v>20.8</v>
      </c>
      <c r="Y51" s="1">
        <v>24.4</v>
      </c>
      <c r="Z51" s="1">
        <v>88.2</v>
      </c>
      <c r="AA51" s="1">
        <v>33.799999999999997</v>
      </c>
      <c r="AB51" s="1">
        <v>84</v>
      </c>
      <c r="AC51" s="1">
        <v>83.6</v>
      </c>
      <c r="AD51" s="1">
        <v>66.599999999999994</v>
      </c>
      <c r="AE51" s="1">
        <v>50</v>
      </c>
      <c r="AF51" s="1">
        <v>50.6</v>
      </c>
      <c r="AG51" s="1">
        <v>104</v>
      </c>
      <c r="AH51" s="1"/>
      <c r="AI51" s="1">
        <f t="shared" si="16"/>
        <v>347.024</v>
      </c>
      <c r="AJ51" s="7">
        <v>16</v>
      </c>
      <c r="AK51" s="9">
        <f t="shared" si="17"/>
        <v>60</v>
      </c>
      <c r="AL51" s="1">
        <f t="shared" si="18"/>
        <v>384</v>
      </c>
      <c r="AM51" s="1">
        <v>12</v>
      </c>
      <c r="AN51" s="1">
        <v>84</v>
      </c>
      <c r="AO51" s="9">
        <f t="shared" si="19"/>
        <v>0.7142857142857143</v>
      </c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128</v>
      </c>
      <c r="B52" s="1" t="s">
        <v>42</v>
      </c>
      <c r="C52" s="1">
        <v>224</v>
      </c>
      <c r="D52" s="1">
        <v>2146</v>
      </c>
      <c r="E52" s="1">
        <v>822</v>
      </c>
      <c r="F52" s="1">
        <v>1292</v>
      </c>
      <c r="G52" s="7">
        <v>0.7</v>
      </c>
      <c r="H52" s="1">
        <v>180</v>
      </c>
      <c r="I52" s="1" t="s">
        <v>129</v>
      </c>
      <c r="J52" s="1"/>
      <c r="K52" s="1">
        <v>1022</v>
      </c>
      <c r="L52" s="1">
        <f t="shared" si="20"/>
        <v>-200</v>
      </c>
      <c r="M52" s="1"/>
      <c r="N52" s="1"/>
      <c r="O52" s="1">
        <v>720</v>
      </c>
      <c r="P52" s="1">
        <f t="shared" si="21"/>
        <v>164.4</v>
      </c>
      <c r="Q52" s="5">
        <v>289.59999999999991</v>
      </c>
      <c r="R52" s="5">
        <f t="shared" si="26"/>
        <v>0</v>
      </c>
      <c r="S52" s="5">
        <f t="shared" si="15"/>
        <v>0</v>
      </c>
      <c r="T52" s="25"/>
      <c r="U52" s="25"/>
      <c r="V52" s="1">
        <f t="shared" si="23"/>
        <v>12.238442822384428</v>
      </c>
      <c r="W52" s="1">
        <f t="shared" si="24"/>
        <v>12.238442822384428</v>
      </c>
      <c r="X52" s="1">
        <v>169.4</v>
      </c>
      <c r="Y52" s="1">
        <v>199.4</v>
      </c>
      <c r="Z52" s="1">
        <v>163.19999999999999</v>
      </c>
      <c r="AA52" s="1">
        <v>176</v>
      </c>
      <c r="AB52" s="1">
        <v>178.2</v>
      </c>
      <c r="AC52" s="1">
        <v>185.6</v>
      </c>
      <c r="AD52" s="1">
        <v>172</v>
      </c>
      <c r="AE52" s="1">
        <v>151.19999999999999</v>
      </c>
      <c r="AF52" s="1">
        <v>140.4</v>
      </c>
      <c r="AG52" s="1">
        <v>155.4</v>
      </c>
      <c r="AH52" s="1"/>
      <c r="AI52" s="1">
        <f t="shared" si="16"/>
        <v>0</v>
      </c>
      <c r="AJ52" s="7">
        <v>10</v>
      </c>
      <c r="AK52" s="9">
        <f t="shared" si="17"/>
        <v>0</v>
      </c>
      <c r="AL52" s="1">
        <f t="shared" si="18"/>
        <v>0</v>
      </c>
      <c r="AM52" s="1">
        <v>12</v>
      </c>
      <c r="AN52" s="1">
        <v>84</v>
      </c>
      <c r="AO52" s="9">
        <f t="shared" si="19"/>
        <v>0</v>
      </c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130</v>
      </c>
      <c r="B53" s="1" t="s">
        <v>42</v>
      </c>
      <c r="C53" s="1">
        <v>471</v>
      </c>
      <c r="D53" s="1">
        <v>259</v>
      </c>
      <c r="E53" s="1">
        <v>568</v>
      </c>
      <c r="F53" s="1">
        <v>-36</v>
      </c>
      <c r="G53" s="7">
        <v>0.4</v>
      </c>
      <c r="H53" s="1">
        <v>180</v>
      </c>
      <c r="I53" s="1" t="s">
        <v>131</v>
      </c>
      <c r="J53" s="1"/>
      <c r="K53" s="1">
        <v>668</v>
      </c>
      <c r="L53" s="1">
        <f t="shared" si="20"/>
        <v>-100</v>
      </c>
      <c r="M53" s="1"/>
      <c r="N53" s="1"/>
      <c r="O53" s="1">
        <v>960</v>
      </c>
      <c r="P53" s="1">
        <f t="shared" si="21"/>
        <v>113.6</v>
      </c>
      <c r="Q53" s="5">
        <v>666.39999999999986</v>
      </c>
      <c r="R53" s="5">
        <f t="shared" si="26"/>
        <v>189.27999999999986</v>
      </c>
      <c r="S53" s="5">
        <f t="shared" si="15"/>
        <v>192</v>
      </c>
      <c r="T53" s="25"/>
      <c r="U53" s="25"/>
      <c r="V53" s="1">
        <f t="shared" si="23"/>
        <v>9.8239436619718319</v>
      </c>
      <c r="W53" s="1">
        <f t="shared" si="24"/>
        <v>8.1338028169014081</v>
      </c>
      <c r="X53" s="1">
        <v>93.8</v>
      </c>
      <c r="Y53" s="1">
        <v>72</v>
      </c>
      <c r="Z53" s="1">
        <v>98.4</v>
      </c>
      <c r="AA53" s="1">
        <v>109.2</v>
      </c>
      <c r="AB53" s="1">
        <v>82.6</v>
      </c>
      <c r="AC53" s="1">
        <v>138.80000000000001</v>
      </c>
      <c r="AD53" s="1">
        <v>138.6</v>
      </c>
      <c r="AE53" s="1">
        <v>105.8</v>
      </c>
      <c r="AF53" s="1">
        <v>111.8</v>
      </c>
      <c r="AG53" s="1">
        <v>57.2</v>
      </c>
      <c r="AH53" s="1"/>
      <c r="AI53" s="1">
        <f t="shared" si="16"/>
        <v>75.711999999999946</v>
      </c>
      <c r="AJ53" s="7">
        <v>16</v>
      </c>
      <c r="AK53" s="9">
        <f t="shared" si="17"/>
        <v>12</v>
      </c>
      <c r="AL53" s="1">
        <f t="shared" si="18"/>
        <v>76.800000000000011</v>
      </c>
      <c r="AM53" s="1">
        <v>12</v>
      </c>
      <c r="AN53" s="1">
        <v>84</v>
      </c>
      <c r="AO53" s="9">
        <f t="shared" si="19"/>
        <v>0.14285714285714285</v>
      </c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132</v>
      </c>
      <c r="B54" s="1" t="s">
        <v>42</v>
      </c>
      <c r="C54" s="1">
        <v>395</v>
      </c>
      <c r="D54" s="1">
        <v>2037</v>
      </c>
      <c r="E54" s="1">
        <v>1003</v>
      </c>
      <c r="F54" s="1">
        <v>1174</v>
      </c>
      <c r="G54" s="7">
        <v>0.7</v>
      </c>
      <c r="H54" s="1">
        <v>180</v>
      </c>
      <c r="I54" s="1" t="s">
        <v>133</v>
      </c>
      <c r="J54" s="1"/>
      <c r="K54" s="1">
        <v>1096</v>
      </c>
      <c r="L54" s="1">
        <f t="shared" si="20"/>
        <v>-93</v>
      </c>
      <c r="M54" s="1"/>
      <c r="N54" s="1"/>
      <c r="O54" s="1">
        <v>600</v>
      </c>
      <c r="P54" s="1">
        <f t="shared" si="21"/>
        <v>200.6</v>
      </c>
      <c r="Q54" s="5">
        <v>1034.4000000000001</v>
      </c>
      <c r="R54" s="5">
        <f t="shared" si="26"/>
        <v>191.88000000000011</v>
      </c>
      <c r="S54" s="5">
        <f t="shared" si="15"/>
        <v>240</v>
      </c>
      <c r="T54" s="25"/>
      <c r="U54" s="25"/>
      <c r="V54" s="1">
        <f t="shared" si="23"/>
        <v>10.039880358923231</v>
      </c>
      <c r="W54" s="1">
        <f t="shared" si="24"/>
        <v>8.8434695912263219</v>
      </c>
      <c r="X54" s="1">
        <v>166</v>
      </c>
      <c r="Y54" s="1">
        <v>204.4</v>
      </c>
      <c r="Z54" s="1">
        <v>181.8</v>
      </c>
      <c r="AA54" s="1">
        <v>175.2</v>
      </c>
      <c r="AB54" s="1">
        <v>189.2</v>
      </c>
      <c r="AC54" s="1">
        <v>202.8</v>
      </c>
      <c r="AD54" s="1">
        <v>159</v>
      </c>
      <c r="AE54" s="1">
        <v>192.2</v>
      </c>
      <c r="AF54" s="1">
        <v>148.6</v>
      </c>
      <c r="AG54" s="1">
        <v>182.2</v>
      </c>
      <c r="AH54" s="1"/>
      <c r="AI54" s="1">
        <f t="shared" si="16"/>
        <v>134.31600000000006</v>
      </c>
      <c r="AJ54" s="7">
        <v>10</v>
      </c>
      <c r="AK54" s="9">
        <f t="shared" si="17"/>
        <v>24</v>
      </c>
      <c r="AL54" s="1">
        <f t="shared" si="18"/>
        <v>168</v>
      </c>
      <c r="AM54" s="1">
        <v>12</v>
      </c>
      <c r="AN54" s="1">
        <v>84</v>
      </c>
      <c r="AO54" s="9">
        <f t="shared" si="19"/>
        <v>0.2857142857142857</v>
      </c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134</v>
      </c>
      <c r="B55" s="1" t="s">
        <v>42</v>
      </c>
      <c r="C55" s="1">
        <v>676</v>
      </c>
      <c r="D55" s="1">
        <v>21</v>
      </c>
      <c r="E55" s="1">
        <v>360</v>
      </c>
      <c r="F55" s="1">
        <v>281</v>
      </c>
      <c r="G55" s="7">
        <v>0.8</v>
      </c>
      <c r="H55" s="1"/>
      <c r="I55" s="1" t="s">
        <v>135</v>
      </c>
      <c r="J55" s="1"/>
      <c r="K55" s="1">
        <v>375</v>
      </c>
      <c r="L55" s="1">
        <f t="shared" si="20"/>
        <v>-15</v>
      </c>
      <c r="M55" s="1"/>
      <c r="N55" s="1"/>
      <c r="O55" s="1">
        <v>480</v>
      </c>
      <c r="P55" s="1">
        <f t="shared" si="21"/>
        <v>72</v>
      </c>
      <c r="Q55" s="5">
        <v>247</v>
      </c>
      <c r="R55" s="27">
        <f>T55</f>
        <v>500</v>
      </c>
      <c r="S55" s="5">
        <f t="shared" si="15"/>
        <v>480</v>
      </c>
      <c r="T55" s="25">
        <v>500</v>
      </c>
      <c r="U55" s="25" t="str">
        <f>VLOOKUP(A55,[1]Лист1!$A:$B,2,0)</f>
        <v>до 500 шт (промо на ноябрь)</v>
      </c>
      <c r="V55" s="1">
        <f t="shared" si="23"/>
        <v>17.236111111111111</v>
      </c>
      <c r="W55" s="1">
        <f t="shared" si="24"/>
        <v>10.569444444444445</v>
      </c>
      <c r="X55" s="1">
        <v>68.400000000000006</v>
      </c>
      <c r="Y55" s="1">
        <v>61</v>
      </c>
      <c r="Z55" s="1">
        <v>63</v>
      </c>
      <c r="AA55" s="1">
        <v>42</v>
      </c>
      <c r="AB55" s="1">
        <v>56.4</v>
      </c>
      <c r="AC55" s="1">
        <v>77.8</v>
      </c>
      <c r="AD55" s="1">
        <v>74</v>
      </c>
      <c r="AE55" s="1">
        <v>40.200000000000003</v>
      </c>
      <c r="AF55" s="1">
        <v>8.1999999999999993</v>
      </c>
      <c r="AG55" s="1">
        <v>12.4</v>
      </c>
      <c r="AH55" s="1"/>
      <c r="AI55" s="1">
        <f t="shared" si="16"/>
        <v>400</v>
      </c>
      <c r="AJ55" s="7">
        <v>8</v>
      </c>
      <c r="AK55" s="9">
        <f t="shared" si="17"/>
        <v>60</v>
      </c>
      <c r="AL55" s="1">
        <f t="shared" si="18"/>
        <v>384</v>
      </c>
      <c r="AM55" s="1">
        <v>12</v>
      </c>
      <c r="AN55" s="1">
        <v>84</v>
      </c>
      <c r="AO55" s="9">
        <f t="shared" si="19"/>
        <v>0.7142857142857143</v>
      </c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136</v>
      </c>
      <c r="B56" s="1" t="s">
        <v>42</v>
      </c>
      <c r="C56" s="1">
        <v>191</v>
      </c>
      <c r="D56" s="1"/>
      <c r="E56" s="1">
        <v>20</v>
      </c>
      <c r="F56" s="1">
        <v>170</v>
      </c>
      <c r="G56" s="7">
        <v>0.4</v>
      </c>
      <c r="H56" s="1">
        <v>180</v>
      </c>
      <c r="I56" s="1" t="s">
        <v>137</v>
      </c>
      <c r="J56" s="1"/>
      <c r="K56" s="1">
        <v>20</v>
      </c>
      <c r="L56" s="1">
        <f t="shared" si="20"/>
        <v>0</v>
      </c>
      <c r="M56" s="1"/>
      <c r="N56" s="1"/>
      <c r="O56" s="1">
        <v>0</v>
      </c>
      <c r="P56" s="1">
        <f t="shared" si="21"/>
        <v>4</v>
      </c>
      <c r="Q56" s="5"/>
      <c r="R56" s="5"/>
      <c r="S56" s="5">
        <f t="shared" si="15"/>
        <v>0</v>
      </c>
      <c r="T56" s="25"/>
      <c r="U56" s="25"/>
      <c r="V56" s="1">
        <f t="shared" si="23"/>
        <v>42.5</v>
      </c>
      <c r="W56" s="1">
        <f t="shared" si="24"/>
        <v>42.5</v>
      </c>
      <c r="X56" s="1">
        <v>0.2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 t="s">
        <v>49</v>
      </c>
      <c r="AI56" s="1">
        <f t="shared" si="16"/>
        <v>0</v>
      </c>
      <c r="AJ56" s="7">
        <v>16</v>
      </c>
      <c r="AK56" s="9">
        <f t="shared" si="17"/>
        <v>0</v>
      </c>
      <c r="AL56" s="1">
        <f t="shared" si="18"/>
        <v>0</v>
      </c>
      <c r="AM56" s="1">
        <v>12</v>
      </c>
      <c r="AN56" s="1">
        <v>84</v>
      </c>
      <c r="AO56" s="9">
        <f t="shared" si="19"/>
        <v>0</v>
      </c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138</v>
      </c>
      <c r="B57" s="1" t="s">
        <v>42</v>
      </c>
      <c r="C57" s="1">
        <v>96</v>
      </c>
      <c r="D57" s="1">
        <v>5</v>
      </c>
      <c r="E57" s="1">
        <v>31</v>
      </c>
      <c r="F57" s="1">
        <v>61</v>
      </c>
      <c r="G57" s="7">
        <v>0.8</v>
      </c>
      <c r="H57" s="1">
        <v>180</v>
      </c>
      <c r="I57" s="1" t="s">
        <v>139</v>
      </c>
      <c r="J57" s="1"/>
      <c r="K57" s="1">
        <v>32</v>
      </c>
      <c r="L57" s="1">
        <f t="shared" si="20"/>
        <v>-1</v>
      </c>
      <c r="M57" s="1"/>
      <c r="N57" s="1"/>
      <c r="O57" s="1">
        <v>0</v>
      </c>
      <c r="P57" s="1">
        <f t="shared" si="21"/>
        <v>6.2</v>
      </c>
      <c r="Q57" s="5">
        <v>50.600000000000009</v>
      </c>
      <c r="R57" s="5">
        <f>IF(14*P57-O57-F57+$R$1*P57&lt;0,0,14*P57-O57-F57+$R$1*P57)</f>
        <v>0</v>
      </c>
      <c r="S57" s="5">
        <f t="shared" si="15"/>
        <v>0</v>
      </c>
      <c r="T57" s="25"/>
      <c r="U57" s="25"/>
      <c r="V57" s="1">
        <f t="shared" si="23"/>
        <v>9.8387096774193541</v>
      </c>
      <c r="W57" s="1">
        <f t="shared" si="24"/>
        <v>9.8387096774193541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 t="s">
        <v>49</v>
      </c>
      <c r="AI57" s="1">
        <f t="shared" si="16"/>
        <v>0</v>
      </c>
      <c r="AJ57" s="7">
        <v>8</v>
      </c>
      <c r="AK57" s="9">
        <f t="shared" si="17"/>
        <v>0</v>
      </c>
      <c r="AL57" s="1">
        <f t="shared" si="18"/>
        <v>0</v>
      </c>
      <c r="AM57" s="1">
        <v>12</v>
      </c>
      <c r="AN57" s="1">
        <v>84</v>
      </c>
      <c r="AO57" s="9">
        <f t="shared" si="19"/>
        <v>0</v>
      </c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140</v>
      </c>
      <c r="B58" s="1" t="s">
        <v>42</v>
      </c>
      <c r="C58" s="1">
        <v>-2</v>
      </c>
      <c r="D58" s="1">
        <v>1735</v>
      </c>
      <c r="E58" s="1">
        <v>481</v>
      </c>
      <c r="F58" s="1">
        <v>1012</v>
      </c>
      <c r="G58" s="7">
        <v>1</v>
      </c>
      <c r="H58" s="1">
        <v>180</v>
      </c>
      <c r="I58" s="1" t="s">
        <v>141</v>
      </c>
      <c r="J58" s="1"/>
      <c r="K58" s="1">
        <v>681</v>
      </c>
      <c r="L58" s="1">
        <f t="shared" si="20"/>
        <v>-200</v>
      </c>
      <c r="M58" s="1"/>
      <c r="N58" s="1"/>
      <c r="O58" s="1">
        <v>660</v>
      </c>
      <c r="P58" s="1">
        <f t="shared" si="21"/>
        <v>96.2</v>
      </c>
      <c r="Q58" s="5"/>
      <c r="R58" s="5"/>
      <c r="S58" s="5">
        <f t="shared" si="15"/>
        <v>0</v>
      </c>
      <c r="T58" s="25"/>
      <c r="U58" s="25"/>
      <c r="V58" s="1">
        <f t="shared" si="23"/>
        <v>17.380457380457379</v>
      </c>
      <c r="W58" s="1">
        <f t="shared" si="24"/>
        <v>17.380457380457379</v>
      </c>
      <c r="X58" s="1">
        <v>134</v>
      </c>
      <c r="Y58" s="1">
        <v>153.19999999999999</v>
      </c>
      <c r="Z58" s="1">
        <v>47.6</v>
      </c>
      <c r="AA58" s="1">
        <v>149</v>
      </c>
      <c r="AB58" s="1">
        <v>70</v>
      </c>
      <c r="AC58" s="1">
        <v>64</v>
      </c>
      <c r="AD58" s="1">
        <v>134</v>
      </c>
      <c r="AE58" s="1">
        <v>128.4</v>
      </c>
      <c r="AF58" s="1">
        <v>105.2</v>
      </c>
      <c r="AG58" s="1">
        <v>97</v>
      </c>
      <c r="AH58" s="1"/>
      <c r="AI58" s="1">
        <f t="shared" si="16"/>
        <v>0</v>
      </c>
      <c r="AJ58" s="7">
        <v>5</v>
      </c>
      <c r="AK58" s="9">
        <f t="shared" si="17"/>
        <v>0</v>
      </c>
      <c r="AL58" s="1">
        <f t="shared" si="18"/>
        <v>0</v>
      </c>
      <c r="AM58" s="1">
        <v>12</v>
      </c>
      <c r="AN58" s="1">
        <v>84</v>
      </c>
      <c r="AO58" s="9">
        <f t="shared" si="19"/>
        <v>0</v>
      </c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142</v>
      </c>
      <c r="B59" s="1" t="s">
        <v>42</v>
      </c>
      <c r="C59" s="1">
        <v>18</v>
      </c>
      <c r="D59" s="1">
        <v>99</v>
      </c>
      <c r="E59" s="1">
        <v>47</v>
      </c>
      <c r="F59" s="1">
        <v>62</v>
      </c>
      <c r="G59" s="7">
        <v>0.9</v>
      </c>
      <c r="H59" s="1">
        <v>180</v>
      </c>
      <c r="I59" s="1" t="s">
        <v>143</v>
      </c>
      <c r="J59" s="1"/>
      <c r="K59" s="1">
        <v>87</v>
      </c>
      <c r="L59" s="1">
        <f t="shared" si="20"/>
        <v>-40</v>
      </c>
      <c r="M59" s="1"/>
      <c r="N59" s="1"/>
      <c r="O59" s="1">
        <v>192</v>
      </c>
      <c r="P59" s="1">
        <f t="shared" si="21"/>
        <v>9.4</v>
      </c>
      <c r="Q59" s="5"/>
      <c r="R59" s="5"/>
      <c r="S59" s="5">
        <f t="shared" si="15"/>
        <v>0</v>
      </c>
      <c r="T59" s="25"/>
      <c r="U59" s="25"/>
      <c r="V59" s="1">
        <f t="shared" si="23"/>
        <v>27.021276595744681</v>
      </c>
      <c r="W59" s="1">
        <f t="shared" si="24"/>
        <v>27.021276595744681</v>
      </c>
      <c r="X59" s="1">
        <v>14.8</v>
      </c>
      <c r="Y59" s="1">
        <v>17.600000000000001</v>
      </c>
      <c r="Z59" s="1">
        <v>15.4</v>
      </c>
      <c r="AA59" s="1">
        <v>17.600000000000001</v>
      </c>
      <c r="AB59" s="1">
        <v>17</v>
      </c>
      <c r="AC59" s="1">
        <v>21</v>
      </c>
      <c r="AD59" s="1">
        <v>25.2</v>
      </c>
      <c r="AE59" s="1">
        <v>28</v>
      </c>
      <c r="AF59" s="1">
        <v>25.4</v>
      </c>
      <c r="AG59" s="1">
        <v>20.399999999999999</v>
      </c>
      <c r="AH59" s="1"/>
      <c r="AI59" s="1">
        <f t="shared" si="16"/>
        <v>0</v>
      </c>
      <c r="AJ59" s="7">
        <v>8</v>
      </c>
      <c r="AK59" s="9">
        <f t="shared" si="17"/>
        <v>0</v>
      </c>
      <c r="AL59" s="1">
        <f t="shared" si="18"/>
        <v>0</v>
      </c>
      <c r="AM59" s="1">
        <v>12</v>
      </c>
      <c r="AN59" s="1">
        <v>84</v>
      </c>
      <c r="AO59" s="9">
        <f t="shared" si="19"/>
        <v>0</v>
      </c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144</v>
      </c>
      <c r="B60" s="1" t="s">
        <v>88</v>
      </c>
      <c r="C60" s="1"/>
      <c r="D60" s="1">
        <v>240</v>
      </c>
      <c r="E60" s="1">
        <v>45</v>
      </c>
      <c r="F60" s="1">
        <v>175</v>
      </c>
      <c r="G60" s="7">
        <v>1</v>
      </c>
      <c r="H60" s="1">
        <v>180</v>
      </c>
      <c r="I60" s="1" t="s">
        <v>145</v>
      </c>
      <c r="J60" s="1"/>
      <c r="K60" s="1">
        <v>75</v>
      </c>
      <c r="L60" s="1">
        <f t="shared" si="20"/>
        <v>-30</v>
      </c>
      <c r="M60" s="1"/>
      <c r="N60" s="1"/>
      <c r="O60" s="1">
        <v>0</v>
      </c>
      <c r="P60" s="1">
        <f t="shared" si="21"/>
        <v>9</v>
      </c>
      <c r="Q60" s="5"/>
      <c r="R60" s="5"/>
      <c r="S60" s="5">
        <f t="shared" si="15"/>
        <v>0</v>
      </c>
      <c r="T60" s="25"/>
      <c r="U60" s="25"/>
      <c r="V60" s="1">
        <f t="shared" si="23"/>
        <v>19.444444444444443</v>
      </c>
      <c r="W60" s="1">
        <f t="shared" si="24"/>
        <v>19.444444444444443</v>
      </c>
      <c r="X60" s="1">
        <v>0</v>
      </c>
      <c r="Y60" s="1">
        <v>27</v>
      </c>
      <c r="Z60" s="1">
        <v>15</v>
      </c>
      <c r="AA60" s="1">
        <v>21</v>
      </c>
      <c r="AB60" s="1">
        <v>19</v>
      </c>
      <c r="AC60" s="1">
        <v>4</v>
      </c>
      <c r="AD60" s="1">
        <v>16</v>
      </c>
      <c r="AE60" s="1">
        <v>34</v>
      </c>
      <c r="AF60" s="1">
        <v>27.611999999999998</v>
      </c>
      <c r="AG60" s="1">
        <v>29</v>
      </c>
      <c r="AH60" s="1" t="s">
        <v>146</v>
      </c>
      <c r="AI60" s="1">
        <f t="shared" si="16"/>
        <v>0</v>
      </c>
      <c r="AJ60" s="7">
        <v>5</v>
      </c>
      <c r="AK60" s="9">
        <f t="shared" si="17"/>
        <v>0</v>
      </c>
      <c r="AL60" s="1">
        <f t="shared" si="18"/>
        <v>0</v>
      </c>
      <c r="AM60" s="1">
        <v>12</v>
      </c>
      <c r="AN60" s="1">
        <v>144</v>
      </c>
      <c r="AO60" s="9">
        <f t="shared" si="19"/>
        <v>0</v>
      </c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147</v>
      </c>
      <c r="B61" s="1" t="s">
        <v>42</v>
      </c>
      <c r="C61" s="1"/>
      <c r="D61" s="1"/>
      <c r="E61" s="19">
        <f>0+E62</f>
        <v>248</v>
      </c>
      <c r="F61" s="19">
        <f>0+F62</f>
        <v>487</v>
      </c>
      <c r="G61" s="7">
        <v>1</v>
      </c>
      <c r="H61" s="1">
        <v>180</v>
      </c>
      <c r="I61" s="1" t="s">
        <v>148</v>
      </c>
      <c r="J61" s="1"/>
      <c r="K61" s="1"/>
      <c r="L61" s="1">
        <f t="shared" si="20"/>
        <v>248</v>
      </c>
      <c r="M61" s="1"/>
      <c r="N61" s="1"/>
      <c r="O61" s="1">
        <v>240</v>
      </c>
      <c r="P61" s="1">
        <f t="shared" si="21"/>
        <v>49.6</v>
      </c>
      <c r="Q61" s="5"/>
      <c r="R61" s="5"/>
      <c r="S61" s="5">
        <f t="shared" si="15"/>
        <v>0</v>
      </c>
      <c r="T61" s="25"/>
      <c r="U61" s="25"/>
      <c r="V61" s="1">
        <f t="shared" si="23"/>
        <v>14.657258064516128</v>
      </c>
      <c r="W61" s="1">
        <f t="shared" si="24"/>
        <v>14.657258064516128</v>
      </c>
      <c r="X61" s="1">
        <v>57.8</v>
      </c>
      <c r="Y61" s="1">
        <v>57</v>
      </c>
      <c r="Z61" s="1">
        <v>49.8</v>
      </c>
      <c r="AA61" s="1">
        <v>12.2</v>
      </c>
      <c r="AB61" s="1">
        <v>69.2</v>
      </c>
      <c r="AC61" s="1">
        <v>62</v>
      </c>
      <c r="AD61" s="1">
        <v>26.8</v>
      </c>
      <c r="AE61" s="1">
        <v>11.4</v>
      </c>
      <c r="AF61" s="1">
        <v>1.6</v>
      </c>
      <c r="AG61" s="1">
        <v>1.4</v>
      </c>
      <c r="AH61" s="1"/>
      <c r="AI61" s="1">
        <f t="shared" si="16"/>
        <v>0</v>
      </c>
      <c r="AJ61" s="7">
        <v>5</v>
      </c>
      <c r="AK61" s="9">
        <f t="shared" si="17"/>
        <v>0</v>
      </c>
      <c r="AL61" s="1">
        <f t="shared" si="18"/>
        <v>0</v>
      </c>
      <c r="AM61" s="1">
        <v>12</v>
      </c>
      <c r="AN61" s="1">
        <v>84</v>
      </c>
      <c r="AO61" s="9">
        <f t="shared" si="19"/>
        <v>0</v>
      </c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4" t="s">
        <v>149</v>
      </c>
      <c r="B62" s="14" t="s">
        <v>42</v>
      </c>
      <c r="C62" s="14">
        <v>758</v>
      </c>
      <c r="D62" s="14">
        <v>22</v>
      </c>
      <c r="E62" s="19">
        <v>248</v>
      </c>
      <c r="F62" s="19">
        <v>487</v>
      </c>
      <c r="G62" s="15">
        <v>0</v>
      </c>
      <c r="H62" s="14">
        <v>180</v>
      </c>
      <c r="I62" s="14" t="s">
        <v>51</v>
      </c>
      <c r="J62" s="14" t="s">
        <v>147</v>
      </c>
      <c r="K62" s="14">
        <v>261</v>
      </c>
      <c r="L62" s="14">
        <f t="shared" si="20"/>
        <v>-13</v>
      </c>
      <c r="M62" s="14"/>
      <c r="N62" s="14"/>
      <c r="O62" s="14"/>
      <c r="P62" s="14">
        <f t="shared" si="21"/>
        <v>49.6</v>
      </c>
      <c r="Q62" s="16"/>
      <c r="R62" s="16"/>
      <c r="S62" s="16"/>
      <c r="T62" s="24"/>
      <c r="U62" s="25"/>
      <c r="V62" s="14">
        <f t="shared" si="23"/>
        <v>9.818548387096774</v>
      </c>
      <c r="W62" s="14">
        <f t="shared" si="24"/>
        <v>9.818548387096774</v>
      </c>
      <c r="X62" s="14">
        <v>57.8</v>
      </c>
      <c r="Y62" s="14">
        <v>57</v>
      </c>
      <c r="Z62" s="14">
        <v>49.8</v>
      </c>
      <c r="AA62" s="14">
        <v>7</v>
      </c>
      <c r="AB62" s="14">
        <v>5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/>
      <c r="AI62" s="14"/>
      <c r="AJ62" s="15"/>
      <c r="AK62" s="17"/>
      <c r="AL62" s="14"/>
      <c r="AM62" s="14"/>
      <c r="AN62" s="14"/>
      <c r="AO62" s="17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150</v>
      </c>
      <c r="B63" s="1" t="s">
        <v>88</v>
      </c>
      <c r="C63" s="1"/>
      <c r="D63" s="1">
        <v>18.5</v>
      </c>
      <c r="E63" s="19">
        <f>7.4+E64</f>
        <v>81.400000000000006</v>
      </c>
      <c r="F63" s="19">
        <f>0+F64</f>
        <v>113.9</v>
      </c>
      <c r="G63" s="7">
        <v>1</v>
      </c>
      <c r="H63" s="1">
        <v>180</v>
      </c>
      <c r="I63" s="1" t="s">
        <v>151</v>
      </c>
      <c r="J63" s="1"/>
      <c r="K63" s="1">
        <v>22.2</v>
      </c>
      <c r="L63" s="1">
        <f t="shared" si="20"/>
        <v>59.2</v>
      </c>
      <c r="M63" s="1"/>
      <c r="N63" s="1"/>
      <c r="O63" s="1">
        <v>259</v>
      </c>
      <c r="P63" s="1">
        <f t="shared" si="21"/>
        <v>16.28</v>
      </c>
      <c r="Q63" s="5"/>
      <c r="R63" s="5"/>
      <c r="S63" s="5">
        <f>AJ63*AK63</f>
        <v>0</v>
      </c>
      <c r="T63" s="25"/>
      <c r="U63" s="25"/>
      <c r="V63" s="1">
        <f t="shared" si="23"/>
        <v>22.905405405405403</v>
      </c>
      <c r="W63" s="1">
        <f t="shared" si="24"/>
        <v>22.905405405405403</v>
      </c>
      <c r="X63" s="1">
        <v>25.9</v>
      </c>
      <c r="Y63" s="1">
        <v>25.14</v>
      </c>
      <c r="Z63" s="1">
        <v>23.68</v>
      </c>
      <c r="AA63" s="1">
        <v>12.58</v>
      </c>
      <c r="AB63" s="1">
        <v>31.08</v>
      </c>
      <c r="AC63" s="1">
        <v>28.12</v>
      </c>
      <c r="AD63" s="1">
        <v>16.28</v>
      </c>
      <c r="AE63" s="1">
        <v>29.6</v>
      </c>
      <c r="AF63" s="1">
        <v>25.92</v>
      </c>
      <c r="AG63" s="1">
        <v>22.2</v>
      </c>
      <c r="AH63" s="1"/>
      <c r="AI63" s="1">
        <f>G63*R63</f>
        <v>0</v>
      </c>
      <c r="AJ63" s="7">
        <v>3.7</v>
      </c>
      <c r="AK63" s="9">
        <f>MROUND(R63, AJ63*AM63)/AJ63</f>
        <v>0</v>
      </c>
      <c r="AL63" s="1">
        <f>AK63*AJ63*G63</f>
        <v>0</v>
      </c>
      <c r="AM63" s="1">
        <v>14</v>
      </c>
      <c r="AN63" s="1">
        <v>126</v>
      </c>
      <c r="AO63" s="9">
        <f>AK63/AN63</f>
        <v>0</v>
      </c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4" t="s">
        <v>152</v>
      </c>
      <c r="B64" s="14" t="s">
        <v>88</v>
      </c>
      <c r="C64" s="14">
        <v>10.3</v>
      </c>
      <c r="D64" s="14">
        <v>207.2</v>
      </c>
      <c r="E64" s="19">
        <v>74</v>
      </c>
      <c r="F64" s="19">
        <v>113.9</v>
      </c>
      <c r="G64" s="15">
        <v>0</v>
      </c>
      <c r="H64" s="14">
        <v>180</v>
      </c>
      <c r="I64" s="14" t="s">
        <v>51</v>
      </c>
      <c r="J64" s="14" t="s">
        <v>150</v>
      </c>
      <c r="K64" s="14">
        <v>74</v>
      </c>
      <c r="L64" s="14">
        <f t="shared" si="20"/>
        <v>0</v>
      </c>
      <c r="M64" s="14"/>
      <c r="N64" s="14"/>
      <c r="O64" s="14"/>
      <c r="P64" s="14">
        <f t="shared" si="21"/>
        <v>14.8</v>
      </c>
      <c r="Q64" s="16"/>
      <c r="R64" s="16"/>
      <c r="S64" s="16"/>
      <c r="T64" s="24"/>
      <c r="U64" s="25"/>
      <c r="V64" s="14">
        <f t="shared" si="23"/>
        <v>7.6959459459459456</v>
      </c>
      <c r="W64" s="14">
        <f t="shared" si="24"/>
        <v>7.6959459459459456</v>
      </c>
      <c r="X64" s="14">
        <v>8.14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/>
      <c r="AI64" s="14"/>
      <c r="AJ64" s="15"/>
      <c r="AK64" s="17"/>
      <c r="AL64" s="14"/>
      <c r="AM64" s="14"/>
      <c r="AN64" s="14"/>
      <c r="AO64" s="17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4" t="s">
        <v>153</v>
      </c>
      <c r="B65" s="14" t="s">
        <v>42</v>
      </c>
      <c r="C65" s="14">
        <v>-2</v>
      </c>
      <c r="D65" s="14">
        <v>1011</v>
      </c>
      <c r="E65" s="19">
        <v>48</v>
      </c>
      <c r="F65" s="19">
        <v>731</v>
      </c>
      <c r="G65" s="15">
        <v>0</v>
      </c>
      <c r="H65" s="14">
        <v>180</v>
      </c>
      <c r="I65" s="14" t="s">
        <v>51</v>
      </c>
      <c r="J65" s="14" t="s">
        <v>53</v>
      </c>
      <c r="K65" s="14">
        <v>49</v>
      </c>
      <c r="L65" s="14">
        <f t="shared" si="20"/>
        <v>-1</v>
      </c>
      <c r="M65" s="14"/>
      <c r="N65" s="14"/>
      <c r="O65" s="14"/>
      <c r="P65" s="14">
        <f t="shared" si="21"/>
        <v>9.6</v>
      </c>
      <c r="Q65" s="16"/>
      <c r="R65" s="16"/>
      <c r="S65" s="16"/>
      <c r="T65" s="24"/>
      <c r="U65" s="25"/>
      <c r="V65" s="14">
        <f t="shared" si="23"/>
        <v>76.145833333333343</v>
      </c>
      <c r="W65" s="14">
        <f t="shared" si="24"/>
        <v>76.145833333333343</v>
      </c>
      <c r="X65" s="14">
        <v>10</v>
      </c>
      <c r="Y65" s="14">
        <v>0.4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/>
      <c r="AI65" s="14"/>
      <c r="AJ65" s="15"/>
      <c r="AK65" s="17"/>
      <c r="AL65" s="14"/>
      <c r="AM65" s="14"/>
      <c r="AN65" s="14"/>
      <c r="AO65" s="17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154</v>
      </c>
      <c r="B66" s="14" t="s">
        <v>42</v>
      </c>
      <c r="C66" s="14">
        <v>274</v>
      </c>
      <c r="D66" s="14">
        <v>1065</v>
      </c>
      <c r="E66" s="19">
        <v>355</v>
      </c>
      <c r="F66" s="19">
        <v>471</v>
      </c>
      <c r="G66" s="15">
        <v>0</v>
      </c>
      <c r="H66" s="14">
        <v>180</v>
      </c>
      <c r="I66" s="14" t="s">
        <v>51</v>
      </c>
      <c r="J66" s="14" t="s">
        <v>63</v>
      </c>
      <c r="K66" s="14">
        <v>380</v>
      </c>
      <c r="L66" s="14">
        <f t="shared" si="20"/>
        <v>-25</v>
      </c>
      <c r="M66" s="14"/>
      <c r="N66" s="14"/>
      <c r="O66" s="14"/>
      <c r="P66" s="14">
        <f t="shared" si="21"/>
        <v>71</v>
      </c>
      <c r="Q66" s="16"/>
      <c r="R66" s="16"/>
      <c r="S66" s="16"/>
      <c r="T66" s="24"/>
      <c r="U66" s="25"/>
      <c r="V66" s="14">
        <f t="shared" si="23"/>
        <v>6.6338028169014081</v>
      </c>
      <c r="W66" s="14">
        <f t="shared" si="24"/>
        <v>6.6338028169014081</v>
      </c>
      <c r="X66" s="14">
        <v>39.4</v>
      </c>
      <c r="Y66" s="14">
        <v>1.6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/>
      <c r="AI66" s="14"/>
      <c r="AJ66" s="15"/>
      <c r="AK66" s="17"/>
      <c r="AL66" s="14"/>
      <c r="AM66" s="14"/>
      <c r="AN66" s="14"/>
      <c r="AO66" s="17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4" t="s">
        <v>155</v>
      </c>
      <c r="B67" s="14" t="s">
        <v>42</v>
      </c>
      <c r="C67" s="14">
        <v>530</v>
      </c>
      <c r="D67" s="14">
        <v>92</v>
      </c>
      <c r="E67" s="19">
        <v>337</v>
      </c>
      <c r="F67" s="19">
        <v>61</v>
      </c>
      <c r="G67" s="15">
        <v>0</v>
      </c>
      <c r="H67" s="14">
        <v>180</v>
      </c>
      <c r="I67" s="14" t="s">
        <v>51</v>
      </c>
      <c r="J67" s="14" t="s">
        <v>156</v>
      </c>
      <c r="K67" s="14">
        <v>445</v>
      </c>
      <c r="L67" s="14">
        <f t="shared" si="20"/>
        <v>-108</v>
      </c>
      <c r="M67" s="14"/>
      <c r="N67" s="14"/>
      <c r="O67" s="14"/>
      <c r="P67" s="14">
        <f t="shared" si="21"/>
        <v>67.400000000000006</v>
      </c>
      <c r="Q67" s="16"/>
      <c r="R67" s="16"/>
      <c r="S67" s="16"/>
      <c r="T67" s="24"/>
      <c r="U67" s="25"/>
      <c r="V67" s="14">
        <f t="shared" si="23"/>
        <v>0.90504451038575662</v>
      </c>
      <c r="W67" s="14">
        <f t="shared" si="24"/>
        <v>0.90504451038575662</v>
      </c>
      <c r="X67" s="14">
        <v>47.2</v>
      </c>
      <c r="Y67" s="14">
        <v>4.5999999999999996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/>
      <c r="AI67" s="14"/>
      <c r="AJ67" s="15"/>
      <c r="AK67" s="17"/>
      <c r="AL67" s="14"/>
      <c r="AM67" s="14"/>
      <c r="AN67" s="14"/>
      <c r="AO67" s="17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4" t="s">
        <v>157</v>
      </c>
      <c r="B68" s="14" t="s">
        <v>88</v>
      </c>
      <c r="C68" s="14">
        <v>252</v>
      </c>
      <c r="D68" s="14">
        <v>12</v>
      </c>
      <c r="E68" s="19">
        <v>102</v>
      </c>
      <c r="F68" s="19">
        <v>89.3</v>
      </c>
      <c r="G68" s="15">
        <v>0</v>
      </c>
      <c r="H68" s="14">
        <v>180</v>
      </c>
      <c r="I68" s="14" t="s">
        <v>51</v>
      </c>
      <c r="J68" s="14" t="s">
        <v>92</v>
      </c>
      <c r="K68" s="14">
        <v>109</v>
      </c>
      <c r="L68" s="14">
        <f t="shared" si="20"/>
        <v>-7</v>
      </c>
      <c r="M68" s="14"/>
      <c r="N68" s="14"/>
      <c r="O68" s="14"/>
      <c r="P68" s="14">
        <f t="shared" si="21"/>
        <v>20.399999999999999</v>
      </c>
      <c r="Q68" s="16"/>
      <c r="R68" s="16"/>
      <c r="S68" s="16"/>
      <c r="T68" s="24"/>
      <c r="U68" s="25"/>
      <c r="V68" s="14">
        <f t="shared" si="23"/>
        <v>4.3774509803921573</v>
      </c>
      <c r="W68" s="14">
        <f t="shared" si="24"/>
        <v>4.3774509803921573</v>
      </c>
      <c r="X68" s="14">
        <v>14.4</v>
      </c>
      <c r="Y68" s="14">
        <v>4.2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/>
      <c r="AI68" s="14"/>
      <c r="AJ68" s="15"/>
      <c r="AK68" s="17"/>
      <c r="AL68" s="14"/>
      <c r="AM68" s="14"/>
      <c r="AN68" s="14"/>
      <c r="AO68" s="17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158</v>
      </c>
      <c r="B69" s="14" t="s">
        <v>42</v>
      </c>
      <c r="C69" s="14">
        <v>873</v>
      </c>
      <c r="D69" s="14">
        <v>745</v>
      </c>
      <c r="E69" s="19">
        <v>532</v>
      </c>
      <c r="F69" s="19">
        <v>619</v>
      </c>
      <c r="G69" s="15">
        <v>0</v>
      </c>
      <c r="H69" s="14">
        <v>180</v>
      </c>
      <c r="I69" s="14" t="s">
        <v>51</v>
      </c>
      <c r="J69" s="14" t="s">
        <v>84</v>
      </c>
      <c r="K69" s="14">
        <v>581</v>
      </c>
      <c r="L69" s="14">
        <f t="shared" si="20"/>
        <v>-49</v>
      </c>
      <c r="M69" s="14"/>
      <c r="N69" s="14"/>
      <c r="O69" s="14"/>
      <c r="P69" s="14">
        <f t="shared" si="21"/>
        <v>106.4</v>
      </c>
      <c r="Q69" s="16"/>
      <c r="R69" s="16"/>
      <c r="S69" s="16"/>
      <c r="T69" s="24"/>
      <c r="U69" s="25"/>
      <c r="V69" s="14">
        <f t="shared" si="23"/>
        <v>5.8176691729323302</v>
      </c>
      <c r="W69" s="14">
        <f t="shared" si="24"/>
        <v>5.8176691729323302</v>
      </c>
      <c r="X69" s="14">
        <v>37.200000000000003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/>
      <c r="AI69" s="14"/>
      <c r="AJ69" s="15"/>
      <c r="AK69" s="17"/>
      <c r="AL69" s="14"/>
      <c r="AM69" s="14"/>
      <c r="AN69" s="14"/>
      <c r="AO69" s="17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159</v>
      </c>
      <c r="B70" s="14" t="s">
        <v>42</v>
      </c>
      <c r="C70" s="14"/>
      <c r="D70" s="14">
        <v>2333</v>
      </c>
      <c r="E70" s="19">
        <v>399</v>
      </c>
      <c r="F70" s="19">
        <v>840</v>
      </c>
      <c r="G70" s="15">
        <v>0</v>
      </c>
      <c r="H70" s="14">
        <v>180</v>
      </c>
      <c r="I70" s="18" t="s">
        <v>51</v>
      </c>
      <c r="J70" s="18" t="s">
        <v>160</v>
      </c>
      <c r="K70" s="14">
        <v>406</v>
      </c>
      <c r="L70" s="14">
        <f t="shared" ref="L70:L87" si="27">E70-K70</f>
        <v>-7</v>
      </c>
      <c r="M70" s="14"/>
      <c r="N70" s="14"/>
      <c r="O70" s="14"/>
      <c r="P70" s="14">
        <f t="shared" ref="P70:P87" si="28">E70/5</f>
        <v>79.8</v>
      </c>
      <c r="Q70" s="16"/>
      <c r="R70" s="16"/>
      <c r="S70" s="16"/>
      <c r="T70" s="24"/>
      <c r="U70" s="25"/>
      <c r="V70" s="14">
        <f t="shared" ref="V70:V87" si="29">(F70+O70+S70)/P70</f>
        <v>10.526315789473685</v>
      </c>
      <c r="W70" s="14">
        <f t="shared" ref="W70:W87" si="30">(F70+O70)/P70</f>
        <v>10.526315789473685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/>
      <c r="AI70" s="14"/>
      <c r="AJ70" s="15"/>
      <c r="AK70" s="17"/>
      <c r="AL70" s="14"/>
      <c r="AM70" s="14"/>
      <c r="AN70" s="14"/>
      <c r="AO70" s="17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161</v>
      </c>
      <c r="B71" s="1" t="s">
        <v>42</v>
      </c>
      <c r="C71" s="1">
        <v>180</v>
      </c>
      <c r="D71" s="1">
        <v>368</v>
      </c>
      <c r="E71" s="1">
        <v>304</v>
      </c>
      <c r="F71" s="1">
        <v>193</v>
      </c>
      <c r="G71" s="7">
        <v>0.23</v>
      </c>
      <c r="H71" s="1">
        <v>180</v>
      </c>
      <c r="I71" s="1" t="s">
        <v>162</v>
      </c>
      <c r="J71" s="1"/>
      <c r="K71" s="1">
        <v>332</v>
      </c>
      <c r="L71" s="1">
        <f t="shared" si="27"/>
        <v>-28</v>
      </c>
      <c r="M71" s="1"/>
      <c r="N71" s="1"/>
      <c r="O71" s="1">
        <v>420</v>
      </c>
      <c r="P71" s="1">
        <f t="shared" si="28"/>
        <v>60.8</v>
      </c>
      <c r="Q71" s="5">
        <v>238.19999999999993</v>
      </c>
      <c r="R71" s="5">
        <f>IF(14*P71-O71-F71+$R$1*P71&lt;0,0,14*P71-O71-F71+$R$1*P71)</f>
        <v>0</v>
      </c>
      <c r="S71" s="5">
        <f>AJ71*AK71</f>
        <v>0</v>
      </c>
      <c r="T71" s="25"/>
      <c r="U71" s="25"/>
      <c r="V71" s="1">
        <f t="shared" si="29"/>
        <v>10.082236842105264</v>
      </c>
      <c r="W71" s="1">
        <f t="shared" si="30"/>
        <v>10.082236842105264</v>
      </c>
      <c r="X71" s="1">
        <v>54.4</v>
      </c>
      <c r="Y71" s="1">
        <v>55.6</v>
      </c>
      <c r="Z71" s="1">
        <v>63.4</v>
      </c>
      <c r="AA71" s="1">
        <v>56</v>
      </c>
      <c r="AB71" s="1">
        <v>59.6</v>
      </c>
      <c r="AC71" s="1">
        <v>75.400000000000006</v>
      </c>
      <c r="AD71" s="1">
        <v>71.2</v>
      </c>
      <c r="AE71" s="1">
        <v>53.4</v>
      </c>
      <c r="AF71" s="1">
        <v>112.6</v>
      </c>
      <c r="AG71" s="1">
        <v>101.4</v>
      </c>
      <c r="AH71" s="1"/>
      <c r="AI71" s="1">
        <f>G71*R71</f>
        <v>0</v>
      </c>
      <c r="AJ71" s="7">
        <v>6</v>
      </c>
      <c r="AK71" s="9">
        <f>MROUND(R71, AJ71*AM71)/AJ71</f>
        <v>0</v>
      </c>
      <c r="AL71" s="1">
        <f>AK71*AJ71*G71</f>
        <v>0</v>
      </c>
      <c r="AM71" s="1">
        <v>14</v>
      </c>
      <c r="AN71" s="1">
        <v>140</v>
      </c>
      <c r="AO71" s="9">
        <f>AK71/AN71</f>
        <v>0</v>
      </c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60</v>
      </c>
      <c r="B72" s="1" t="s">
        <v>42</v>
      </c>
      <c r="C72" s="1">
        <v>-12</v>
      </c>
      <c r="D72" s="1">
        <v>197</v>
      </c>
      <c r="E72" s="19">
        <f>161+E13</f>
        <v>563</v>
      </c>
      <c r="F72" s="19">
        <f>-4+F13</f>
        <v>10</v>
      </c>
      <c r="G72" s="7">
        <v>0.25</v>
      </c>
      <c r="H72" s="1">
        <v>180</v>
      </c>
      <c r="I72" s="1" t="s">
        <v>163</v>
      </c>
      <c r="J72" s="1"/>
      <c r="K72" s="1">
        <v>215</v>
      </c>
      <c r="L72" s="1">
        <f t="shared" si="27"/>
        <v>348</v>
      </c>
      <c r="M72" s="1"/>
      <c r="N72" s="1"/>
      <c r="O72" s="1">
        <v>2688</v>
      </c>
      <c r="P72" s="1">
        <f t="shared" si="28"/>
        <v>112.6</v>
      </c>
      <c r="Q72" s="5"/>
      <c r="R72" s="5"/>
      <c r="S72" s="5">
        <f>AJ72*AK72</f>
        <v>0</v>
      </c>
      <c r="T72" s="25"/>
      <c r="U72" s="25"/>
      <c r="V72" s="1">
        <f t="shared" si="29"/>
        <v>23.960923623445826</v>
      </c>
      <c r="W72" s="1">
        <f t="shared" si="30"/>
        <v>23.960923623445826</v>
      </c>
      <c r="X72" s="1">
        <v>191.6</v>
      </c>
      <c r="Y72" s="1">
        <v>103</v>
      </c>
      <c r="Z72" s="1">
        <v>166.8</v>
      </c>
      <c r="AA72" s="1">
        <v>182.4</v>
      </c>
      <c r="AB72" s="1">
        <v>128.80000000000001</v>
      </c>
      <c r="AC72" s="1">
        <v>121.6</v>
      </c>
      <c r="AD72" s="1">
        <v>97.6</v>
      </c>
      <c r="AE72" s="1">
        <v>155.19999999999999</v>
      </c>
      <c r="AF72" s="1">
        <v>274</v>
      </c>
      <c r="AG72" s="1">
        <v>194.8</v>
      </c>
      <c r="AH72" s="1"/>
      <c r="AI72" s="1">
        <f>G72*R72</f>
        <v>0</v>
      </c>
      <c r="AJ72" s="7">
        <v>12</v>
      </c>
      <c r="AK72" s="9">
        <f>MROUND(R72, AJ72*AM72)/AJ72</f>
        <v>0</v>
      </c>
      <c r="AL72" s="1">
        <f>AK72*AJ72*G72</f>
        <v>0</v>
      </c>
      <c r="AM72" s="1">
        <v>14</v>
      </c>
      <c r="AN72" s="1">
        <v>70</v>
      </c>
      <c r="AO72" s="9">
        <f>AK72/AN72</f>
        <v>0</v>
      </c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62</v>
      </c>
      <c r="B73" s="1" t="s">
        <v>42</v>
      </c>
      <c r="C73" s="1"/>
      <c r="D73" s="1">
        <v>78</v>
      </c>
      <c r="E73" s="19">
        <f>78+E14</f>
        <v>616</v>
      </c>
      <c r="F73" s="19">
        <f>-4+F14</f>
        <v>728</v>
      </c>
      <c r="G73" s="7">
        <v>0.25</v>
      </c>
      <c r="H73" s="1">
        <v>180</v>
      </c>
      <c r="I73" s="1" t="s">
        <v>164</v>
      </c>
      <c r="J73" s="1"/>
      <c r="K73" s="1">
        <v>78</v>
      </c>
      <c r="L73" s="1">
        <f t="shared" si="27"/>
        <v>538</v>
      </c>
      <c r="M73" s="1"/>
      <c r="N73" s="1"/>
      <c r="O73" s="1">
        <v>336</v>
      </c>
      <c r="P73" s="1">
        <f t="shared" si="28"/>
        <v>123.2</v>
      </c>
      <c r="Q73" s="5">
        <v>660.8</v>
      </c>
      <c r="R73" s="5">
        <f>IF(14*P73-O73-F73+$R$1*P73&lt;0,0,14*P73-O73-F73+$R$1*P73)</f>
        <v>143.3599999999999</v>
      </c>
      <c r="S73" s="5">
        <f>AJ73*AK73</f>
        <v>168</v>
      </c>
      <c r="T73" s="25"/>
      <c r="U73" s="25"/>
      <c r="V73" s="1">
        <f t="shared" si="29"/>
        <v>10</v>
      </c>
      <c r="W73" s="1">
        <f t="shared" si="30"/>
        <v>8.6363636363636367</v>
      </c>
      <c r="X73" s="1">
        <v>102.6</v>
      </c>
      <c r="Y73" s="1">
        <v>125.2</v>
      </c>
      <c r="Z73" s="1">
        <v>47</v>
      </c>
      <c r="AA73" s="1">
        <v>104</v>
      </c>
      <c r="AB73" s="1">
        <v>104.6</v>
      </c>
      <c r="AC73" s="1">
        <v>125.6</v>
      </c>
      <c r="AD73" s="1">
        <v>93.2</v>
      </c>
      <c r="AE73" s="1">
        <v>111.4</v>
      </c>
      <c r="AF73" s="1">
        <v>196.6</v>
      </c>
      <c r="AG73" s="1">
        <v>144.4</v>
      </c>
      <c r="AH73" s="1"/>
      <c r="AI73" s="1">
        <f>G73*R73</f>
        <v>35.839999999999975</v>
      </c>
      <c r="AJ73" s="7">
        <v>12</v>
      </c>
      <c r="AK73" s="9">
        <f>MROUND(R73, AJ73*AM73)/AJ73</f>
        <v>14</v>
      </c>
      <c r="AL73" s="1">
        <f>AK73*AJ73*G73</f>
        <v>42</v>
      </c>
      <c r="AM73" s="1">
        <v>14</v>
      </c>
      <c r="AN73" s="1">
        <v>70</v>
      </c>
      <c r="AO73" s="9">
        <f>AK73/AN73</f>
        <v>0.2</v>
      </c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4" t="s">
        <v>165</v>
      </c>
      <c r="B74" s="14" t="s">
        <v>42</v>
      </c>
      <c r="C74" s="14">
        <v>100</v>
      </c>
      <c r="D74" s="14">
        <v>12</v>
      </c>
      <c r="E74" s="14">
        <v>61</v>
      </c>
      <c r="F74" s="14">
        <v>41</v>
      </c>
      <c r="G74" s="15">
        <v>0</v>
      </c>
      <c r="H74" s="14">
        <v>180</v>
      </c>
      <c r="I74" s="14" t="s">
        <v>166</v>
      </c>
      <c r="J74" s="14"/>
      <c r="K74" s="14">
        <v>71</v>
      </c>
      <c r="L74" s="14">
        <f t="shared" si="27"/>
        <v>-10</v>
      </c>
      <c r="M74" s="14"/>
      <c r="N74" s="14"/>
      <c r="O74" s="14"/>
      <c r="P74" s="14">
        <f t="shared" si="28"/>
        <v>12.2</v>
      </c>
      <c r="Q74" s="16"/>
      <c r="R74" s="16"/>
      <c r="S74" s="16"/>
      <c r="T74" s="24"/>
      <c r="U74" s="25"/>
      <c r="V74" s="14">
        <f t="shared" si="29"/>
        <v>3.3606557377049184</v>
      </c>
      <c r="W74" s="14">
        <f t="shared" si="30"/>
        <v>3.3606557377049184</v>
      </c>
      <c r="X74" s="14">
        <v>9.8000000000000007</v>
      </c>
      <c r="Y74" s="14">
        <v>12.2</v>
      </c>
      <c r="Z74" s="14">
        <v>14.8</v>
      </c>
      <c r="AA74" s="14">
        <v>8.1999999999999993</v>
      </c>
      <c r="AB74" s="14">
        <v>8</v>
      </c>
      <c r="AC74" s="14">
        <v>14.8</v>
      </c>
      <c r="AD74" s="14">
        <v>18.399999999999999</v>
      </c>
      <c r="AE74" s="14">
        <v>6.2</v>
      </c>
      <c r="AF74" s="14">
        <v>22.4</v>
      </c>
      <c r="AG74" s="14">
        <v>18.2</v>
      </c>
      <c r="AH74" s="14"/>
      <c r="AI74" s="14"/>
      <c r="AJ74" s="15">
        <v>6</v>
      </c>
      <c r="AK74" s="17"/>
      <c r="AL74" s="14"/>
      <c r="AM74" s="14">
        <v>14</v>
      </c>
      <c r="AN74" s="14">
        <v>140</v>
      </c>
      <c r="AO74" s="17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167</v>
      </c>
      <c r="B75" s="1" t="s">
        <v>42</v>
      </c>
      <c r="C75" s="1">
        <v>1081</v>
      </c>
      <c r="D75" s="1">
        <v>94</v>
      </c>
      <c r="E75" s="1">
        <v>62</v>
      </c>
      <c r="F75" s="1">
        <v>1092</v>
      </c>
      <c r="G75" s="7">
        <v>0.18</v>
      </c>
      <c r="H75" s="1">
        <v>180</v>
      </c>
      <c r="I75" s="1" t="s">
        <v>168</v>
      </c>
      <c r="J75" s="1"/>
      <c r="K75" s="1">
        <v>82</v>
      </c>
      <c r="L75" s="1">
        <f t="shared" si="27"/>
        <v>-20</v>
      </c>
      <c r="M75" s="1"/>
      <c r="N75" s="1"/>
      <c r="O75" s="1">
        <v>0</v>
      </c>
      <c r="P75" s="1">
        <f t="shared" si="28"/>
        <v>12.4</v>
      </c>
      <c r="Q75" s="5"/>
      <c r="R75" s="5"/>
      <c r="S75" s="5">
        <f>AJ75*AK75</f>
        <v>0</v>
      </c>
      <c r="T75" s="25"/>
      <c r="U75" s="25"/>
      <c r="V75" s="1">
        <f t="shared" si="29"/>
        <v>88.064516129032256</v>
      </c>
      <c r="W75" s="1">
        <f t="shared" si="30"/>
        <v>88.064516129032256</v>
      </c>
      <c r="X75" s="1">
        <v>11.4</v>
      </c>
      <c r="Y75" s="1">
        <v>19.2</v>
      </c>
      <c r="Z75" s="1">
        <v>17.600000000000001</v>
      </c>
      <c r="AA75" s="1">
        <v>14.8</v>
      </c>
      <c r="AB75" s="1">
        <v>7.4</v>
      </c>
      <c r="AC75" s="1">
        <v>9.4</v>
      </c>
      <c r="AD75" s="1">
        <v>18</v>
      </c>
      <c r="AE75" s="1">
        <v>15.8</v>
      </c>
      <c r="AF75" s="1">
        <v>41.2</v>
      </c>
      <c r="AG75" s="1">
        <v>77.2</v>
      </c>
      <c r="AH75" s="22" t="s">
        <v>187</v>
      </c>
      <c r="AI75" s="1">
        <f>G75*R75</f>
        <v>0</v>
      </c>
      <c r="AJ75" s="7">
        <v>6</v>
      </c>
      <c r="AK75" s="9">
        <f>MROUND(R75, AJ75*AM75)/AJ75</f>
        <v>0</v>
      </c>
      <c r="AL75" s="1">
        <f>AK75*AJ75*G75</f>
        <v>0</v>
      </c>
      <c r="AM75" s="1">
        <v>14</v>
      </c>
      <c r="AN75" s="1">
        <v>140</v>
      </c>
      <c r="AO75" s="9">
        <f>AK75/AN75</f>
        <v>0</v>
      </c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4" t="s">
        <v>169</v>
      </c>
      <c r="B76" s="14" t="s">
        <v>42</v>
      </c>
      <c r="C76" s="14">
        <v>23</v>
      </c>
      <c r="D76" s="14"/>
      <c r="E76" s="14">
        <v>21</v>
      </c>
      <c r="F76" s="14">
        <v>1</v>
      </c>
      <c r="G76" s="15">
        <v>0</v>
      </c>
      <c r="H76" s="14">
        <v>180</v>
      </c>
      <c r="I76" s="14" t="s">
        <v>166</v>
      </c>
      <c r="J76" s="14"/>
      <c r="K76" s="14">
        <v>30</v>
      </c>
      <c r="L76" s="14">
        <f t="shared" si="27"/>
        <v>-9</v>
      </c>
      <c r="M76" s="14"/>
      <c r="N76" s="14"/>
      <c r="O76" s="14"/>
      <c r="P76" s="14">
        <f t="shared" si="28"/>
        <v>4.2</v>
      </c>
      <c r="Q76" s="16"/>
      <c r="R76" s="16"/>
      <c r="S76" s="16"/>
      <c r="T76" s="24"/>
      <c r="U76" s="25"/>
      <c r="V76" s="14">
        <f t="shared" si="29"/>
        <v>0.23809523809523808</v>
      </c>
      <c r="W76" s="14">
        <f t="shared" si="30"/>
        <v>0.23809523809523808</v>
      </c>
      <c r="X76" s="14">
        <v>0.2</v>
      </c>
      <c r="Y76" s="14">
        <v>0.2</v>
      </c>
      <c r="Z76" s="14">
        <v>0.8</v>
      </c>
      <c r="AA76" s="14">
        <v>0.8</v>
      </c>
      <c r="AB76" s="14">
        <v>0.6</v>
      </c>
      <c r="AC76" s="14">
        <v>0.6</v>
      </c>
      <c r="AD76" s="14">
        <v>1.2</v>
      </c>
      <c r="AE76" s="14">
        <v>0.8</v>
      </c>
      <c r="AF76" s="14">
        <v>1.6</v>
      </c>
      <c r="AG76" s="14">
        <v>1</v>
      </c>
      <c r="AH76" s="14"/>
      <c r="AI76" s="14"/>
      <c r="AJ76" s="15">
        <v>6</v>
      </c>
      <c r="AK76" s="17"/>
      <c r="AL76" s="14"/>
      <c r="AM76" s="14">
        <v>14</v>
      </c>
      <c r="AN76" s="14">
        <v>140</v>
      </c>
      <c r="AO76" s="17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170</v>
      </c>
      <c r="B77" s="1" t="s">
        <v>42</v>
      </c>
      <c r="C77" s="1">
        <v>390</v>
      </c>
      <c r="D77" s="1">
        <v>1780</v>
      </c>
      <c r="E77" s="1">
        <v>913</v>
      </c>
      <c r="F77" s="1">
        <v>1030</v>
      </c>
      <c r="G77" s="7">
        <v>0.3</v>
      </c>
      <c r="H77" s="1">
        <v>180</v>
      </c>
      <c r="I77" s="1" t="s">
        <v>171</v>
      </c>
      <c r="J77" s="1"/>
      <c r="K77" s="1">
        <v>1014</v>
      </c>
      <c r="L77" s="1">
        <f t="shared" si="27"/>
        <v>-101</v>
      </c>
      <c r="M77" s="1"/>
      <c r="N77" s="1"/>
      <c r="O77" s="1">
        <v>1008</v>
      </c>
      <c r="P77" s="1">
        <f t="shared" si="28"/>
        <v>182.6</v>
      </c>
      <c r="Q77" s="5">
        <v>518.40000000000009</v>
      </c>
      <c r="R77" s="5">
        <f>IF(14*P77-O77-F77+$R$1*P77&lt;0,0,14*P77-O77-F77+$R$1*P77)</f>
        <v>0</v>
      </c>
      <c r="S77" s="5">
        <f t="shared" ref="S77:S87" si="31">AJ77*AK77</f>
        <v>0</v>
      </c>
      <c r="T77" s="25"/>
      <c r="U77" s="25"/>
      <c r="V77" s="1">
        <f t="shared" si="29"/>
        <v>11.161007667031765</v>
      </c>
      <c r="W77" s="1">
        <f t="shared" si="30"/>
        <v>11.161007667031765</v>
      </c>
      <c r="X77" s="1">
        <v>174</v>
      </c>
      <c r="Y77" s="1">
        <v>184.6</v>
      </c>
      <c r="Z77" s="1">
        <v>183.6</v>
      </c>
      <c r="AA77" s="1">
        <v>166.8</v>
      </c>
      <c r="AB77" s="1">
        <v>194</v>
      </c>
      <c r="AC77" s="1">
        <v>197.4</v>
      </c>
      <c r="AD77" s="1">
        <v>146.6</v>
      </c>
      <c r="AE77" s="1">
        <v>166.6</v>
      </c>
      <c r="AF77" s="1">
        <v>185.6</v>
      </c>
      <c r="AG77" s="1">
        <v>233</v>
      </c>
      <c r="AH77" s="1"/>
      <c r="AI77" s="1">
        <f t="shared" ref="AI77:AI87" si="32">G77*R77</f>
        <v>0</v>
      </c>
      <c r="AJ77" s="7">
        <v>12</v>
      </c>
      <c r="AK77" s="9">
        <f t="shared" ref="AK77:AK87" si="33">MROUND(R77, AJ77*AM77)/AJ77</f>
        <v>0</v>
      </c>
      <c r="AL77" s="1">
        <f t="shared" ref="AL77:AL87" si="34">AK77*AJ77*G77</f>
        <v>0</v>
      </c>
      <c r="AM77" s="1">
        <v>14</v>
      </c>
      <c r="AN77" s="1">
        <v>70</v>
      </c>
      <c r="AO77" s="9">
        <f t="shared" ref="AO77:AO87" si="35">AK77/AN77</f>
        <v>0</v>
      </c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172</v>
      </c>
      <c r="B78" s="1" t="s">
        <v>42</v>
      </c>
      <c r="C78" s="1">
        <v>136</v>
      </c>
      <c r="D78" s="1">
        <v>919</v>
      </c>
      <c r="E78" s="1">
        <v>369</v>
      </c>
      <c r="F78" s="1">
        <v>572</v>
      </c>
      <c r="G78" s="7">
        <v>0.3</v>
      </c>
      <c r="H78" s="1">
        <v>180</v>
      </c>
      <c r="I78" s="1" t="s">
        <v>173</v>
      </c>
      <c r="J78" s="1"/>
      <c r="K78" s="1">
        <v>499</v>
      </c>
      <c r="L78" s="1">
        <f t="shared" si="27"/>
        <v>-130</v>
      </c>
      <c r="M78" s="1"/>
      <c r="N78" s="1"/>
      <c r="O78" s="1">
        <v>504</v>
      </c>
      <c r="P78" s="1">
        <f t="shared" si="28"/>
        <v>73.8</v>
      </c>
      <c r="Q78" s="5"/>
      <c r="R78" s="5"/>
      <c r="S78" s="5">
        <f t="shared" si="31"/>
        <v>0</v>
      </c>
      <c r="T78" s="25"/>
      <c r="U78" s="25"/>
      <c r="V78" s="1">
        <f t="shared" si="29"/>
        <v>14.579945799457995</v>
      </c>
      <c r="W78" s="1">
        <f t="shared" si="30"/>
        <v>14.579945799457995</v>
      </c>
      <c r="X78" s="1">
        <v>88.8</v>
      </c>
      <c r="Y78" s="1">
        <v>98</v>
      </c>
      <c r="Z78" s="1">
        <v>86.8</v>
      </c>
      <c r="AA78" s="1">
        <v>78.400000000000006</v>
      </c>
      <c r="AB78" s="1">
        <v>105.2</v>
      </c>
      <c r="AC78" s="1">
        <v>107.6</v>
      </c>
      <c r="AD78" s="1">
        <v>75.599999999999994</v>
      </c>
      <c r="AE78" s="1">
        <v>87.4</v>
      </c>
      <c r="AF78" s="1">
        <v>115.2</v>
      </c>
      <c r="AG78" s="1">
        <v>51</v>
      </c>
      <c r="AH78" s="1"/>
      <c r="AI78" s="1">
        <f t="shared" si="32"/>
        <v>0</v>
      </c>
      <c r="AJ78" s="7">
        <v>12</v>
      </c>
      <c r="AK78" s="9">
        <f t="shared" si="33"/>
        <v>0</v>
      </c>
      <c r="AL78" s="1">
        <f t="shared" si="34"/>
        <v>0</v>
      </c>
      <c r="AM78" s="1">
        <v>14</v>
      </c>
      <c r="AN78" s="1">
        <v>70</v>
      </c>
      <c r="AO78" s="9">
        <f t="shared" si="35"/>
        <v>0</v>
      </c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156</v>
      </c>
      <c r="B79" s="1" t="s">
        <v>42</v>
      </c>
      <c r="C79" s="1"/>
      <c r="D79" s="1">
        <v>160</v>
      </c>
      <c r="E79" s="19">
        <f>132+E67</f>
        <v>469</v>
      </c>
      <c r="F79" s="19">
        <f>-14+F67</f>
        <v>47</v>
      </c>
      <c r="G79" s="7">
        <v>0.3</v>
      </c>
      <c r="H79" s="1">
        <v>180</v>
      </c>
      <c r="I79" s="1" t="s">
        <v>174</v>
      </c>
      <c r="J79" s="1"/>
      <c r="K79" s="1">
        <v>160</v>
      </c>
      <c r="L79" s="1">
        <f t="shared" si="27"/>
        <v>309</v>
      </c>
      <c r="M79" s="1"/>
      <c r="N79" s="1"/>
      <c r="O79" s="1">
        <v>1176</v>
      </c>
      <c r="P79" s="1">
        <f t="shared" si="28"/>
        <v>93.8</v>
      </c>
      <c r="Q79" s="5">
        <v>184</v>
      </c>
      <c r="R79" s="5">
        <f>IF(14*P79-O79-F79+$R$1*P79&lt;0,0,14*P79-O79-F79+$R$1*P79)</f>
        <v>0</v>
      </c>
      <c r="S79" s="5">
        <f t="shared" si="31"/>
        <v>0</v>
      </c>
      <c r="T79" s="25"/>
      <c r="U79" s="25"/>
      <c r="V79" s="1">
        <f t="shared" si="29"/>
        <v>13.038379530916846</v>
      </c>
      <c r="W79" s="1">
        <f t="shared" si="30"/>
        <v>13.038379530916846</v>
      </c>
      <c r="X79" s="1">
        <v>93.6</v>
      </c>
      <c r="Y79" s="1">
        <v>38.6</v>
      </c>
      <c r="Z79" s="1">
        <v>34.200000000000003</v>
      </c>
      <c r="AA79" s="1">
        <v>118.2</v>
      </c>
      <c r="AB79" s="1">
        <v>19.399999999999999</v>
      </c>
      <c r="AC79" s="1">
        <v>29.4</v>
      </c>
      <c r="AD79" s="1">
        <v>72.2</v>
      </c>
      <c r="AE79" s="1">
        <v>90.2</v>
      </c>
      <c r="AF79" s="1">
        <v>17.600000000000001</v>
      </c>
      <c r="AG79" s="1">
        <v>47.2</v>
      </c>
      <c r="AH79" s="1"/>
      <c r="AI79" s="1">
        <f t="shared" si="32"/>
        <v>0</v>
      </c>
      <c r="AJ79" s="7">
        <v>14</v>
      </c>
      <c r="AK79" s="9">
        <f t="shared" si="33"/>
        <v>0</v>
      </c>
      <c r="AL79" s="1">
        <f t="shared" si="34"/>
        <v>0</v>
      </c>
      <c r="AM79" s="1">
        <v>14</v>
      </c>
      <c r="AN79" s="1">
        <v>70</v>
      </c>
      <c r="AO79" s="9">
        <f t="shared" si="35"/>
        <v>0</v>
      </c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175</v>
      </c>
      <c r="B80" s="1" t="s">
        <v>42</v>
      </c>
      <c r="C80" s="1"/>
      <c r="D80" s="1">
        <v>170</v>
      </c>
      <c r="E80" s="1">
        <v>43</v>
      </c>
      <c r="F80" s="1">
        <v>113</v>
      </c>
      <c r="G80" s="7">
        <v>0.22</v>
      </c>
      <c r="H80" s="1"/>
      <c r="I80" s="1" t="s">
        <v>176</v>
      </c>
      <c r="J80" s="1"/>
      <c r="K80" s="1">
        <v>48</v>
      </c>
      <c r="L80" s="1">
        <f t="shared" si="27"/>
        <v>-5</v>
      </c>
      <c r="M80" s="1"/>
      <c r="N80" s="1"/>
      <c r="O80" s="1">
        <v>168</v>
      </c>
      <c r="P80" s="1">
        <f t="shared" si="28"/>
        <v>8.6</v>
      </c>
      <c r="Q80" s="5"/>
      <c r="R80" s="5"/>
      <c r="S80" s="5">
        <f t="shared" si="31"/>
        <v>0</v>
      </c>
      <c r="T80" s="25"/>
      <c r="U80" s="25"/>
      <c r="V80" s="1">
        <f t="shared" si="29"/>
        <v>32.674418604651166</v>
      </c>
      <c r="W80" s="1">
        <f t="shared" si="30"/>
        <v>32.674418604651166</v>
      </c>
      <c r="X80" s="1">
        <v>18.2</v>
      </c>
      <c r="Y80" s="1">
        <v>16</v>
      </c>
      <c r="Z80" s="1">
        <v>15.8</v>
      </c>
      <c r="AA80" s="1">
        <v>13.6</v>
      </c>
      <c r="AB80" s="1">
        <v>21.2</v>
      </c>
      <c r="AC80" s="1">
        <v>21.8</v>
      </c>
      <c r="AD80" s="1">
        <v>15.8</v>
      </c>
      <c r="AE80" s="1">
        <v>23.4</v>
      </c>
      <c r="AF80" s="1">
        <v>13</v>
      </c>
      <c r="AG80" s="1">
        <v>5.6</v>
      </c>
      <c r="AH80" s="1"/>
      <c r="AI80" s="1">
        <f t="shared" si="32"/>
        <v>0</v>
      </c>
      <c r="AJ80" s="7">
        <v>6</v>
      </c>
      <c r="AK80" s="9">
        <f t="shared" si="33"/>
        <v>0</v>
      </c>
      <c r="AL80" s="1">
        <f t="shared" si="34"/>
        <v>0</v>
      </c>
      <c r="AM80" s="1">
        <v>14</v>
      </c>
      <c r="AN80" s="1">
        <v>140</v>
      </c>
      <c r="AO80" s="9">
        <f t="shared" si="35"/>
        <v>0</v>
      </c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3" t="s">
        <v>160</v>
      </c>
      <c r="B81" s="1" t="s">
        <v>42</v>
      </c>
      <c r="C81" s="1">
        <v>1128</v>
      </c>
      <c r="D81" s="1">
        <v>1131</v>
      </c>
      <c r="E81" s="19">
        <f>1889+E70</f>
        <v>2288</v>
      </c>
      <c r="F81" s="19">
        <f>0+F70</f>
        <v>840</v>
      </c>
      <c r="G81" s="7">
        <v>0.25</v>
      </c>
      <c r="H81" s="1">
        <v>180</v>
      </c>
      <c r="I81" s="1" t="s">
        <v>75</v>
      </c>
      <c r="J81" s="1"/>
      <c r="K81" s="1">
        <v>2034</v>
      </c>
      <c r="L81" s="1">
        <f t="shared" si="27"/>
        <v>254</v>
      </c>
      <c r="M81" s="1"/>
      <c r="N81" s="1"/>
      <c r="O81" s="1">
        <v>4032</v>
      </c>
      <c r="P81" s="1">
        <f t="shared" si="28"/>
        <v>457.6</v>
      </c>
      <c r="Q81" s="5">
        <v>1534.4000000000005</v>
      </c>
      <c r="R81" s="5">
        <f t="shared" ref="R81:R85" si="36">IF(14*P81-O81-F81+$R$1*P81&lt;0,0,14*P81-O81-F81+$R$1*P81)</f>
        <v>0</v>
      </c>
      <c r="S81" s="5">
        <f t="shared" si="31"/>
        <v>0</v>
      </c>
      <c r="T81" s="25"/>
      <c r="U81" s="25"/>
      <c r="V81" s="1">
        <f t="shared" si="29"/>
        <v>10.646853146853147</v>
      </c>
      <c r="W81" s="1">
        <f t="shared" si="30"/>
        <v>10.646853146853147</v>
      </c>
      <c r="X81" s="1">
        <v>418.4</v>
      </c>
      <c r="Y81" s="1">
        <v>344.2</v>
      </c>
      <c r="Z81" s="1">
        <v>406</v>
      </c>
      <c r="AA81" s="1">
        <v>296.8</v>
      </c>
      <c r="AB81" s="1">
        <v>394.4</v>
      </c>
      <c r="AC81" s="1">
        <v>410.2</v>
      </c>
      <c r="AD81" s="1">
        <v>272.39999999999998</v>
      </c>
      <c r="AE81" s="1">
        <v>376.4</v>
      </c>
      <c r="AF81" s="1">
        <v>523.4</v>
      </c>
      <c r="AG81" s="1">
        <v>215.2</v>
      </c>
      <c r="AH81" s="1"/>
      <c r="AI81" s="1">
        <f t="shared" si="32"/>
        <v>0</v>
      </c>
      <c r="AJ81" s="7">
        <v>12</v>
      </c>
      <c r="AK81" s="9">
        <f t="shared" si="33"/>
        <v>0</v>
      </c>
      <c r="AL81" s="1">
        <f t="shared" si="34"/>
        <v>0</v>
      </c>
      <c r="AM81" s="1">
        <v>14</v>
      </c>
      <c r="AN81" s="1">
        <v>70</v>
      </c>
      <c r="AO81" s="9">
        <f t="shared" si="35"/>
        <v>0</v>
      </c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52</v>
      </c>
      <c r="B82" s="1" t="s">
        <v>42</v>
      </c>
      <c r="C82" s="1">
        <v>-61</v>
      </c>
      <c r="D82" s="1">
        <v>592</v>
      </c>
      <c r="E82" s="19">
        <f>497+E9</f>
        <v>1510</v>
      </c>
      <c r="F82" s="19">
        <f>-27+F9</f>
        <v>1965</v>
      </c>
      <c r="G82" s="7">
        <v>0.25</v>
      </c>
      <c r="H82" s="1">
        <v>180</v>
      </c>
      <c r="I82" s="1" t="s">
        <v>177</v>
      </c>
      <c r="J82" s="1"/>
      <c r="K82" s="1">
        <v>519</v>
      </c>
      <c r="L82" s="1">
        <f t="shared" si="27"/>
        <v>991</v>
      </c>
      <c r="M82" s="1"/>
      <c r="N82" s="1"/>
      <c r="O82" s="1">
        <v>0</v>
      </c>
      <c r="P82" s="1">
        <f t="shared" si="28"/>
        <v>302</v>
      </c>
      <c r="Q82" s="5">
        <v>2263</v>
      </c>
      <c r="R82" s="5">
        <f t="shared" si="36"/>
        <v>994.59999999999991</v>
      </c>
      <c r="S82" s="5">
        <f t="shared" si="31"/>
        <v>1008</v>
      </c>
      <c r="T82" s="25"/>
      <c r="U82" s="25"/>
      <c r="V82" s="1">
        <f t="shared" si="29"/>
        <v>9.8443708609271532</v>
      </c>
      <c r="W82" s="1">
        <f t="shared" si="30"/>
        <v>6.5066225165562912</v>
      </c>
      <c r="X82" s="1">
        <v>214.2</v>
      </c>
      <c r="Y82" s="1">
        <v>300.39999999999998</v>
      </c>
      <c r="Z82" s="1">
        <v>341.2</v>
      </c>
      <c r="AA82" s="1">
        <v>227.2</v>
      </c>
      <c r="AB82" s="1">
        <v>319.8</v>
      </c>
      <c r="AC82" s="1">
        <v>367</v>
      </c>
      <c r="AD82" s="1">
        <v>282</v>
      </c>
      <c r="AE82" s="1">
        <v>349.2</v>
      </c>
      <c r="AF82" s="1">
        <v>458.2</v>
      </c>
      <c r="AG82" s="1">
        <v>353.8</v>
      </c>
      <c r="AH82" s="1"/>
      <c r="AI82" s="1">
        <f t="shared" si="32"/>
        <v>248.64999999999998</v>
      </c>
      <c r="AJ82" s="7">
        <v>12</v>
      </c>
      <c r="AK82" s="9">
        <f t="shared" si="33"/>
        <v>84</v>
      </c>
      <c r="AL82" s="1">
        <f t="shared" si="34"/>
        <v>252</v>
      </c>
      <c r="AM82" s="1">
        <v>14</v>
      </c>
      <c r="AN82" s="1">
        <v>70</v>
      </c>
      <c r="AO82" s="9">
        <f t="shared" si="35"/>
        <v>1.2</v>
      </c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178</v>
      </c>
      <c r="B83" s="1" t="s">
        <v>42</v>
      </c>
      <c r="C83" s="1">
        <v>229</v>
      </c>
      <c r="D83" s="1">
        <v>664</v>
      </c>
      <c r="E83" s="1">
        <v>434</v>
      </c>
      <c r="F83" s="1">
        <v>322</v>
      </c>
      <c r="G83" s="7">
        <v>0.2</v>
      </c>
      <c r="H83" s="1">
        <v>365</v>
      </c>
      <c r="I83" s="1" t="s">
        <v>179</v>
      </c>
      <c r="J83" s="1"/>
      <c r="K83" s="1">
        <v>502</v>
      </c>
      <c r="L83" s="1">
        <f t="shared" si="27"/>
        <v>-68</v>
      </c>
      <c r="M83" s="1"/>
      <c r="N83" s="1"/>
      <c r="O83" s="1">
        <v>420</v>
      </c>
      <c r="P83" s="1">
        <f t="shared" si="28"/>
        <v>86.8</v>
      </c>
      <c r="Q83" s="5">
        <v>473.20000000000005</v>
      </c>
      <c r="R83" s="5">
        <f t="shared" si="36"/>
        <v>108.64000000000004</v>
      </c>
      <c r="S83" s="5">
        <f t="shared" si="31"/>
        <v>84</v>
      </c>
      <c r="T83" s="25"/>
      <c r="U83" s="25"/>
      <c r="V83" s="1">
        <f t="shared" si="29"/>
        <v>9.5161290322580641</v>
      </c>
      <c r="W83" s="1">
        <f t="shared" si="30"/>
        <v>8.5483870967741939</v>
      </c>
      <c r="X83" s="1">
        <v>70.599999999999994</v>
      </c>
      <c r="Y83" s="1">
        <v>82.6</v>
      </c>
      <c r="Z83" s="1">
        <v>78.8</v>
      </c>
      <c r="AA83" s="1">
        <v>44.8</v>
      </c>
      <c r="AB83" s="1">
        <v>97.4</v>
      </c>
      <c r="AC83" s="1">
        <v>104.2</v>
      </c>
      <c r="AD83" s="1">
        <v>67.2</v>
      </c>
      <c r="AE83" s="1">
        <v>60.6</v>
      </c>
      <c r="AF83" s="1">
        <v>111.4</v>
      </c>
      <c r="AG83" s="1">
        <v>49.8</v>
      </c>
      <c r="AH83" s="1"/>
      <c r="AI83" s="1">
        <f t="shared" si="32"/>
        <v>21.728000000000009</v>
      </c>
      <c r="AJ83" s="7">
        <v>6</v>
      </c>
      <c r="AK83" s="9">
        <f t="shared" si="33"/>
        <v>14</v>
      </c>
      <c r="AL83" s="1">
        <f t="shared" si="34"/>
        <v>16.8</v>
      </c>
      <c r="AM83" s="1">
        <v>14</v>
      </c>
      <c r="AN83" s="1">
        <v>140</v>
      </c>
      <c r="AO83" s="9">
        <f t="shared" si="35"/>
        <v>0.1</v>
      </c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180</v>
      </c>
      <c r="B84" s="1" t="s">
        <v>42</v>
      </c>
      <c r="C84" s="1">
        <v>670</v>
      </c>
      <c r="D84" s="1">
        <v>991</v>
      </c>
      <c r="E84" s="1">
        <v>785</v>
      </c>
      <c r="F84" s="1">
        <v>600</v>
      </c>
      <c r="G84" s="7">
        <v>0.23</v>
      </c>
      <c r="H84" s="1">
        <v>180</v>
      </c>
      <c r="I84" s="1" t="s">
        <v>181</v>
      </c>
      <c r="J84" s="1"/>
      <c r="K84" s="1">
        <v>927</v>
      </c>
      <c r="L84" s="1">
        <f t="shared" si="27"/>
        <v>-142</v>
      </c>
      <c r="M84" s="1"/>
      <c r="N84" s="1"/>
      <c r="O84" s="1">
        <v>672</v>
      </c>
      <c r="P84" s="1">
        <f t="shared" si="28"/>
        <v>157</v>
      </c>
      <c r="Q84" s="5">
        <v>926</v>
      </c>
      <c r="R84" s="5">
        <f t="shared" si="36"/>
        <v>266.60000000000002</v>
      </c>
      <c r="S84" s="5">
        <f t="shared" si="31"/>
        <v>252</v>
      </c>
      <c r="T84" s="25"/>
      <c r="U84" s="25"/>
      <c r="V84" s="1">
        <f t="shared" si="29"/>
        <v>9.7070063694267521</v>
      </c>
      <c r="W84" s="1">
        <f t="shared" si="30"/>
        <v>8.1019108280254777</v>
      </c>
      <c r="X84" s="1">
        <v>125</v>
      </c>
      <c r="Y84" s="1">
        <v>130.80000000000001</v>
      </c>
      <c r="Z84" s="1">
        <v>157.4</v>
      </c>
      <c r="AA84" s="1">
        <v>110.4</v>
      </c>
      <c r="AB84" s="1">
        <v>140.19999999999999</v>
      </c>
      <c r="AC84" s="1">
        <v>165.2</v>
      </c>
      <c r="AD84" s="1">
        <v>130.19999999999999</v>
      </c>
      <c r="AE84" s="1">
        <v>58.4</v>
      </c>
      <c r="AF84" s="1">
        <v>141.80000000000001</v>
      </c>
      <c r="AG84" s="1">
        <v>152</v>
      </c>
      <c r="AH84" s="1"/>
      <c r="AI84" s="1">
        <f t="shared" si="32"/>
        <v>61.318000000000005</v>
      </c>
      <c r="AJ84" s="7">
        <v>6</v>
      </c>
      <c r="AK84" s="9">
        <f t="shared" si="33"/>
        <v>42</v>
      </c>
      <c r="AL84" s="1">
        <f t="shared" si="34"/>
        <v>57.96</v>
      </c>
      <c r="AM84" s="1">
        <v>14</v>
      </c>
      <c r="AN84" s="1">
        <v>140</v>
      </c>
      <c r="AO84" s="9">
        <f t="shared" si="35"/>
        <v>0.3</v>
      </c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182</v>
      </c>
      <c r="B85" s="1" t="s">
        <v>42</v>
      </c>
      <c r="C85" s="1">
        <v>209</v>
      </c>
      <c r="D85" s="1">
        <v>177</v>
      </c>
      <c r="E85" s="1">
        <v>286</v>
      </c>
      <c r="F85" s="1">
        <v>86</v>
      </c>
      <c r="G85" s="7">
        <v>0.23</v>
      </c>
      <c r="H85" s="1"/>
      <c r="I85" s="1" t="s">
        <v>176</v>
      </c>
      <c r="J85" s="1"/>
      <c r="K85" s="1">
        <v>297</v>
      </c>
      <c r="L85" s="1">
        <f t="shared" si="27"/>
        <v>-11</v>
      </c>
      <c r="M85" s="1"/>
      <c r="N85" s="1"/>
      <c r="O85" s="1">
        <v>252</v>
      </c>
      <c r="P85" s="1">
        <f t="shared" si="28"/>
        <v>57.2</v>
      </c>
      <c r="Q85" s="5">
        <v>462.80000000000007</v>
      </c>
      <c r="R85" s="5">
        <f t="shared" si="36"/>
        <v>222.56000000000006</v>
      </c>
      <c r="S85" s="5">
        <f t="shared" si="31"/>
        <v>252</v>
      </c>
      <c r="T85" s="25"/>
      <c r="U85" s="25"/>
      <c r="V85" s="1">
        <f t="shared" si="29"/>
        <v>10.314685314685315</v>
      </c>
      <c r="W85" s="1">
        <f t="shared" si="30"/>
        <v>5.9090909090909092</v>
      </c>
      <c r="X85" s="1">
        <v>36.4</v>
      </c>
      <c r="Y85" s="1">
        <v>34.200000000000003</v>
      </c>
      <c r="Z85" s="1">
        <v>35.799999999999997</v>
      </c>
      <c r="AA85" s="1">
        <v>39.4</v>
      </c>
      <c r="AB85" s="1">
        <v>36</v>
      </c>
      <c r="AC85" s="1">
        <v>44.4</v>
      </c>
      <c r="AD85" s="1">
        <v>41.4</v>
      </c>
      <c r="AE85" s="1">
        <v>48.4</v>
      </c>
      <c r="AF85" s="1">
        <v>34.6</v>
      </c>
      <c r="AG85" s="1">
        <v>12.4</v>
      </c>
      <c r="AH85" s="1"/>
      <c r="AI85" s="1">
        <f t="shared" si="32"/>
        <v>51.188800000000015</v>
      </c>
      <c r="AJ85" s="7">
        <v>6</v>
      </c>
      <c r="AK85" s="9">
        <f t="shared" si="33"/>
        <v>42</v>
      </c>
      <c r="AL85" s="1">
        <f t="shared" si="34"/>
        <v>57.96</v>
      </c>
      <c r="AM85" s="1">
        <v>14</v>
      </c>
      <c r="AN85" s="1">
        <v>140</v>
      </c>
      <c r="AO85" s="9">
        <f t="shared" si="35"/>
        <v>0.3</v>
      </c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183</v>
      </c>
      <c r="B86" s="1" t="s">
        <v>88</v>
      </c>
      <c r="C86" s="1">
        <v>2.7</v>
      </c>
      <c r="D86" s="1">
        <v>75.599999999999994</v>
      </c>
      <c r="E86" s="1">
        <v>10.8</v>
      </c>
      <c r="F86" s="1">
        <v>67.5</v>
      </c>
      <c r="G86" s="7">
        <v>1</v>
      </c>
      <c r="H86" s="1">
        <v>180</v>
      </c>
      <c r="I86" s="1" t="s">
        <v>184</v>
      </c>
      <c r="J86" s="1"/>
      <c r="K86" s="1">
        <v>10.8</v>
      </c>
      <c r="L86" s="1">
        <f t="shared" si="27"/>
        <v>0</v>
      </c>
      <c r="M86" s="1"/>
      <c r="N86" s="1"/>
      <c r="O86" s="1">
        <v>0</v>
      </c>
      <c r="P86" s="1">
        <f t="shared" si="28"/>
        <v>2.16</v>
      </c>
      <c r="Q86" s="5"/>
      <c r="R86" s="5"/>
      <c r="S86" s="5">
        <f t="shared" si="31"/>
        <v>0</v>
      </c>
      <c r="T86" s="25"/>
      <c r="U86" s="25"/>
      <c r="V86" s="1">
        <f t="shared" si="29"/>
        <v>31.249999999999996</v>
      </c>
      <c r="W86" s="1">
        <f t="shared" si="30"/>
        <v>31.249999999999996</v>
      </c>
      <c r="X86" s="1">
        <v>5.4</v>
      </c>
      <c r="Y86" s="1">
        <v>7.56</v>
      </c>
      <c r="Z86" s="1">
        <v>1.62</v>
      </c>
      <c r="AA86" s="1">
        <v>4.32</v>
      </c>
      <c r="AB86" s="1">
        <v>1.62</v>
      </c>
      <c r="AC86" s="1">
        <v>1.62</v>
      </c>
      <c r="AD86" s="1">
        <v>4.32</v>
      </c>
      <c r="AE86" s="1">
        <v>3.24</v>
      </c>
      <c r="AF86" s="1">
        <v>2.7</v>
      </c>
      <c r="AG86" s="1">
        <v>4.8600000000000003</v>
      </c>
      <c r="AH86" s="1"/>
      <c r="AI86" s="1">
        <f t="shared" si="32"/>
        <v>0</v>
      </c>
      <c r="AJ86" s="7">
        <v>2.7</v>
      </c>
      <c r="AK86" s="9">
        <f t="shared" si="33"/>
        <v>0</v>
      </c>
      <c r="AL86" s="1">
        <f t="shared" si="34"/>
        <v>0</v>
      </c>
      <c r="AM86" s="1">
        <v>14</v>
      </c>
      <c r="AN86" s="1">
        <v>126</v>
      </c>
      <c r="AO86" s="9">
        <f t="shared" si="35"/>
        <v>0</v>
      </c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185</v>
      </c>
      <c r="B87" s="1" t="s">
        <v>88</v>
      </c>
      <c r="C87" s="1">
        <v>605</v>
      </c>
      <c r="D87" s="1">
        <v>175</v>
      </c>
      <c r="E87" s="1">
        <v>706</v>
      </c>
      <c r="F87" s="1">
        <v>-1</v>
      </c>
      <c r="G87" s="7">
        <v>1</v>
      </c>
      <c r="H87" s="1">
        <v>180</v>
      </c>
      <c r="I87" s="1" t="s">
        <v>186</v>
      </c>
      <c r="J87" s="1"/>
      <c r="K87" s="1">
        <v>870</v>
      </c>
      <c r="L87" s="1">
        <f t="shared" si="27"/>
        <v>-164</v>
      </c>
      <c r="M87" s="1"/>
      <c r="N87" s="1"/>
      <c r="O87" s="1">
        <v>780</v>
      </c>
      <c r="P87" s="1">
        <f t="shared" si="28"/>
        <v>141.19999999999999</v>
      </c>
      <c r="Q87" s="5">
        <v>1197.7999999999997</v>
      </c>
      <c r="R87" s="28">
        <v>900</v>
      </c>
      <c r="S87" s="5">
        <f t="shared" si="31"/>
        <v>900</v>
      </c>
      <c r="T87" s="25">
        <v>1800</v>
      </c>
      <c r="U87" s="25" t="s">
        <v>193</v>
      </c>
      <c r="V87" s="1">
        <f t="shared" si="29"/>
        <v>11.890934844192635</v>
      </c>
      <c r="W87" s="1">
        <f t="shared" si="30"/>
        <v>5.5169971671388103</v>
      </c>
      <c r="X87" s="1">
        <v>84</v>
      </c>
      <c r="Y87" s="1">
        <v>83</v>
      </c>
      <c r="Z87" s="1">
        <v>114</v>
      </c>
      <c r="AA87" s="1">
        <v>70</v>
      </c>
      <c r="AB87" s="1">
        <v>99</v>
      </c>
      <c r="AC87" s="1">
        <v>94</v>
      </c>
      <c r="AD87" s="1">
        <v>94</v>
      </c>
      <c r="AE87" s="1">
        <v>77</v>
      </c>
      <c r="AF87" s="1">
        <v>56</v>
      </c>
      <c r="AG87" s="1">
        <v>77</v>
      </c>
      <c r="AH87" s="1"/>
      <c r="AI87" s="1">
        <f t="shared" si="32"/>
        <v>900</v>
      </c>
      <c r="AJ87" s="7">
        <v>5</v>
      </c>
      <c r="AK87" s="9">
        <f t="shared" si="33"/>
        <v>180</v>
      </c>
      <c r="AL87" s="1">
        <f t="shared" si="34"/>
        <v>900</v>
      </c>
      <c r="AM87" s="1">
        <v>12</v>
      </c>
      <c r="AN87" s="1">
        <v>84</v>
      </c>
      <c r="AO87" s="9">
        <f t="shared" si="35"/>
        <v>2.1428571428571428</v>
      </c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O8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2026-10-29T16:55:03Z</dcterms:created>
  <dcterms:modified xsi:type="dcterms:W3CDTF">2026-10-30T11:50:36Z</dcterms:modified>
</cp:coreProperties>
</file>