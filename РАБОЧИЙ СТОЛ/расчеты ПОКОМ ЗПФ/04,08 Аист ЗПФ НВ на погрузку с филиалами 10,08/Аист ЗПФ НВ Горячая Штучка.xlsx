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04,08 Аист ЗПФ НВ на погрузку с филиалами 10,08\"/>
    </mc:Choice>
  </mc:AlternateContent>
  <xr:revisionPtr revIDLastSave="0" documentId="13_ncr:1_{FE4E1043-82D9-4CC0-8667-F783612FC0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Y222" i="2"/>
  <c r="X222" i="2"/>
  <c r="Y221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Z216" i="2" s="1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Y211" i="2" s="1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Z162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N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Z138" i="2" s="1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Z72" i="2" s="1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Y50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Z30" i="2" s="1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BN29" i="2" l="1"/>
  <c r="Z43" i="2"/>
  <c r="Z50" i="2"/>
  <c r="BN71" i="2"/>
  <c r="Z84" i="2"/>
  <c r="BN94" i="2"/>
  <c r="Z105" i="2"/>
  <c r="Z111" i="2"/>
  <c r="BN117" i="2"/>
  <c r="Z144" i="2"/>
  <c r="BP182" i="2"/>
  <c r="Y242" i="2"/>
  <c r="Y243" i="2"/>
  <c r="Z265" i="2"/>
  <c r="BP77" i="2"/>
  <c r="BP154" i="2"/>
  <c r="Y260" i="2"/>
  <c r="BN161" i="2"/>
  <c r="Y156" i="2"/>
  <c r="Z150" i="2"/>
  <c r="X282" i="2"/>
  <c r="Z78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X283" i="2" l="1"/>
  <c r="Z285" i="2"/>
  <c r="Y282" i="2"/>
  <c r="Y280" i="2"/>
  <c r="Y281" i="2"/>
  <c r="Y284" i="2"/>
  <c r="Y283" i="2" l="1"/>
  <c r="A293" i="2" l="1"/>
  <c r="C293" i="2"/>
  <c r="B293" i="2"/>
</calcChain>
</file>

<file path=xl/sharedStrings.xml><?xml version="1.0" encoding="utf-8"?>
<sst xmlns="http://schemas.openxmlformats.org/spreadsheetml/2006/main" count="1765" uniqueCount="418">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</sst>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7"/>
      <c r="E5" s="467"/>
      <c r="F5" s="468" t="s">
        <v>14</v>
      </c>
      <c r="G5" s="468"/>
      <c r="H5" s="467"/>
      <c r="I5" s="467"/>
      <c r="J5" s="467"/>
      <c r="K5" s="467"/>
      <c r="L5" s="467"/>
      <c r="M5" s="467"/>
      <c r="N5" s="75"/>
      <c r="P5" s="27" t="s">
        <v>4</v>
      </c>
      <c r="Q5" s="469">
        <v>46230</v>
      </c>
      <c r="R5" s="470"/>
      <c r="T5" s="471" t="s">
        <v>3</v>
      </c>
      <c r="U5" s="472"/>
      <c r="V5" s="473" t="s">
        <v>386</v>
      </c>
      <c r="W5" s="474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60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3"/>
      <c r="P9" s="31" t="s">
        <v>15</v>
      </c>
      <c r="Q9" s="462"/>
      <c r="R9" s="462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20" t="s">
        <v>79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customHeight="1" x14ac:dyDescent="0.25">
      <c r="A20" s="321" t="s">
        <v>79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1" t="s">
        <v>104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customHeight="1" x14ac:dyDescent="0.25">
      <c r="A39" s="321" t="s">
        <v>110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28</v>
      </c>
      <c r="Y41" s="55">
        <f>IFERROR(IF(X41="","",X41),"")</f>
        <v>28</v>
      </c>
      <c r="Z41" s="41">
        <f>IFERROR(IF(X41="","",X41*0.00941),"")</f>
        <v>0.26347999999999999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53.810400000000001</v>
      </c>
      <c r="BN41" s="81">
        <f>IFERROR(Y41*I41,"0")</f>
        <v>53.810400000000001</v>
      </c>
      <c r="BO41" s="81">
        <f>IFERROR(X41/J41,"0")</f>
        <v>0.2</v>
      </c>
      <c r="BP41" s="81">
        <f>IFERROR(Y41/J41,"0")</f>
        <v>0.2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28</v>
      </c>
      <c r="Y43" s="43">
        <f>IFERROR(SUM(Y41:Y42),"0")</f>
        <v>28</v>
      </c>
      <c r="Z43" s="43">
        <f>IFERROR(IF(Z41="",0,Z41),"0")+IFERROR(IF(Z42="",0,Z42),"0")</f>
        <v>0.26347999999999999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42</v>
      </c>
      <c r="Y44" s="43">
        <f>IFERROR(SUMPRODUCT(Y41:Y42*H41:H42),"0")</f>
        <v>42</v>
      </c>
      <c r="Z44" s="42"/>
      <c r="AA44" s="67"/>
      <c r="AB44" s="67"/>
      <c r="AC44" s="67"/>
    </row>
    <row r="45" spans="1:68" ht="16.5" customHeight="1" x14ac:dyDescent="0.25">
      <c r="A45" s="321" t="s">
        <v>121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21" t="s">
        <v>131</v>
      </c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65"/>
      <c r="AB52" s="65"/>
      <c r="AC52" s="82"/>
    </row>
    <row r="53" spans="1:68" ht="14.25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21" t="s">
        <v>142</v>
      </c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65"/>
      <c r="AB60" s="65"/>
      <c r="AC60" s="82"/>
    </row>
    <row r="61" spans="1:68" ht="14.25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28</v>
      </c>
      <c r="Y76" s="55">
        <f>IFERROR(IF(X76="","",X76),"")</f>
        <v>28</v>
      </c>
      <c r="Z76" s="41">
        <f>IFERROR(IF(X76="","",X76*0.00941),"")</f>
        <v>0.26347999999999999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43.68</v>
      </c>
      <c r="BN76" s="81">
        <f>IFERROR(Y76*I76,"0")</f>
        <v>43.68</v>
      </c>
      <c r="BO76" s="81">
        <f>IFERROR(X76/J76,"0")</f>
        <v>0.2</v>
      </c>
      <c r="BP76" s="81">
        <f>IFERROR(Y76/J76,"0")</f>
        <v>0.2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28</v>
      </c>
      <c r="Y78" s="43">
        <f>IFERROR(SUM(Y75:Y77),"0")</f>
        <v>28</v>
      </c>
      <c r="Z78" s="43">
        <f>IFERROR(IF(Z75="",0,Z75),"0")+IFERROR(IF(Z76="",0,Z76),"0")+IFERROR(IF(Z77="",0,Z77),"0")</f>
        <v>0.26347999999999999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33.6</v>
      </c>
      <c r="Y79" s="43">
        <f>IFERROR(SUMPRODUCT(Y75:Y77*H75:H77),"0")</f>
        <v>33.6</v>
      </c>
      <c r="Z79" s="42"/>
      <c r="AA79" s="67"/>
      <c r="AB79" s="67"/>
      <c r="AC79" s="67"/>
    </row>
    <row r="80" spans="1:68" ht="16.5" customHeight="1" x14ac:dyDescent="0.25">
      <c r="A80" s="321" t="s">
        <v>163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65"/>
      <c r="AB80" s="65"/>
      <c r="AC80" s="82"/>
    </row>
    <row r="81" spans="1:68" ht="14.25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72</v>
      </c>
      <c r="Y82" s="55">
        <f>IFERROR(IF(X82="","",X82),"")</f>
        <v>72</v>
      </c>
      <c r="Z82" s="41">
        <f>IFERROR(IF(X82="","",X82*0.00502),"")</f>
        <v>0.36143999999999998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202.55040000000002</v>
      </c>
      <c r="BN82" s="81">
        <f>IFERROR(Y82*I82,"0")</f>
        <v>202.55040000000002</v>
      </c>
      <c r="BO82" s="81">
        <f>IFERROR(X82/J82,"0")</f>
        <v>0.30769230769230771</v>
      </c>
      <c r="BP82" s="81">
        <f>IFERROR(Y82/J82,"0")</f>
        <v>0.30769230769230771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72</v>
      </c>
      <c r="Y84" s="43">
        <f>IFERROR(SUM(Y82:Y83),"0")</f>
        <v>72</v>
      </c>
      <c r="Z84" s="43">
        <f>IFERROR(IF(Z82="",0,Z82),"0")+IFERROR(IF(Z83="",0,Z83),"0")</f>
        <v>0.36143999999999998</v>
      </c>
      <c r="AA84" s="67"/>
      <c r="AB84" s="67"/>
      <c r="AC84" s="67"/>
    </row>
    <row r="85" spans="1:68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194.4</v>
      </c>
      <c r="Y85" s="43">
        <f>IFERROR(SUMPRODUCT(Y82:Y83*H82:H83),"0")</f>
        <v>194.4</v>
      </c>
      <c r="Z85" s="42"/>
      <c r="AA85" s="67"/>
      <c r="AB85" s="67"/>
      <c r="AC85" s="67"/>
    </row>
    <row r="86" spans="1:68" ht="16.5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customHeight="1" x14ac:dyDescent="0.25">
      <c r="A91" s="321" t="s">
        <v>174</v>
      </c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65"/>
      <c r="AB91" s="65"/>
      <c r="AC91" s="82"/>
    </row>
    <row r="92" spans="1:68" ht="14.25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42</v>
      </c>
      <c r="Y93" s="55">
        <f>IFERROR(IF(X93="","",X93),"")</f>
        <v>42</v>
      </c>
      <c r="Z93" s="41">
        <f>IFERROR(IF(X93="","",X93*0.01788),"")</f>
        <v>0.75095999999999996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180.75120000000001</v>
      </c>
      <c r="BN93" s="81">
        <f>IFERROR(Y93*I93,"0")</f>
        <v>180.75120000000001</v>
      </c>
      <c r="BO93" s="81">
        <f>IFERROR(X93/J93,"0")</f>
        <v>0.6</v>
      </c>
      <c r="BP93" s="81">
        <f>IFERROR(Y93/J93,"0")</f>
        <v>0.6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28</v>
      </c>
      <c r="Y94" s="55">
        <f>IFERROR(IF(X94="","",X94),"")</f>
        <v>28</v>
      </c>
      <c r="Z94" s="41">
        <f>IFERROR(IF(X94="","",X94*0.01788),"")</f>
        <v>0.50063999999999997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120.50080000000001</v>
      </c>
      <c r="BN94" s="81">
        <f>IFERROR(Y94*I94,"0")</f>
        <v>120.50080000000001</v>
      </c>
      <c r="BO94" s="81">
        <f>IFERROR(X94/J94,"0")</f>
        <v>0.4</v>
      </c>
      <c r="BP94" s="81">
        <f>IFERROR(Y94/J94,"0")</f>
        <v>0.4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70</v>
      </c>
      <c r="Y95" s="43">
        <f>IFERROR(SUM(Y93:Y94),"0")</f>
        <v>70</v>
      </c>
      <c r="Z95" s="43">
        <f>IFERROR(IF(Z93="",0,Z93),"0")+IFERROR(IF(Z94="",0,Z94),"0")</f>
        <v>1.2515999999999998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252</v>
      </c>
      <c r="Y96" s="43">
        <f>IFERROR(SUMPRODUCT(Y93:Y94*H93:H94),"0")</f>
        <v>252</v>
      </c>
      <c r="Z96" s="42"/>
      <c r="AA96" s="67"/>
      <c r="AB96" s="67"/>
      <c r="AC96" s="67"/>
    </row>
    <row r="97" spans="1:68" ht="16.5" customHeight="1" x14ac:dyDescent="0.25">
      <c r="A97" s="321" t="s">
        <v>182</v>
      </c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65"/>
      <c r="AB97" s="65"/>
      <c r="AC97" s="82"/>
    </row>
    <row r="98" spans="1:68" ht="14.25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28</v>
      </c>
      <c r="Y100" s="55">
        <f t="shared" si="6"/>
        <v>28</v>
      </c>
      <c r="Z100" s="41">
        <f t="shared" si="7"/>
        <v>0.50063999999999997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100.3408</v>
      </c>
      <c r="BN100" s="81">
        <f t="shared" si="9"/>
        <v>100.3408</v>
      </c>
      <c r="BO100" s="81">
        <f t="shared" si="10"/>
        <v>0.4</v>
      </c>
      <c r="BP100" s="81">
        <f t="shared" si="11"/>
        <v>0.4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98</v>
      </c>
      <c r="Y105" s="43">
        <f>IFERROR(SUM(Y99:Y104),"0")</f>
        <v>98</v>
      </c>
      <c r="Z105" s="43">
        <f>IFERROR(IF(Z99="",0,Z99),"0")+IFERROR(IF(Z100="",0,Z100),"0")+IFERROR(IF(Z101="",0,Z101),"0")+IFERROR(IF(Z102="",0,Z102),"0")+IFERROR(IF(Z103="",0,Z103),"0")+IFERROR(IF(Z104="",0,Z104),"0")</f>
        <v>1.75224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282.24</v>
      </c>
      <c r="Y106" s="43">
        <f>IFERROR(SUMPRODUCT(Y99:Y104*H99:H104),"0")</f>
        <v>282.24</v>
      </c>
      <c r="Z106" s="42"/>
      <c r="AA106" s="67"/>
      <c r="AB106" s="67"/>
      <c r="AC106" s="67"/>
    </row>
    <row r="107" spans="1:68" ht="16.5" customHeight="1" x14ac:dyDescent="0.25">
      <c r="A107" s="321" t="s">
        <v>197</v>
      </c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65"/>
      <c r="AB107" s="65"/>
      <c r="AC107" s="82"/>
    </row>
    <row r="108" spans="1:68" ht="14.25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21" t="s">
        <v>203</v>
      </c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65"/>
      <c r="AB113" s="65"/>
      <c r="AC113" s="82"/>
    </row>
    <row r="114" spans="1:68" ht="14.25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48</v>
      </c>
      <c r="Y118" s="55">
        <f t="shared" si="12"/>
        <v>48</v>
      </c>
      <c r="Z118" s="41">
        <f t="shared" si="13"/>
        <v>0.74399999999999999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350.4</v>
      </c>
      <c r="BN118" s="81">
        <f t="shared" si="15"/>
        <v>350.4</v>
      </c>
      <c r="BO118" s="81">
        <f t="shared" si="16"/>
        <v>0.5714285714285714</v>
      </c>
      <c r="BP118" s="81">
        <f t="shared" si="17"/>
        <v>0.5714285714285714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48</v>
      </c>
      <c r="Y121" s="55">
        <f t="shared" si="12"/>
        <v>48</v>
      </c>
      <c r="Z121" s="41">
        <f t="shared" si="13"/>
        <v>0.74399999999999999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350.4</v>
      </c>
      <c r="BN121" s="81">
        <f t="shared" si="15"/>
        <v>350.4</v>
      </c>
      <c r="BO121" s="81">
        <f t="shared" si="16"/>
        <v>0.5714285714285714</v>
      </c>
      <c r="BP121" s="81">
        <f t="shared" si="17"/>
        <v>0.5714285714285714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96</v>
      </c>
      <c r="Y122" s="43">
        <f>IFERROR(SUM(Y115:Y121),"0")</f>
        <v>96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672</v>
      </c>
      <c r="Y123" s="43">
        <f>IFERROR(SUMPRODUCT(Y115:Y121*H115:H121),"0")</f>
        <v>672</v>
      </c>
      <c r="Z123" s="42"/>
      <c r="AA123" s="67"/>
      <c r="AB123" s="67"/>
      <c r="AC123" s="67"/>
    </row>
    <row r="124" spans="1:68" ht="14.25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21" t="s">
        <v>228</v>
      </c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65"/>
      <c r="AB132" s="65"/>
      <c r="AC132" s="82"/>
    </row>
    <row r="133" spans="1:68" ht="14.25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291">
        <v>4620207491799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98</v>
      </c>
      <c r="Y134" s="55">
        <f>IFERROR(IF(X134="","",X134),"")</f>
        <v>98</v>
      </c>
      <c r="Z134" s="41">
        <f>IFERROR(IF(X134="","",X134*0.00941),"")</f>
        <v>0.92218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176.4</v>
      </c>
      <c r="BN134" s="81">
        <f>IFERROR(Y134*I134,"0")</f>
        <v>176.4</v>
      </c>
      <c r="BO134" s="81">
        <f>IFERROR(X134/J134,"0")</f>
        <v>0.7</v>
      </c>
      <c r="BP134" s="81">
        <f>IFERROR(Y134/J134,"0")</f>
        <v>0.7</v>
      </c>
    </row>
    <row r="135" spans="1:68" ht="27" customHeight="1" x14ac:dyDescent="0.25">
      <c r="A135" s="63" t="s">
        <v>232</v>
      </c>
      <c r="B135" s="63" t="s">
        <v>233</v>
      </c>
      <c r="C135" s="36">
        <v>4301135850</v>
      </c>
      <c r="D135" s="291">
        <v>4620207491492</v>
      </c>
      <c r="E135" s="291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4301190118</v>
      </c>
      <c r="D136" s="291">
        <v>4620207491461</v>
      </c>
      <c r="E136" s="291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4301135865</v>
      </c>
      <c r="D137" s="291">
        <v>4620207491485</v>
      </c>
      <c r="E137" s="291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3"/>
      <c r="R137" s="293"/>
      <c r="S137" s="293"/>
      <c r="T137" s="294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39</v>
      </c>
      <c r="X138" s="43">
        <f>IFERROR(SUM(X134:X137),"0")</f>
        <v>98</v>
      </c>
      <c r="Y138" s="43">
        <f>IFERROR(SUM(Y134:Y137),"0")</f>
        <v>98</v>
      </c>
      <c r="Z138" s="43">
        <f>IFERROR(IF(Z134="",0,Z134),"0")+IFERROR(IF(Z135="",0,Z135),"0")+IFERROR(IF(Z136="",0,Z136),"0")+IFERROR(IF(Z137="",0,Z137),"0")</f>
        <v>0.92218</v>
      </c>
      <c r="AA138" s="67"/>
      <c r="AB138" s="67"/>
      <c r="AC138" s="67"/>
    </row>
    <row r="139" spans="1:68" x14ac:dyDescent="0.2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9"/>
      <c r="P139" s="295" t="s">
        <v>40</v>
      </c>
      <c r="Q139" s="296"/>
      <c r="R139" s="296"/>
      <c r="S139" s="296"/>
      <c r="T139" s="296"/>
      <c r="U139" s="296"/>
      <c r="V139" s="297"/>
      <c r="W139" s="42" t="s">
        <v>0</v>
      </c>
      <c r="X139" s="43">
        <f>IFERROR(SUMPRODUCT(X134:X137*H134:H137),"0")</f>
        <v>135.23999999999998</v>
      </c>
      <c r="Y139" s="43">
        <f>IFERROR(SUMPRODUCT(Y134:Y137*H134:H137),"0")</f>
        <v>135.23999999999998</v>
      </c>
      <c r="Z139" s="42"/>
      <c r="AA139" s="67"/>
      <c r="AB139" s="67"/>
      <c r="AC139" s="67"/>
    </row>
    <row r="140" spans="1:68" ht="14.25" customHeight="1" x14ac:dyDescent="0.25">
      <c r="A140" s="309" t="s">
        <v>238</v>
      </c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4301190117</v>
      </c>
      <c r="D141" s="291">
        <v>4620207491386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4301190115</v>
      </c>
      <c r="D142" s="291">
        <v>4620207491362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244</v>
      </c>
      <c r="B143" s="63" t="s">
        <v>245</v>
      </c>
      <c r="C143" s="36">
        <v>4301190116</v>
      </c>
      <c r="D143" s="291">
        <v>4620207491379</v>
      </c>
      <c r="E143" s="291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3"/>
      <c r="R143" s="293"/>
      <c r="S143" s="293"/>
      <c r="T143" s="294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9"/>
      <c r="P145" s="295" t="s">
        <v>40</v>
      </c>
      <c r="Q145" s="296"/>
      <c r="R145" s="296"/>
      <c r="S145" s="296"/>
      <c r="T145" s="296"/>
      <c r="U145" s="296"/>
      <c r="V145" s="297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21" t="s">
        <v>246</v>
      </c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65"/>
      <c r="AB146" s="65"/>
      <c r="AC146" s="82"/>
    </row>
    <row r="147" spans="1:68" ht="14.25" customHeight="1" x14ac:dyDescent="0.25">
      <c r="A147" s="309" t="s">
        <v>155</v>
      </c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291">
        <v>4607111034014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98</v>
      </c>
      <c r="Y148" s="55">
        <f>IFERROR(IF(X148="","",X148),"")</f>
        <v>98</v>
      </c>
      <c r="Z148" s="41">
        <f>IFERROR(IF(X148="","",X148*0.01788),"")</f>
        <v>1.75224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362.95279999999997</v>
      </c>
      <c r="BN148" s="81">
        <f>IFERROR(Y148*I148,"0")</f>
        <v>362.95279999999997</v>
      </c>
      <c r="BO148" s="81">
        <f>IFERROR(X148/J148,"0")</f>
        <v>1.4</v>
      </c>
      <c r="BP148" s="81">
        <f>IFERROR(Y148/J148,"0")</f>
        <v>1.4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291">
        <v>4607111033994</v>
      </c>
      <c r="E149" s="291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3"/>
      <c r="R149" s="293"/>
      <c r="S149" s="293"/>
      <c r="T149" s="294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39</v>
      </c>
      <c r="X150" s="43">
        <f>IFERROR(SUM(X148:X149),"0")</f>
        <v>98</v>
      </c>
      <c r="Y150" s="43">
        <f>IFERROR(SUM(Y148:Y149),"0")</f>
        <v>98</v>
      </c>
      <c r="Z150" s="43">
        <f>IFERROR(IF(Z148="",0,Z148),"0")+IFERROR(IF(Z149="",0,Z149),"0")</f>
        <v>1.75224</v>
      </c>
      <c r="AA150" s="67"/>
      <c r="AB150" s="67"/>
      <c r="AC150" s="67"/>
    </row>
    <row r="151" spans="1:68" x14ac:dyDescent="0.2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9"/>
      <c r="P151" s="295" t="s">
        <v>40</v>
      </c>
      <c r="Q151" s="296"/>
      <c r="R151" s="296"/>
      <c r="S151" s="296"/>
      <c r="T151" s="296"/>
      <c r="U151" s="296"/>
      <c r="V151" s="297"/>
      <c r="W151" s="42" t="s">
        <v>0</v>
      </c>
      <c r="X151" s="43">
        <f>IFERROR(SUMPRODUCT(X148:X149*H148:H149),"0")</f>
        <v>294</v>
      </c>
      <c r="Y151" s="43">
        <f>IFERROR(SUMPRODUCT(Y148:Y149*H148:H149),"0")</f>
        <v>294</v>
      </c>
      <c r="Z151" s="42"/>
      <c r="AA151" s="67"/>
      <c r="AB151" s="67"/>
      <c r="AC151" s="67"/>
    </row>
    <row r="152" spans="1:68" ht="16.5" customHeight="1" x14ac:dyDescent="0.25">
      <c r="A152" s="321" t="s">
        <v>252</v>
      </c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65"/>
      <c r="AB152" s="65"/>
      <c r="AC152" s="82"/>
    </row>
    <row r="153" spans="1:68" ht="14.25" customHeight="1" x14ac:dyDescent="0.25">
      <c r="A153" s="309" t="s">
        <v>155</v>
      </c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291">
        <v>4607111039095</v>
      </c>
      <c r="E154" s="291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291">
        <v>4607111034199</v>
      </c>
      <c r="E155" s="291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34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3"/>
      <c r="R155" s="293"/>
      <c r="S155" s="293"/>
      <c r="T155" s="294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103.70079999999999</v>
      </c>
      <c r="BN155" s="81">
        <f>IFERROR(Y155*I155,"0")</f>
        <v>103.70079999999999</v>
      </c>
      <c r="BO155" s="81">
        <f>IFERROR(X155/J155,"0")</f>
        <v>0.4</v>
      </c>
      <c r="BP155" s="81">
        <f>IFERROR(Y155/J155,"0")</f>
        <v>0.4</v>
      </c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39</v>
      </c>
      <c r="X156" s="43">
        <f>IFERROR(SUM(X154:X155),"0")</f>
        <v>56</v>
      </c>
      <c r="Y156" s="43">
        <f>IFERROR(SUM(Y154:Y155),"0")</f>
        <v>56</v>
      </c>
      <c r="Z156" s="43">
        <f>IFERROR(IF(Z154="",0,Z154),"0")+IFERROR(IF(Z155="",0,Z155),"0")</f>
        <v>1.0012799999999999</v>
      </c>
      <c r="AA156" s="67"/>
      <c r="AB156" s="67"/>
      <c r="AC156" s="67"/>
    </row>
    <row r="157" spans="1:68" x14ac:dyDescent="0.2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9"/>
      <c r="P157" s="295" t="s">
        <v>40</v>
      </c>
      <c r="Q157" s="296"/>
      <c r="R157" s="296"/>
      <c r="S157" s="296"/>
      <c r="T157" s="296"/>
      <c r="U157" s="296"/>
      <c r="V157" s="297"/>
      <c r="W157" s="42" t="s">
        <v>0</v>
      </c>
      <c r="X157" s="43">
        <f>IFERROR(SUMPRODUCT(X154:X155*H154:H155),"0")</f>
        <v>168</v>
      </c>
      <c r="Y157" s="43">
        <f>IFERROR(SUMPRODUCT(Y154:Y155*H154:H155),"0")</f>
        <v>168</v>
      </c>
      <c r="Z157" s="42"/>
      <c r="AA157" s="67"/>
      <c r="AB157" s="67"/>
      <c r="AC157" s="67"/>
    </row>
    <row r="158" spans="1:68" ht="16.5" customHeight="1" x14ac:dyDescent="0.25">
      <c r="A158" s="321" t="s">
        <v>259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65"/>
      <c r="AB158" s="65"/>
      <c r="AC158" s="82"/>
    </row>
    <row r="159" spans="1:68" ht="14.25" customHeight="1" x14ac:dyDescent="0.25">
      <c r="A159" s="309" t="s">
        <v>155</v>
      </c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291">
        <v>4620207490914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291">
        <v>4620207490853</v>
      </c>
      <c r="E161" s="291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3"/>
      <c r="R161" s="293"/>
      <c r="S161" s="293"/>
      <c r="T161" s="294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39</v>
      </c>
      <c r="X162" s="43">
        <f>IFERROR(SUM(X160:X161),"0")</f>
        <v>56</v>
      </c>
      <c r="Y162" s="43">
        <f>IFERROR(SUM(Y160:Y161),"0")</f>
        <v>56</v>
      </c>
      <c r="Z162" s="43">
        <f>IFERROR(IF(Z160="",0,Z160),"0")+IFERROR(IF(Z161="",0,Z161),"0")</f>
        <v>1.0012799999999999</v>
      </c>
      <c r="AA162" s="67"/>
      <c r="AB162" s="67"/>
      <c r="AC162" s="67"/>
    </row>
    <row r="163" spans="1:68" x14ac:dyDescent="0.2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9"/>
      <c r="P163" s="295" t="s">
        <v>40</v>
      </c>
      <c r="Q163" s="296"/>
      <c r="R163" s="296"/>
      <c r="S163" s="296"/>
      <c r="T163" s="296"/>
      <c r="U163" s="296"/>
      <c r="V163" s="297"/>
      <c r="W163" s="42" t="s">
        <v>0</v>
      </c>
      <c r="X163" s="43">
        <f>IFERROR(SUMPRODUCT(X160:X161*H160:H161),"0")</f>
        <v>134.4</v>
      </c>
      <c r="Y163" s="43">
        <f>IFERROR(SUMPRODUCT(Y160:Y161*H160:H161),"0")</f>
        <v>134.4</v>
      </c>
      <c r="Z163" s="42"/>
      <c r="AA163" s="67"/>
      <c r="AB163" s="67"/>
      <c r="AC163" s="67"/>
    </row>
    <row r="164" spans="1:68" ht="16.5" customHeight="1" x14ac:dyDescent="0.25">
      <c r="A164" s="321" t="s">
        <v>264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65"/>
      <c r="AB164" s="65"/>
      <c r="AC164" s="82"/>
    </row>
    <row r="165" spans="1:68" ht="14.25" customHeight="1" x14ac:dyDescent="0.25">
      <c r="A165" s="309" t="s">
        <v>155</v>
      </c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291">
        <v>4607111035806</v>
      </c>
      <c r="E166" s="291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3"/>
      <c r="R166" s="293"/>
      <c r="S166" s="293"/>
      <c r="T166" s="294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9"/>
      <c r="P168" s="295" t="s">
        <v>40</v>
      </c>
      <c r="Q168" s="296"/>
      <c r="R168" s="296"/>
      <c r="S168" s="296"/>
      <c r="T168" s="296"/>
      <c r="U168" s="296"/>
      <c r="V168" s="297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customHeight="1" x14ac:dyDescent="0.25">
      <c r="A169" s="321" t="s">
        <v>268</v>
      </c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65"/>
      <c r="AB169" s="65"/>
      <c r="AC169" s="82"/>
    </row>
    <row r="170" spans="1:68" ht="14.25" customHeight="1" x14ac:dyDescent="0.25">
      <c r="A170" s="309" t="s">
        <v>155</v>
      </c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66"/>
      <c r="AB170" s="66"/>
      <c r="AC170" s="83"/>
    </row>
    <row r="171" spans="1:68" ht="16.5" customHeight="1" x14ac:dyDescent="0.25">
      <c r="A171" s="63" t="s">
        <v>269</v>
      </c>
      <c r="B171" s="63" t="s">
        <v>270</v>
      </c>
      <c r="C171" s="36">
        <v>4301135607</v>
      </c>
      <c r="D171" s="291">
        <v>4607111039613</v>
      </c>
      <c r="E171" s="291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3"/>
      <c r="R171" s="293"/>
      <c r="S171" s="293"/>
      <c r="T171" s="294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9"/>
      <c r="P173" s="295" t="s">
        <v>40</v>
      </c>
      <c r="Q173" s="296"/>
      <c r="R173" s="296"/>
      <c r="S173" s="296"/>
      <c r="T173" s="296"/>
      <c r="U173" s="296"/>
      <c r="V173" s="29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21" t="s">
        <v>271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65"/>
      <c r="AB174" s="65"/>
      <c r="AC174" s="82"/>
    </row>
    <row r="175" spans="1:68" ht="14.25" customHeight="1" x14ac:dyDescent="0.25">
      <c r="A175" s="309" t="s">
        <v>155</v>
      </c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291">
        <v>4607111036568</v>
      </c>
      <c r="E176" s="291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3"/>
      <c r="R176" s="293"/>
      <c r="S176" s="293"/>
      <c r="T176" s="294"/>
      <c r="U176" s="39" t="s">
        <v>46</v>
      </c>
      <c r="V176" s="39" t="s">
        <v>46</v>
      </c>
      <c r="W176" s="40" t="s">
        <v>39</v>
      </c>
      <c r="X176" s="58">
        <v>28</v>
      </c>
      <c r="Y176" s="55">
        <f>IFERROR(IF(X176="","",X176),"")</f>
        <v>28</v>
      </c>
      <c r="Z176" s="41">
        <f>IFERROR(IF(X176="","",X176*0.00941),"")</f>
        <v>0.26347999999999999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58.850399999999993</v>
      </c>
      <c r="BN176" s="81">
        <f>IFERROR(Y176*I176,"0")</f>
        <v>58.850399999999993</v>
      </c>
      <c r="BO176" s="81">
        <f>IFERROR(X176/J176,"0")</f>
        <v>0.2</v>
      </c>
      <c r="BP176" s="81">
        <f>IFERROR(Y176/J176,"0")</f>
        <v>0.2</v>
      </c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39</v>
      </c>
      <c r="X177" s="43">
        <f>IFERROR(SUM(X176:X176),"0")</f>
        <v>28</v>
      </c>
      <c r="Y177" s="43">
        <f>IFERROR(SUM(Y176:Y176),"0")</f>
        <v>28</v>
      </c>
      <c r="Z177" s="43">
        <f>IFERROR(IF(Z176="",0,Z176),"0")</f>
        <v>0.26347999999999999</v>
      </c>
      <c r="AA177" s="67"/>
      <c r="AB177" s="67"/>
      <c r="AC177" s="67"/>
    </row>
    <row r="178" spans="1:68" x14ac:dyDescent="0.2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9"/>
      <c r="P178" s="295" t="s">
        <v>40</v>
      </c>
      <c r="Q178" s="296"/>
      <c r="R178" s="296"/>
      <c r="S178" s="296"/>
      <c r="T178" s="296"/>
      <c r="U178" s="296"/>
      <c r="V178" s="297"/>
      <c r="W178" s="42" t="s">
        <v>0</v>
      </c>
      <c r="X178" s="43">
        <f>IFERROR(SUMPRODUCT(X176:X176*H176:H176),"0")</f>
        <v>47.04</v>
      </c>
      <c r="Y178" s="43">
        <f>IFERROR(SUMPRODUCT(Y176:Y176*H176:H176),"0")</f>
        <v>47.04</v>
      </c>
      <c r="Z178" s="42"/>
      <c r="AA178" s="67"/>
      <c r="AB178" s="67"/>
      <c r="AC178" s="67"/>
    </row>
    <row r="179" spans="1:68" ht="27.75" customHeight="1" x14ac:dyDescent="0.2">
      <c r="A179" s="320" t="s">
        <v>275</v>
      </c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54"/>
      <c r="AB179" s="54"/>
      <c r="AC179" s="54"/>
    </row>
    <row r="180" spans="1:68" ht="16.5" customHeight="1" x14ac:dyDescent="0.25">
      <c r="A180" s="321" t="s">
        <v>276</v>
      </c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65"/>
      <c r="AB180" s="65"/>
      <c r="AC180" s="82"/>
    </row>
    <row r="181" spans="1:68" ht="14.25" customHeight="1" x14ac:dyDescent="0.25">
      <c r="A181" s="309" t="s">
        <v>80</v>
      </c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66"/>
      <c r="AB181" s="66"/>
      <c r="AC181" s="83"/>
    </row>
    <row r="182" spans="1:68" ht="16.5" customHeight="1" x14ac:dyDescent="0.25">
      <c r="A182" s="63" t="s">
        <v>277</v>
      </c>
      <c r="B182" s="63" t="s">
        <v>278</v>
      </c>
      <c r="C182" s="36">
        <v>4301071062</v>
      </c>
      <c r="D182" s="291">
        <v>4607111036384</v>
      </c>
      <c r="E182" s="291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280</v>
      </c>
      <c r="B183" s="63" t="s">
        <v>281</v>
      </c>
      <c r="C183" s="36">
        <v>4301071050</v>
      </c>
      <c r="D183" s="291">
        <v>4607111036216</v>
      </c>
      <c r="E183" s="291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3"/>
      <c r="R183" s="293"/>
      <c r="S183" s="293"/>
      <c r="T183" s="294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9"/>
      <c r="P185" s="295" t="s">
        <v>40</v>
      </c>
      <c r="Q185" s="296"/>
      <c r="R185" s="296"/>
      <c r="S185" s="296"/>
      <c r="T185" s="296"/>
      <c r="U185" s="296"/>
      <c r="V185" s="297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customHeight="1" x14ac:dyDescent="0.25">
      <c r="A186" s="321" t="s">
        <v>283</v>
      </c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65"/>
      <c r="AB186" s="65"/>
      <c r="AC186" s="82"/>
    </row>
    <row r="187" spans="1:68" ht="14.25" customHeight="1" x14ac:dyDescent="0.25">
      <c r="A187" s="309" t="s">
        <v>80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291">
        <v>4620207491737</v>
      </c>
      <c r="E188" s="291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3"/>
      <c r="R188" s="293"/>
      <c r="S188" s="293"/>
      <c r="T188" s="294"/>
      <c r="U188" s="39" t="s">
        <v>46</v>
      </c>
      <c r="V188" s="39" t="s">
        <v>46</v>
      </c>
      <c r="W188" s="40" t="s">
        <v>39</v>
      </c>
      <c r="X188" s="58">
        <v>168</v>
      </c>
      <c r="Y188" s="55">
        <f>IFERROR(IF(X188="","",X188),"")</f>
        <v>168</v>
      </c>
      <c r="Z188" s="41">
        <f>IFERROR(IF(X188="","",X188*0.0155),"")</f>
        <v>2.6040000000000001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884.01599999999996</v>
      </c>
      <c r="BN188" s="81">
        <f>IFERROR(Y188*I188,"0")</f>
        <v>884.01599999999996</v>
      </c>
      <c r="BO188" s="81">
        <f>IFERROR(X188/J188,"0")</f>
        <v>2</v>
      </c>
      <c r="BP188" s="81">
        <f>IFERROR(Y188/J188,"0")</f>
        <v>2</v>
      </c>
    </row>
    <row r="189" spans="1:68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9"/>
      <c r="P189" s="295" t="s">
        <v>40</v>
      </c>
      <c r="Q189" s="296"/>
      <c r="R189" s="296"/>
      <c r="S189" s="296"/>
      <c r="T189" s="296"/>
      <c r="U189" s="296"/>
      <c r="V189" s="297"/>
      <c r="W189" s="42" t="s">
        <v>39</v>
      </c>
      <c r="X189" s="43">
        <f>IFERROR(SUM(X188:X188),"0")</f>
        <v>168</v>
      </c>
      <c r="Y189" s="43">
        <f>IFERROR(SUM(Y188:Y188),"0")</f>
        <v>168</v>
      </c>
      <c r="Z189" s="43">
        <f>IFERROR(IF(Z188="",0,Z188),"0")</f>
        <v>2.6040000000000001</v>
      </c>
      <c r="AA189" s="67"/>
      <c r="AB189" s="67"/>
      <c r="AC189" s="67"/>
    </row>
    <row r="190" spans="1:68" x14ac:dyDescent="0.2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9"/>
      <c r="P190" s="295" t="s">
        <v>40</v>
      </c>
      <c r="Q190" s="296"/>
      <c r="R190" s="296"/>
      <c r="S190" s="296"/>
      <c r="T190" s="296"/>
      <c r="U190" s="296"/>
      <c r="V190" s="297"/>
      <c r="W190" s="42" t="s">
        <v>0</v>
      </c>
      <c r="X190" s="43">
        <f>IFERROR(SUMPRODUCT(X188:X188*H188:H188),"0")</f>
        <v>840</v>
      </c>
      <c r="Y190" s="43">
        <f>IFERROR(SUMPRODUCT(Y188:Y188*H188:H188),"0")</f>
        <v>840</v>
      </c>
      <c r="Z190" s="42"/>
      <c r="AA190" s="67"/>
      <c r="AB190" s="67"/>
      <c r="AC190" s="67"/>
    </row>
    <row r="191" spans="1:68" ht="27.75" customHeight="1" x14ac:dyDescent="0.2">
      <c r="A191" s="320" t="s">
        <v>286</v>
      </c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54"/>
      <c r="AB191" s="54"/>
      <c r="AC191" s="54"/>
    </row>
    <row r="192" spans="1:68" ht="16.5" customHeight="1" x14ac:dyDescent="0.25">
      <c r="A192" s="321" t="s">
        <v>287</v>
      </c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65"/>
      <c r="AB192" s="65"/>
      <c r="AC192" s="82"/>
    </row>
    <row r="193" spans="1:68" ht="14.25" customHeight="1" x14ac:dyDescent="0.25">
      <c r="A193" s="309" t="s">
        <v>111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291">
        <v>4607111035691</v>
      </c>
      <c r="E194" s="291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291">
        <v>4607111035721</v>
      </c>
      <c r="E195" s="291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3"/>
      <c r="R195" s="293"/>
      <c r="S195" s="293"/>
      <c r="T195" s="29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291">
        <v>4607111038487</v>
      </c>
      <c r="E196" s="291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3"/>
      <c r="R196" s="293"/>
      <c r="S196" s="293"/>
      <c r="T196" s="294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297</v>
      </c>
      <c r="B197" s="63" t="s">
        <v>298</v>
      </c>
      <c r="C197" s="36">
        <v>4301132243</v>
      </c>
      <c r="D197" s="291">
        <v>4620207491195</v>
      </c>
      <c r="E197" s="291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3"/>
      <c r="R197" s="293"/>
      <c r="S197" s="293"/>
      <c r="T197" s="29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9"/>
      <c r="P198" s="295" t="s">
        <v>40</v>
      </c>
      <c r="Q198" s="296"/>
      <c r="R198" s="296"/>
      <c r="S198" s="296"/>
      <c r="T198" s="296"/>
      <c r="U198" s="296"/>
      <c r="V198" s="297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9"/>
      <c r="P199" s="295" t="s">
        <v>40</v>
      </c>
      <c r="Q199" s="296"/>
      <c r="R199" s="296"/>
      <c r="S199" s="296"/>
      <c r="T199" s="296"/>
      <c r="U199" s="296"/>
      <c r="V199" s="297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20" t="s">
        <v>300</v>
      </c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54"/>
      <c r="AB200" s="54"/>
      <c r="AC200" s="54"/>
    </row>
    <row r="201" spans="1:68" ht="16.5" customHeight="1" x14ac:dyDescent="0.25">
      <c r="A201" s="321" t="s">
        <v>301</v>
      </c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65"/>
      <c r="AB201" s="65"/>
      <c r="AC201" s="82"/>
    </row>
    <row r="202" spans="1:68" ht="14.25" customHeight="1" x14ac:dyDescent="0.25">
      <c r="A202" s="309" t="s">
        <v>111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291">
        <v>4620207491133</v>
      </c>
      <c r="E203" s="291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3"/>
      <c r="R203" s="293"/>
      <c r="S203" s="293"/>
      <c r="T203" s="294"/>
      <c r="U203" s="39" t="s">
        <v>46</v>
      </c>
      <c r="V203" s="39" t="s">
        <v>46</v>
      </c>
      <c r="W203" s="40" t="s">
        <v>39</v>
      </c>
      <c r="X203" s="58">
        <v>14</v>
      </c>
      <c r="Y203" s="55">
        <f>IFERROR(IF(X203="","",X203),"")</f>
        <v>14</v>
      </c>
      <c r="Z203" s="41">
        <f>IFERROR(IF(X203="","",X203*0.01788),"")</f>
        <v>0.25031999999999999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41.72</v>
      </c>
      <c r="BN203" s="81">
        <f>IFERROR(Y203*I203,"0")</f>
        <v>41.72</v>
      </c>
      <c r="BO203" s="81">
        <f>IFERROR(X203/J203,"0")</f>
        <v>0.2</v>
      </c>
      <c r="BP203" s="81">
        <f>IFERROR(Y203/J203,"0")</f>
        <v>0.2</v>
      </c>
    </row>
    <row r="204" spans="1:68" x14ac:dyDescent="0.2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9"/>
      <c r="P204" s="295" t="s">
        <v>40</v>
      </c>
      <c r="Q204" s="296"/>
      <c r="R204" s="296"/>
      <c r="S204" s="296"/>
      <c r="T204" s="296"/>
      <c r="U204" s="296"/>
      <c r="V204" s="297"/>
      <c r="W204" s="42" t="s">
        <v>39</v>
      </c>
      <c r="X204" s="43">
        <f>IFERROR(SUM(X203:X203),"0")</f>
        <v>14</v>
      </c>
      <c r="Y204" s="43">
        <f>IFERROR(SUM(Y203:Y203),"0")</f>
        <v>14</v>
      </c>
      <c r="Z204" s="43">
        <f>IFERROR(IF(Z203="",0,Z203),"0")</f>
        <v>0.25031999999999999</v>
      </c>
      <c r="AA204" s="67"/>
      <c r="AB204" s="67"/>
      <c r="AC204" s="67"/>
    </row>
    <row r="205" spans="1:68" x14ac:dyDescent="0.2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9"/>
      <c r="P205" s="295" t="s">
        <v>40</v>
      </c>
      <c r="Q205" s="296"/>
      <c r="R205" s="296"/>
      <c r="S205" s="296"/>
      <c r="T205" s="296"/>
      <c r="U205" s="296"/>
      <c r="V205" s="297"/>
      <c r="W205" s="42" t="s">
        <v>0</v>
      </c>
      <c r="X205" s="43">
        <f>IFERROR(SUMPRODUCT(X203:X203*H203:H203),"0")</f>
        <v>38.64</v>
      </c>
      <c r="Y205" s="43">
        <f>IFERROR(SUMPRODUCT(Y203:Y203*H203:H203),"0")</f>
        <v>38.64</v>
      </c>
      <c r="Z205" s="42"/>
      <c r="AA205" s="67"/>
      <c r="AB205" s="67"/>
      <c r="AC205" s="67"/>
    </row>
    <row r="206" spans="1:68" ht="14.25" customHeight="1" x14ac:dyDescent="0.25">
      <c r="A206" s="309" t="s">
        <v>155</v>
      </c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66"/>
      <c r="AB206" s="66"/>
      <c r="AC206" s="83"/>
    </row>
    <row r="207" spans="1:68" ht="27" customHeight="1" x14ac:dyDescent="0.25">
      <c r="A207" s="63" t="s">
        <v>305</v>
      </c>
      <c r="B207" s="63" t="s">
        <v>306</v>
      </c>
      <c r="C207" s="36">
        <v>4301135834</v>
      </c>
      <c r="D207" s="291">
        <v>4620207491188</v>
      </c>
      <c r="E207" s="291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3"/>
      <c r="R207" s="293"/>
      <c r="S207" s="293"/>
      <c r="T207" s="294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308</v>
      </c>
      <c r="B208" s="63" t="s">
        <v>309</v>
      </c>
      <c r="C208" s="36">
        <v>4301135829</v>
      </c>
      <c r="D208" s="291">
        <v>4620207490235</v>
      </c>
      <c r="E208" s="291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3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3"/>
      <c r="R208" s="293"/>
      <c r="S208" s="293"/>
      <c r="T208" s="294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311</v>
      </c>
      <c r="B209" s="63" t="s">
        <v>312</v>
      </c>
      <c r="C209" s="36">
        <v>4301135697</v>
      </c>
      <c r="D209" s="291">
        <v>4620207490259</v>
      </c>
      <c r="E209" s="29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3"/>
      <c r="R209" s="293"/>
      <c r="S209" s="293"/>
      <c r="T209" s="29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9"/>
      <c r="P210" s="295" t="s">
        <v>40</v>
      </c>
      <c r="Q210" s="296"/>
      <c r="R210" s="296"/>
      <c r="S210" s="296"/>
      <c r="T210" s="296"/>
      <c r="U210" s="296"/>
      <c r="V210" s="297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9"/>
      <c r="P211" s="295" t="s">
        <v>40</v>
      </c>
      <c r="Q211" s="296"/>
      <c r="R211" s="296"/>
      <c r="S211" s="296"/>
      <c r="T211" s="296"/>
      <c r="U211" s="296"/>
      <c r="V211" s="297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21" t="s">
        <v>314</v>
      </c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65"/>
      <c r="AB212" s="65"/>
      <c r="AC212" s="82"/>
    </row>
    <row r="213" spans="1:68" ht="14.25" customHeight="1" x14ac:dyDescent="0.25">
      <c r="A213" s="309" t="s">
        <v>155</v>
      </c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66"/>
      <c r="AB213" s="66"/>
      <c r="AC213" s="83"/>
    </row>
    <row r="214" spans="1:68" ht="27" customHeight="1" x14ac:dyDescent="0.25">
      <c r="A214" s="63" t="s">
        <v>315</v>
      </c>
      <c r="B214" s="63" t="s">
        <v>316</v>
      </c>
      <c r="C214" s="36">
        <v>4301135854</v>
      </c>
      <c r="D214" s="291">
        <v>4620207491706</v>
      </c>
      <c r="E214" s="29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3"/>
      <c r="R214" s="293"/>
      <c r="S214" s="293"/>
      <c r="T214" s="29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318</v>
      </c>
      <c r="B215" s="63" t="s">
        <v>319</v>
      </c>
      <c r="C215" s="36">
        <v>4301135895</v>
      </c>
      <c r="D215" s="291">
        <v>4620207491522</v>
      </c>
      <c r="E215" s="291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3"/>
      <c r="R215" s="293"/>
      <c r="S215" s="293"/>
      <c r="T215" s="294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9"/>
      <c r="P216" s="295" t="s">
        <v>40</v>
      </c>
      <c r="Q216" s="296"/>
      <c r="R216" s="296"/>
      <c r="S216" s="296"/>
      <c r="T216" s="296"/>
      <c r="U216" s="296"/>
      <c r="V216" s="297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9"/>
      <c r="P217" s="295" t="s">
        <v>40</v>
      </c>
      <c r="Q217" s="296"/>
      <c r="R217" s="296"/>
      <c r="S217" s="296"/>
      <c r="T217" s="296"/>
      <c r="U217" s="296"/>
      <c r="V217" s="297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21" t="s">
        <v>321</v>
      </c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65"/>
      <c r="AB218" s="65"/>
      <c r="AC218" s="82"/>
    </row>
    <row r="219" spans="1:68" ht="14.25" customHeight="1" x14ac:dyDescent="0.25">
      <c r="A219" s="309" t="s">
        <v>80</v>
      </c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66"/>
      <c r="AB219" s="66"/>
      <c r="AC219" s="83"/>
    </row>
    <row r="220" spans="1:68" ht="27" customHeight="1" x14ac:dyDescent="0.25">
      <c r="A220" s="63" t="s">
        <v>322</v>
      </c>
      <c r="B220" s="63" t="s">
        <v>323</v>
      </c>
      <c r="C220" s="36">
        <v>4301071097</v>
      </c>
      <c r="D220" s="291">
        <v>4620207491096</v>
      </c>
      <c r="E220" s="291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3"/>
      <c r="R220" s="293"/>
      <c r="S220" s="293"/>
      <c r="T220" s="29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9"/>
      <c r="P221" s="295" t="s">
        <v>40</v>
      </c>
      <c r="Q221" s="296"/>
      <c r="R221" s="296"/>
      <c r="S221" s="296"/>
      <c r="T221" s="296"/>
      <c r="U221" s="296"/>
      <c r="V221" s="29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9"/>
      <c r="P222" s="295" t="s">
        <v>40</v>
      </c>
      <c r="Q222" s="296"/>
      <c r="R222" s="296"/>
      <c r="S222" s="296"/>
      <c r="T222" s="296"/>
      <c r="U222" s="296"/>
      <c r="V222" s="29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21" t="s">
        <v>325</v>
      </c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65"/>
      <c r="AB223" s="65"/>
      <c r="AC223" s="82"/>
    </row>
    <row r="224" spans="1:68" ht="14.25" customHeight="1" x14ac:dyDescent="0.25">
      <c r="A224" s="309" t="s">
        <v>155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4301135694</v>
      </c>
      <c r="D225" s="291">
        <v>4620207490501</v>
      </c>
      <c r="E225" s="291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3"/>
      <c r="R225" s="293"/>
      <c r="S225" s="293"/>
      <c r="T225" s="294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9"/>
      <c r="P226" s="295" t="s">
        <v>40</v>
      </c>
      <c r="Q226" s="296"/>
      <c r="R226" s="296"/>
      <c r="S226" s="296"/>
      <c r="T226" s="296"/>
      <c r="U226" s="296"/>
      <c r="V226" s="29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9"/>
      <c r="P227" s="295" t="s">
        <v>40</v>
      </c>
      <c r="Q227" s="296"/>
      <c r="R227" s="296"/>
      <c r="S227" s="296"/>
      <c r="T227" s="296"/>
      <c r="U227" s="296"/>
      <c r="V227" s="29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20" t="s">
        <v>329</v>
      </c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54"/>
      <c r="AB228" s="54"/>
      <c r="AC228" s="54"/>
    </row>
    <row r="229" spans="1:68" ht="16.5" customHeight="1" x14ac:dyDescent="0.25">
      <c r="A229" s="321" t="s">
        <v>330</v>
      </c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65"/>
      <c r="AB229" s="65"/>
      <c r="AC229" s="82"/>
    </row>
    <row r="230" spans="1:68" ht="14.25" customHeight="1" x14ac:dyDescent="0.25">
      <c r="A230" s="309" t="s">
        <v>80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4301071036</v>
      </c>
      <c r="D231" s="291">
        <v>4607111036162</v>
      </c>
      <c r="E231" s="291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3"/>
      <c r="R231" s="293"/>
      <c r="S231" s="293"/>
      <c r="T231" s="294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295" t="s">
        <v>40</v>
      </c>
      <c r="Q232" s="296"/>
      <c r="R232" s="296"/>
      <c r="S232" s="296"/>
      <c r="T232" s="296"/>
      <c r="U232" s="296"/>
      <c r="V232" s="29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9"/>
      <c r="P233" s="295" t="s">
        <v>40</v>
      </c>
      <c r="Q233" s="296"/>
      <c r="R233" s="296"/>
      <c r="S233" s="296"/>
      <c r="T233" s="296"/>
      <c r="U233" s="296"/>
      <c r="V233" s="29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20" t="s">
        <v>334</v>
      </c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54"/>
      <c r="AB234" s="54"/>
      <c r="AC234" s="54"/>
    </row>
    <row r="235" spans="1:68" ht="16.5" customHeight="1" x14ac:dyDescent="0.25">
      <c r="A235" s="321" t="s">
        <v>335</v>
      </c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65"/>
      <c r="AB235" s="65"/>
      <c r="AC235" s="82"/>
    </row>
    <row r="236" spans="1:68" ht="14.25" customHeight="1" x14ac:dyDescent="0.25">
      <c r="A236" s="309" t="s">
        <v>336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customHeight="1" x14ac:dyDescent="0.25">
      <c r="A237" s="63" t="s">
        <v>337</v>
      </c>
      <c r="B237" s="63" t="s">
        <v>338</v>
      </c>
      <c r="C237" s="36">
        <v>4301133004</v>
      </c>
      <c r="D237" s="291">
        <v>4607111039774</v>
      </c>
      <c r="E237" s="291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3"/>
      <c r="R237" s="293"/>
      <c r="S237" s="293"/>
      <c r="T237" s="294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9"/>
      <c r="P238" s="295" t="s">
        <v>40</v>
      </c>
      <c r="Q238" s="296"/>
      <c r="R238" s="296"/>
      <c r="S238" s="296"/>
      <c r="T238" s="296"/>
      <c r="U238" s="296"/>
      <c r="V238" s="29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09" t="s">
        <v>155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customHeight="1" x14ac:dyDescent="0.25">
      <c r="A241" s="63" t="s">
        <v>340</v>
      </c>
      <c r="B241" s="63" t="s">
        <v>341</v>
      </c>
      <c r="C241" s="36">
        <v>4301135400</v>
      </c>
      <c r="D241" s="291">
        <v>4607111039361</v>
      </c>
      <c r="E241" s="291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3"/>
      <c r="R241" s="293"/>
      <c r="S241" s="293"/>
      <c r="T241" s="294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9"/>
      <c r="P242" s="295" t="s">
        <v>40</v>
      </c>
      <c r="Q242" s="296"/>
      <c r="R242" s="296"/>
      <c r="S242" s="296"/>
      <c r="T242" s="296"/>
      <c r="U242" s="296"/>
      <c r="V242" s="29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9"/>
      <c r="P243" s="295" t="s">
        <v>40</v>
      </c>
      <c r="Q243" s="296"/>
      <c r="R243" s="296"/>
      <c r="S243" s="296"/>
      <c r="T243" s="296"/>
      <c r="U243" s="296"/>
      <c r="V243" s="29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20" t="s">
        <v>342</v>
      </c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54"/>
      <c r="AB244" s="54"/>
      <c r="AC244" s="54"/>
    </row>
    <row r="245" spans="1:68" ht="16.5" customHeight="1" x14ac:dyDescent="0.25">
      <c r="A245" s="321" t="s">
        <v>342</v>
      </c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65"/>
      <c r="AB245" s="65"/>
      <c r="AC245" s="82"/>
    </row>
    <row r="246" spans="1:68" ht="14.25" customHeight="1" x14ac:dyDescent="0.25">
      <c r="A246" s="309" t="s">
        <v>149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customHeight="1" x14ac:dyDescent="0.25">
      <c r="A247" s="63" t="s">
        <v>343</v>
      </c>
      <c r="B247" s="63" t="s">
        <v>344</v>
      </c>
      <c r="C247" s="36">
        <v>4301136098</v>
      </c>
      <c r="D247" s="291">
        <v>4640242181943</v>
      </c>
      <c r="E247" s="291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1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3"/>
      <c r="R247" s="293"/>
      <c r="S247" s="293"/>
      <c r="T247" s="29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9"/>
      <c r="P248" s="295" t="s">
        <v>40</v>
      </c>
      <c r="Q248" s="296"/>
      <c r="R248" s="296"/>
      <c r="S248" s="296"/>
      <c r="T248" s="296"/>
      <c r="U248" s="296"/>
      <c r="V248" s="29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9"/>
      <c r="P249" s="295" t="s">
        <v>40</v>
      </c>
      <c r="Q249" s="296"/>
      <c r="R249" s="296"/>
      <c r="S249" s="296"/>
      <c r="T249" s="296"/>
      <c r="U249" s="296"/>
      <c r="V249" s="29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20" t="s">
        <v>346</v>
      </c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54"/>
      <c r="AB250" s="54"/>
      <c r="AC250" s="54"/>
    </row>
    <row r="251" spans="1:68" ht="16.5" customHeight="1" x14ac:dyDescent="0.25">
      <c r="A251" s="321" t="s">
        <v>346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65"/>
      <c r="AB251" s="65"/>
      <c r="AC251" s="82"/>
    </row>
    <row r="252" spans="1:68" ht="14.25" customHeight="1" x14ac:dyDescent="0.25">
      <c r="A252" s="309" t="s">
        <v>80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66"/>
      <c r="AB252" s="66"/>
      <c r="AC252" s="83"/>
    </row>
    <row r="253" spans="1:68" ht="27" customHeight="1" x14ac:dyDescent="0.25">
      <c r="A253" s="63" t="s">
        <v>347</v>
      </c>
      <c r="B253" s="63" t="s">
        <v>348</v>
      </c>
      <c r="C253" s="36">
        <v>4301071014</v>
      </c>
      <c r="D253" s="291">
        <v>4640242181264</v>
      </c>
      <c r="E253" s="291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3"/>
      <c r="R253" s="293"/>
      <c r="S253" s="293"/>
      <c r="T253" s="29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350</v>
      </c>
      <c r="B254" s="63" t="s">
        <v>351</v>
      </c>
      <c r="C254" s="36">
        <v>4301071021</v>
      </c>
      <c r="D254" s="291">
        <v>4640242181325</v>
      </c>
      <c r="E254" s="291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3"/>
      <c r="R254" s="293"/>
      <c r="S254" s="293"/>
      <c r="T254" s="29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9"/>
      <c r="P255" s="295" t="s">
        <v>40</v>
      </c>
      <c r="Q255" s="296"/>
      <c r="R255" s="296"/>
      <c r="S255" s="296"/>
      <c r="T255" s="296"/>
      <c r="U255" s="296"/>
      <c r="V255" s="297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09" t="s">
        <v>111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6"/>
      <c r="AB257" s="66"/>
      <c r="AC257" s="83"/>
    </row>
    <row r="258" spans="1:68" ht="27" customHeight="1" x14ac:dyDescent="0.25">
      <c r="A258" s="63" t="s">
        <v>352</v>
      </c>
      <c r="B258" s="63" t="s">
        <v>353</v>
      </c>
      <c r="C258" s="36">
        <v>4301132080</v>
      </c>
      <c r="D258" s="291">
        <v>4640242180397</v>
      </c>
      <c r="E258" s="291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3"/>
      <c r="R258" s="293"/>
      <c r="S258" s="293"/>
      <c r="T258" s="29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9"/>
      <c r="P259" s="295" t="s">
        <v>40</v>
      </c>
      <c r="Q259" s="296"/>
      <c r="R259" s="296"/>
      <c r="S259" s="296"/>
      <c r="T259" s="296"/>
      <c r="U259" s="296"/>
      <c r="V259" s="297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9"/>
      <c r="P260" s="295" t="s">
        <v>40</v>
      </c>
      <c r="Q260" s="296"/>
      <c r="R260" s="296"/>
      <c r="S260" s="296"/>
      <c r="T260" s="296"/>
      <c r="U260" s="296"/>
      <c r="V260" s="297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09" t="s">
        <v>149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customHeight="1" x14ac:dyDescent="0.25">
      <c r="A262" s="63" t="s">
        <v>355</v>
      </c>
      <c r="B262" s="63" t="s">
        <v>356</v>
      </c>
      <c r="C262" s="36">
        <v>4301136051</v>
      </c>
      <c r="D262" s="291">
        <v>4640242180304</v>
      </c>
      <c r="E262" s="291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3"/>
      <c r="R262" s="293"/>
      <c r="S262" s="293"/>
      <c r="T262" s="294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358</v>
      </c>
      <c r="B263" s="63" t="s">
        <v>359</v>
      </c>
      <c r="C263" s="36">
        <v>4301136053</v>
      </c>
      <c r="D263" s="291">
        <v>4640242180236</v>
      </c>
      <c r="E263" s="291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3"/>
      <c r="R263" s="293"/>
      <c r="S263" s="293"/>
      <c r="T263" s="294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4301136052</v>
      </c>
      <c r="D264" s="291">
        <v>4640242180410</v>
      </c>
      <c r="E264" s="291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3"/>
      <c r="R264" s="293"/>
      <c r="S264" s="293"/>
      <c r="T264" s="294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9"/>
      <c r="P265" s="295" t="s">
        <v>40</v>
      </c>
      <c r="Q265" s="296"/>
      <c r="R265" s="296"/>
      <c r="S265" s="296"/>
      <c r="T265" s="296"/>
      <c r="U265" s="296"/>
      <c r="V265" s="297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295" t="s">
        <v>40</v>
      </c>
      <c r="Q266" s="296"/>
      <c r="R266" s="296"/>
      <c r="S266" s="296"/>
      <c r="T266" s="296"/>
      <c r="U266" s="296"/>
      <c r="V266" s="297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09" t="s">
        <v>155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37.5" customHeight="1" x14ac:dyDescent="0.25">
      <c r="A268" s="63" t="s">
        <v>362</v>
      </c>
      <c r="B268" s="63" t="s">
        <v>363</v>
      </c>
      <c r="C268" s="36">
        <v>4301135504</v>
      </c>
      <c r="D268" s="291">
        <v>4640242181554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4301135873</v>
      </c>
      <c r="D269" s="291">
        <v>4640242182087</v>
      </c>
      <c r="E269" s="291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368</v>
      </c>
      <c r="B270" s="63" t="s">
        <v>369</v>
      </c>
      <c r="C270" s="36">
        <v>4301135374</v>
      </c>
      <c r="D270" s="291">
        <v>4640242181424</v>
      </c>
      <c r="E270" s="291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370</v>
      </c>
      <c r="B271" s="63" t="s">
        <v>371</v>
      </c>
      <c r="C271" s="36">
        <v>4301135405</v>
      </c>
      <c r="D271" s="291">
        <v>4640242181523</v>
      </c>
      <c r="E271" s="291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372</v>
      </c>
      <c r="B272" s="63" t="s">
        <v>373</v>
      </c>
      <c r="C272" s="36">
        <v>4301135375</v>
      </c>
      <c r="D272" s="291">
        <v>4640242181486</v>
      </c>
      <c r="E272" s="291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374</v>
      </c>
      <c r="B273" s="63" t="s">
        <v>375</v>
      </c>
      <c r="C273" s="36">
        <v>4301135402</v>
      </c>
      <c r="D273" s="291">
        <v>4640242181493</v>
      </c>
      <c r="E273" s="291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376</v>
      </c>
      <c r="B274" s="63" t="s">
        <v>377</v>
      </c>
      <c r="C274" s="36">
        <v>4301135403</v>
      </c>
      <c r="D274" s="291">
        <v>4640242181509</v>
      </c>
      <c r="E274" s="291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378</v>
      </c>
      <c r="B275" s="63" t="s">
        <v>379</v>
      </c>
      <c r="C275" s="36">
        <v>4301135304</v>
      </c>
      <c r="D275" s="291">
        <v>4640242181240</v>
      </c>
      <c r="E275" s="291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4301135610</v>
      </c>
      <c r="D276" s="291">
        <v>4640242181318</v>
      </c>
      <c r="E276" s="291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4301135306</v>
      </c>
      <c r="D277" s="291">
        <v>4640242181387</v>
      </c>
      <c r="E277" s="291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9"/>
      <c r="P278" s="295" t="s">
        <v>40</v>
      </c>
      <c r="Q278" s="296"/>
      <c r="R278" s="296"/>
      <c r="S278" s="296"/>
      <c r="T278" s="296"/>
      <c r="U278" s="296"/>
      <c r="V278" s="297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9"/>
      <c r="P279" s="295" t="s">
        <v>40</v>
      </c>
      <c r="Q279" s="296"/>
      <c r="R279" s="296"/>
      <c r="S279" s="296"/>
      <c r="T279" s="296"/>
      <c r="U279" s="296"/>
      <c r="V279" s="297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33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3276.3599999999997</v>
      </c>
      <c r="Y280" s="43">
        <f>IFERROR(Y31+Y37+Y44+Y51+Y59+Y64+Y68+Y73+Y79+Y85+Y90+Y96+Y106+Y112+Y123+Y127+Y131+Y139+Y145+Y151+Y157+Y163+Y168+Y173+Y178+Y185+Y190+Y199+Y205+Y211+Y217+Y222+Y227+Y233+Y239+Y243+Y249+Y256+Y260+Y266+Y279,"0")</f>
        <v>3276.3599999999997</v>
      </c>
      <c r="Z280" s="42"/>
      <c r="AA280" s="67"/>
      <c r="AB280" s="67"/>
      <c r="AC280" s="67"/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34</v>
      </c>
      <c r="Q281" s="301"/>
      <c r="R281" s="301"/>
      <c r="S281" s="301"/>
      <c r="T281" s="301"/>
      <c r="U281" s="301"/>
      <c r="V281" s="302"/>
      <c r="W281" s="42" t="s">
        <v>0</v>
      </c>
      <c r="X281" s="43">
        <f>IFERROR(SUM(BM22:BM277),"0")</f>
        <v>3708.3007999999995</v>
      </c>
      <c r="Y281" s="43">
        <f>IFERROR(SUM(BN22:BN277),"0")</f>
        <v>3708.3007999999995</v>
      </c>
      <c r="Z281" s="42"/>
      <c r="AA281" s="67"/>
      <c r="AB281" s="67"/>
      <c r="AC281" s="67"/>
    </row>
    <row r="282" spans="1:68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35</v>
      </c>
      <c r="Q282" s="301"/>
      <c r="R282" s="301"/>
      <c r="S282" s="301"/>
      <c r="T282" s="301"/>
      <c r="U282" s="301"/>
      <c r="V282" s="302"/>
      <c r="W282" s="42" t="s">
        <v>20</v>
      </c>
      <c r="X282" s="44">
        <f>ROUNDUP(SUM(BO22:BO277),0)</f>
        <v>11</v>
      </c>
      <c r="Y282" s="44">
        <f>ROUNDUP(SUM(BP22:BP277),0)</f>
        <v>11</v>
      </c>
      <c r="Z282" s="42"/>
      <c r="AA282" s="67"/>
      <c r="AB282" s="67"/>
      <c r="AC282" s="67"/>
    </row>
    <row r="283" spans="1:68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303"/>
      <c r="P283" s="300" t="s">
        <v>36</v>
      </c>
      <c r="Q283" s="301"/>
      <c r="R283" s="301"/>
      <c r="S283" s="301"/>
      <c r="T283" s="301"/>
      <c r="U283" s="301"/>
      <c r="V283" s="302"/>
      <c r="W283" s="42" t="s">
        <v>0</v>
      </c>
      <c r="X283" s="43">
        <f>GrossWeightTotal+PalletQtyTotal*25</f>
        <v>3983.3007999999995</v>
      </c>
      <c r="Y283" s="43">
        <f>GrossWeightTotalR+PalletQtyTotalR*25</f>
        <v>3983.3007999999995</v>
      </c>
      <c r="Z283" s="42"/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303"/>
      <c r="P284" s="300" t="s">
        <v>37</v>
      </c>
      <c r="Q284" s="301"/>
      <c r="R284" s="301"/>
      <c r="S284" s="301"/>
      <c r="T284" s="301"/>
      <c r="U284" s="301"/>
      <c r="V284" s="302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952</v>
      </c>
      <c r="Y284" s="43">
        <f>IFERROR(Y30+Y36+Y43+Y50+Y58+Y63+Y67+Y72+Y78+Y84+Y89+Y95+Y105+Y111+Y122+Y126+Y130+Y138+Y144+Y150+Y156+Y162+Y167+Y172+Y177+Y184+Y189+Y198+Y204+Y210+Y216+Y221+Y226+Y232+Y238+Y242+Y248+Y255+Y259+Y265+Y278,"0")</f>
        <v>952</v>
      </c>
      <c r="Z284" s="42"/>
      <c r="AA284" s="67"/>
      <c r="AB284" s="67"/>
      <c r="AC284" s="67"/>
    </row>
    <row r="285" spans="1:68" ht="14.25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38</v>
      </c>
      <c r="Q285" s="301"/>
      <c r="R285" s="301"/>
      <c r="S285" s="301"/>
      <c r="T285" s="301"/>
      <c r="U285" s="301"/>
      <c r="V285" s="302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13.925979999999997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88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275</v>
      </c>
      <c r="W287" s="287" t="s">
        <v>275</v>
      </c>
      <c r="X287" s="88" t="s">
        <v>286</v>
      </c>
      <c r="Y287" s="287" t="s">
        <v>300</v>
      </c>
      <c r="Z287" s="287" t="s">
        <v>300</v>
      </c>
      <c r="AA287" s="287" t="s">
        <v>300</v>
      </c>
      <c r="AB287" s="287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289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131</v>
      </c>
      <c r="G288" s="287" t="s">
        <v>142</v>
      </c>
      <c r="H288" s="287" t="s">
        <v>163</v>
      </c>
      <c r="I288" s="287" t="s">
        <v>170</v>
      </c>
      <c r="J288" s="287" t="s">
        <v>174</v>
      </c>
      <c r="K288" s="287" t="s">
        <v>182</v>
      </c>
      <c r="L288" s="287" t="s">
        <v>197</v>
      </c>
      <c r="M288" s="287" t="s">
        <v>203</v>
      </c>
      <c r="N288" s="1"/>
      <c r="O288" s="287" t="s">
        <v>228</v>
      </c>
      <c r="P288" s="287" t="s">
        <v>246</v>
      </c>
      <c r="Q288" s="287" t="s">
        <v>252</v>
      </c>
      <c r="R288" s="287" t="s">
        <v>259</v>
      </c>
      <c r="S288" s="287" t="s">
        <v>264</v>
      </c>
      <c r="T288" s="287" t="s">
        <v>268</v>
      </c>
      <c r="U288" s="287" t="s">
        <v>271</v>
      </c>
      <c r="V288" s="287" t="s">
        <v>276</v>
      </c>
      <c r="W288" s="287" t="s">
        <v>283</v>
      </c>
      <c r="X288" s="287" t="s">
        <v>287</v>
      </c>
      <c r="Y288" s="287" t="s">
        <v>301</v>
      </c>
      <c r="Z288" s="287" t="s">
        <v>314</v>
      </c>
      <c r="AA288" s="287" t="s">
        <v>321</v>
      </c>
      <c r="AB288" s="287" t="s">
        <v>325</v>
      </c>
      <c r="AC288" s="287" t="s">
        <v>330</v>
      </c>
      <c r="AD288" s="287" t="s">
        <v>335</v>
      </c>
      <c r="AE288" s="287" t="s">
        <v>342</v>
      </c>
      <c r="AF288" s="287" t="s">
        <v>346</v>
      </c>
    </row>
    <row r="289" spans="1:32" ht="13.5" thickBot="1" x14ac:dyDescent="0.25">
      <c r="A289" s="290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0</v>
      </c>
      <c r="G290" s="52">
        <f>IFERROR(X62*H62,"0")+IFERROR(X66*H66,"0")+IFERROR(X70*H70,"0")+IFERROR(X71*H71,"0")+IFERROR(X75*H75,"0")+IFERROR(X76*H76,"0")+IFERROR(X77*H77,"0")</f>
        <v>33.6</v>
      </c>
      <c r="H290" s="52">
        <f>IFERROR(X82*H82,"0")+IFERROR(X83*H83,"0")</f>
        <v>194.4</v>
      </c>
      <c r="I290" s="52">
        <f>IFERROR(X88*H88,"0")</f>
        <v>100.8</v>
      </c>
      <c r="J290" s="52">
        <f>IFERROR(X93*H93,"0")+IFERROR(X94*H94,"0")</f>
        <v>252</v>
      </c>
      <c r="K290" s="52">
        <f>IFERROR(X99*H99,"0")+IFERROR(X100*H100,"0")+IFERROR(X101*H101,"0")+IFERROR(X102*H102,"0")+IFERROR(X103*H103,"0")+IFERROR(X104*H104,"0")</f>
        <v>282.24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672</v>
      </c>
      <c r="N290" s="1"/>
      <c r="O290" s="52">
        <f>IFERROR(X134*H134,"0")+IFERROR(X135*H135,"0")+IFERROR(X136*H136,"0")+IFERROR(X137*H137,"0")+IFERROR(X141*H141,"0")+IFERROR(X142*H142,"0")+IFERROR(X143*H143,"0")</f>
        <v>135.23999999999998</v>
      </c>
      <c r="P290" s="52">
        <f>IFERROR(X148*H148,"0")+IFERROR(X149*H149,"0")</f>
        <v>294</v>
      </c>
      <c r="Q290" s="52">
        <f>IFERROR(X154*H154,"0")+IFERROR(X155*H155,"0")</f>
        <v>168</v>
      </c>
      <c r="R290" s="52">
        <f>IFERROR(X160*H160,"0")+IFERROR(X161*H161,"0")</f>
        <v>134.4</v>
      </c>
      <c r="S290" s="52">
        <f>IFERROR(X166*H166,"0")</f>
        <v>42</v>
      </c>
      <c r="T290" s="52">
        <f>IFERROR(X171*H171,"0")</f>
        <v>0</v>
      </c>
      <c r="U290" s="52">
        <f>IFERROR(X176*H176,"0")</f>
        <v>47.04</v>
      </c>
      <c r="V290" s="52">
        <f>IFERROR(X182*H182,"0")+IFERROR(X183*H183,"0")</f>
        <v>0</v>
      </c>
      <c r="W290" s="52">
        <f>IFERROR(X188*H188,"0")</f>
        <v>840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38.64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1706.4</v>
      </c>
      <c r="B293" s="72">
        <f>SUMPRODUCT(--(BB:BB="ПГП"),--(W:W="кор"),H:H,Y:Y)+SUMPRODUCT(--(BB:BB="ПГП"),--(W:W="кг"),Y:Y)</f>
        <v>1569.9600000000003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2026-08-03T14:28:33Z</cp:lastPrinted>
  <dcterms:created xsi:type="dcterms:W3CDTF">2021-11-12T12:13:19Z</dcterms:created>
  <dcterms:modified xsi:type="dcterms:W3CDTF">2026-08-07T09:47:15Z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