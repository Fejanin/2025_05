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932D287D-C185-4EA9-80BD-CE1BA8CEEB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1" i="1" l="1"/>
  <c r="AL1" i="1"/>
  <c r="AM2" i="1"/>
  <c r="AM5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6" i="1"/>
  <c r="P51" i="1" l="1"/>
  <c r="T51" i="1" s="1"/>
  <c r="P55" i="1"/>
  <c r="P33" i="1"/>
  <c r="P73" i="1"/>
  <c r="T73" i="1" s="1"/>
  <c r="L73" i="1"/>
  <c r="P72" i="1"/>
  <c r="T72" i="1" s="1"/>
  <c r="L72" i="1"/>
  <c r="P71" i="1"/>
  <c r="T71" i="1" s="1"/>
  <c r="L71" i="1"/>
  <c r="P70" i="1"/>
  <c r="L70" i="1"/>
  <c r="P69" i="1"/>
  <c r="L69" i="1"/>
  <c r="P68" i="1"/>
  <c r="L68" i="1"/>
  <c r="F68" i="1"/>
  <c r="T68" i="1" s="1"/>
  <c r="P67" i="1"/>
  <c r="L67" i="1"/>
  <c r="P66" i="1"/>
  <c r="T66" i="1" s="1"/>
  <c r="L66" i="1"/>
  <c r="P65" i="1"/>
  <c r="Q65" i="1" s="1"/>
  <c r="L65" i="1"/>
  <c r="P64" i="1"/>
  <c r="T64" i="1" s="1"/>
  <c r="L64" i="1"/>
  <c r="P63" i="1"/>
  <c r="T63" i="1" s="1"/>
  <c r="L63" i="1"/>
  <c r="P62" i="1"/>
  <c r="T62" i="1" s="1"/>
  <c r="L62" i="1"/>
  <c r="P61" i="1"/>
  <c r="AF61" i="1" s="1"/>
  <c r="L61" i="1"/>
  <c r="P60" i="1"/>
  <c r="T60" i="1" s="1"/>
  <c r="L60" i="1"/>
  <c r="P59" i="1"/>
  <c r="L59" i="1"/>
  <c r="F58" i="1"/>
  <c r="E58" i="1"/>
  <c r="L58" i="1" s="1"/>
  <c r="P57" i="1"/>
  <c r="T57" i="1" s="1"/>
  <c r="L57" i="1"/>
  <c r="P56" i="1"/>
  <c r="T56" i="1" s="1"/>
  <c r="L56" i="1"/>
  <c r="L55" i="1"/>
  <c r="P54" i="1"/>
  <c r="T54" i="1" s="1"/>
  <c r="L54" i="1"/>
  <c r="P53" i="1"/>
  <c r="L53" i="1"/>
  <c r="P52" i="1"/>
  <c r="T52" i="1" s="1"/>
  <c r="L52" i="1"/>
  <c r="L51" i="1"/>
  <c r="P50" i="1"/>
  <c r="L50" i="1"/>
  <c r="F50" i="1"/>
  <c r="T50" i="1" s="1"/>
  <c r="P49" i="1"/>
  <c r="Q49" i="1" s="1"/>
  <c r="AH49" i="1" s="1"/>
  <c r="L49" i="1"/>
  <c r="P48" i="1"/>
  <c r="T48" i="1" s="1"/>
  <c r="L48" i="1"/>
  <c r="P47" i="1"/>
  <c r="T47" i="1" s="1"/>
  <c r="L47" i="1"/>
  <c r="P46" i="1"/>
  <c r="T46" i="1" s="1"/>
  <c r="L46" i="1"/>
  <c r="P45" i="1"/>
  <c r="L45" i="1"/>
  <c r="P44" i="1"/>
  <c r="T44" i="1" s="1"/>
  <c r="L44" i="1"/>
  <c r="P43" i="1"/>
  <c r="L43" i="1"/>
  <c r="P42" i="1"/>
  <c r="T42" i="1" s="1"/>
  <c r="L42" i="1"/>
  <c r="P41" i="1"/>
  <c r="L41" i="1"/>
  <c r="P40" i="1"/>
  <c r="T40" i="1" s="1"/>
  <c r="L40" i="1"/>
  <c r="P39" i="1"/>
  <c r="T39" i="1" s="1"/>
  <c r="L39" i="1"/>
  <c r="P38" i="1"/>
  <c r="T38" i="1" s="1"/>
  <c r="L38" i="1"/>
  <c r="P37" i="1"/>
  <c r="L37" i="1"/>
  <c r="P36" i="1"/>
  <c r="T36" i="1" s="1"/>
  <c r="L36" i="1"/>
  <c r="P35" i="1"/>
  <c r="L35" i="1"/>
  <c r="P34" i="1"/>
  <c r="T34" i="1" s="1"/>
  <c r="L34" i="1"/>
  <c r="L33" i="1"/>
  <c r="P32" i="1"/>
  <c r="T32" i="1" s="1"/>
  <c r="L32" i="1"/>
  <c r="P31" i="1"/>
  <c r="T31" i="1" s="1"/>
  <c r="L31" i="1"/>
  <c r="F30" i="1"/>
  <c r="E30" i="1"/>
  <c r="P30" i="1" s="1"/>
  <c r="P29" i="1"/>
  <c r="T29" i="1" s="1"/>
  <c r="L29" i="1"/>
  <c r="P28" i="1"/>
  <c r="T28" i="1" s="1"/>
  <c r="L28" i="1"/>
  <c r="P27" i="1"/>
  <c r="T27" i="1" s="1"/>
  <c r="L27" i="1"/>
  <c r="F26" i="1"/>
  <c r="E26" i="1"/>
  <c r="L26" i="1" s="1"/>
  <c r="P25" i="1"/>
  <c r="T25" i="1" s="1"/>
  <c r="L25" i="1"/>
  <c r="P24" i="1"/>
  <c r="L24" i="1"/>
  <c r="F23" i="1"/>
  <c r="E23" i="1"/>
  <c r="P23" i="1" s="1"/>
  <c r="P22" i="1"/>
  <c r="T22" i="1" s="1"/>
  <c r="L22" i="1"/>
  <c r="P21" i="1"/>
  <c r="L21" i="1"/>
  <c r="P20" i="1"/>
  <c r="T20" i="1" s="1"/>
  <c r="L20" i="1"/>
  <c r="F19" i="1"/>
  <c r="E19" i="1"/>
  <c r="L19" i="1" s="1"/>
  <c r="F18" i="1"/>
  <c r="E18" i="1"/>
  <c r="P18" i="1" s="1"/>
  <c r="P17" i="1"/>
  <c r="T17" i="1" s="1"/>
  <c r="L17" i="1"/>
  <c r="P16" i="1"/>
  <c r="L16" i="1"/>
  <c r="P15" i="1"/>
  <c r="L15" i="1"/>
  <c r="F15" i="1"/>
  <c r="T15" i="1" s="1"/>
  <c r="P14" i="1"/>
  <c r="S14" i="1" s="1"/>
  <c r="L14" i="1"/>
  <c r="P13" i="1"/>
  <c r="L13" i="1"/>
  <c r="P12" i="1"/>
  <c r="T12" i="1" s="1"/>
  <c r="L12" i="1"/>
  <c r="P11" i="1"/>
  <c r="T11" i="1" s="1"/>
  <c r="L11" i="1"/>
  <c r="P10" i="1"/>
  <c r="AH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S6" i="1" l="1"/>
  <c r="T18" i="1"/>
  <c r="S22" i="1"/>
  <c r="Q23" i="1"/>
  <c r="AF23" i="1" s="1"/>
  <c r="T61" i="1"/>
  <c r="Q68" i="1"/>
  <c r="AH68" i="1" s="1"/>
  <c r="AI68" i="1" s="1"/>
  <c r="Q32" i="1"/>
  <c r="Q44" i="1"/>
  <c r="AH44" i="1" s="1"/>
  <c r="AI44" i="1" s="1"/>
  <c r="Q66" i="1"/>
  <c r="T70" i="1"/>
  <c r="Q36" i="1"/>
  <c r="Q56" i="1"/>
  <c r="AF56" i="1" s="1"/>
  <c r="T10" i="1"/>
  <c r="Q15" i="1"/>
  <c r="AF15" i="1" s="1"/>
  <c r="AF30" i="1"/>
  <c r="Q50" i="1"/>
  <c r="AF50" i="1" s="1"/>
  <c r="Q12" i="1"/>
  <c r="AF28" i="1"/>
  <c r="Q34" i="1"/>
  <c r="Q48" i="1"/>
  <c r="Q64" i="1"/>
  <c r="AH72" i="1"/>
  <c r="AH30" i="1"/>
  <c r="AI30" i="1" s="1"/>
  <c r="T13" i="1"/>
  <c r="T16" i="1"/>
  <c r="T21" i="1"/>
  <c r="T33" i="1"/>
  <c r="T35" i="1"/>
  <c r="Q35" i="1"/>
  <c r="T37" i="1"/>
  <c r="AL49" i="1"/>
  <c r="R49" i="1"/>
  <c r="S49" i="1" s="1"/>
  <c r="AH61" i="1"/>
  <c r="AI61" i="1" s="1"/>
  <c r="T65" i="1"/>
  <c r="T67" i="1"/>
  <c r="Q67" i="1"/>
  <c r="Q18" i="1"/>
  <c r="AH28" i="1"/>
  <c r="AL28" i="1" s="1"/>
  <c r="Q52" i="1"/>
  <c r="AF72" i="1"/>
  <c r="S8" i="1"/>
  <c r="AF10" i="1"/>
  <c r="T24" i="1"/>
  <c r="Q24" i="1"/>
  <c r="T41" i="1"/>
  <c r="Q41" i="1"/>
  <c r="T43" i="1"/>
  <c r="T45" i="1"/>
  <c r="AF49" i="1"/>
  <c r="T53" i="1"/>
  <c r="Q53" i="1"/>
  <c r="T55" i="1"/>
  <c r="T59" i="1"/>
  <c r="T69" i="1"/>
  <c r="Q38" i="1"/>
  <c r="Q46" i="1"/>
  <c r="Q54" i="1"/>
  <c r="AH70" i="1"/>
  <c r="AI70" i="1" s="1"/>
  <c r="AF70" i="1"/>
  <c r="Q39" i="1"/>
  <c r="Q71" i="1"/>
  <c r="AI49" i="1"/>
  <c r="P19" i="1"/>
  <c r="T19" i="1" s="1"/>
  <c r="P26" i="1"/>
  <c r="P58" i="1"/>
  <c r="S7" i="1"/>
  <c r="S9" i="1"/>
  <c r="S17" i="1"/>
  <c r="T23" i="1"/>
  <c r="T26" i="1"/>
  <c r="S27" i="1"/>
  <c r="T30" i="1"/>
  <c r="AI10" i="1"/>
  <c r="L18" i="1"/>
  <c r="L30" i="1"/>
  <c r="T49" i="1"/>
  <c r="E5" i="1"/>
  <c r="R10" i="1"/>
  <c r="AL10" i="1"/>
  <c r="S11" i="1"/>
  <c r="T14" i="1"/>
  <c r="F5" i="1"/>
  <c r="L23" i="1"/>
  <c r="R44" i="1" l="1"/>
  <c r="S44" i="1" s="1"/>
  <c r="AH23" i="1"/>
  <c r="AL23" i="1" s="1"/>
  <c r="AL61" i="1"/>
  <c r="R68" i="1"/>
  <c r="S68" i="1" s="1"/>
  <c r="AH56" i="1"/>
  <c r="AL56" i="1" s="1"/>
  <c r="AH50" i="1"/>
  <c r="AL50" i="1" s="1"/>
  <c r="AH15" i="1"/>
  <c r="AI15" i="1" s="1"/>
  <c r="AI50" i="1"/>
  <c r="AL15" i="1"/>
  <c r="R50" i="1"/>
  <c r="S50" i="1" s="1"/>
  <c r="AL70" i="1"/>
  <c r="AI72" i="1"/>
  <c r="R72" i="1"/>
  <c r="S72" i="1" s="1"/>
  <c r="AL72" i="1"/>
  <c r="AL68" i="1"/>
  <c r="R30" i="1"/>
  <c r="S30" i="1" s="1"/>
  <c r="AL44" i="1"/>
  <c r="AF68" i="1"/>
  <c r="AF44" i="1"/>
  <c r="AH36" i="1"/>
  <c r="AF36" i="1"/>
  <c r="AH66" i="1"/>
  <c r="AF66" i="1"/>
  <c r="AF32" i="1"/>
  <c r="AH32" i="1"/>
  <c r="AH64" i="1"/>
  <c r="AF64" i="1"/>
  <c r="AH42" i="1"/>
  <c r="AF42" i="1"/>
  <c r="AH25" i="1"/>
  <c r="AF25" i="1"/>
  <c r="L5" i="1"/>
  <c r="T58" i="1"/>
  <c r="AF48" i="1"/>
  <c r="AH48" i="1"/>
  <c r="AH34" i="1"/>
  <c r="AF34" i="1"/>
  <c r="AH12" i="1"/>
  <c r="AF12" i="1"/>
  <c r="P5" i="1"/>
  <c r="AF73" i="1"/>
  <c r="AH73" i="1"/>
  <c r="AH63" i="1"/>
  <c r="AF63" i="1"/>
  <c r="AF51" i="1"/>
  <c r="AH51" i="1"/>
  <c r="AF39" i="1"/>
  <c r="AH39" i="1"/>
  <c r="AF29" i="1"/>
  <c r="AH29" i="1"/>
  <c r="AF54" i="1"/>
  <c r="AH54" i="1"/>
  <c r="AF38" i="1"/>
  <c r="AH38" i="1"/>
  <c r="AH69" i="1"/>
  <c r="AF69" i="1"/>
  <c r="AH45" i="1"/>
  <c r="AF45" i="1"/>
  <c r="AH60" i="1"/>
  <c r="AF60" i="1"/>
  <c r="AF40" i="1"/>
  <c r="AH40" i="1"/>
  <c r="AF67" i="1"/>
  <c r="AH67" i="1"/>
  <c r="R70" i="1"/>
  <c r="S70" i="1" s="1"/>
  <c r="R61" i="1"/>
  <c r="S61" i="1" s="1"/>
  <c r="AL30" i="1"/>
  <c r="AH58" i="1"/>
  <c r="AF58" i="1"/>
  <c r="AF71" i="1"/>
  <c r="AH71" i="1"/>
  <c r="AH57" i="1"/>
  <c r="AF57" i="1"/>
  <c r="AF47" i="1"/>
  <c r="AH47" i="1"/>
  <c r="AF31" i="1"/>
  <c r="AH31" i="1"/>
  <c r="AH62" i="1"/>
  <c r="AF62" i="1"/>
  <c r="AF46" i="1"/>
  <c r="AH46" i="1"/>
  <c r="AH20" i="1"/>
  <c r="AF20" i="1"/>
  <c r="AF59" i="1"/>
  <c r="AH59" i="1"/>
  <c r="AH55" i="1"/>
  <c r="AF55" i="1"/>
  <c r="AF53" i="1"/>
  <c r="AH53" i="1"/>
  <c r="AH43" i="1"/>
  <c r="AF43" i="1"/>
  <c r="AH41" i="1"/>
  <c r="AF41" i="1"/>
  <c r="AH24" i="1"/>
  <c r="AF24" i="1"/>
  <c r="AF52" i="1"/>
  <c r="AH52" i="1"/>
  <c r="AI28" i="1"/>
  <c r="R28" i="1"/>
  <c r="S28" i="1" s="1"/>
  <c r="AH18" i="1"/>
  <c r="AF18" i="1"/>
  <c r="AH65" i="1"/>
  <c r="AF65" i="1"/>
  <c r="AH37" i="1"/>
  <c r="AF37" i="1"/>
  <c r="AH35" i="1"/>
  <c r="AF35" i="1"/>
  <c r="AH33" i="1"/>
  <c r="AF33" i="1"/>
  <c r="AH21" i="1"/>
  <c r="AF21" i="1"/>
  <c r="AH16" i="1"/>
  <c r="AF16" i="1"/>
  <c r="AH13" i="1"/>
  <c r="AF13" i="1"/>
  <c r="AI23" i="1"/>
  <c r="R23" i="1"/>
  <c r="S23" i="1" s="1"/>
  <c r="S10" i="1"/>
  <c r="R15" i="1" l="1"/>
  <c r="S15" i="1" s="1"/>
  <c r="AI56" i="1"/>
  <c r="R56" i="1"/>
  <c r="S56" i="1" s="1"/>
  <c r="AL66" i="1"/>
  <c r="AI66" i="1"/>
  <c r="R66" i="1"/>
  <c r="S66" i="1" s="1"/>
  <c r="R36" i="1"/>
  <c r="S36" i="1" s="1"/>
  <c r="AI36" i="1"/>
  <c r="AL36" i="1"/>
  <c r="R32" i="1"/>
  <c r="S32" i="1" s="1"/>
  <c r="AI32" i="1"/>
  <c r="AL32" i="1"/>
  <c r="AI48" i="1"/>
  <c r="R48" i="1"/>
  <c r="S48" i="1" s="1"/>
  <c r="AL48" i="1"/>
  <c r="AI25" i="1"/>
  <c r="AL25" i="1"/>
  <c r="R25" i="1"/>
  <c r="S25" i="1" s="1"/>
  <c r="AI42" i="1"/>
  <c r="AL42" i="1"/>
  <c r="R42" i="1"/>
  <c r="S42" i="1" s="1"/>
  <c r="R64" i="1"/>
  <c r="S64" i="1" s="1"/>
  <c r="AL64" i="1"/>
  <c r="AI64" i="1"/>
  <c r="R12" i="1"/>
  <c r="S12" i="1" s="1"/>
  <c r="AI12" i="1"/>
  <c r="AL12" i="1"/>
  <c r="AI34" i="1"/>
  <c r="AL34" i="1"/>
  <c r="R34" i="1"/>
  <c r="S34" i="1" s="1"/>
  <c r="AI13" i="1"/>
  <c r="R13" i="1"/>
  <c r="AL13" i="1"/>
  <c r="AL16" i="1"/>
  <c r="R16" i="1"/>
  <c r="S16" i="1" s="1"/>
  <c r="AI16" i="1"/>
  <c r="AL21" i="1"/>
  <c r="R21" i="1"/>
  <c r="S21" i="1" s="1"/>
  <c r="AI21" i="1"/>
  <c r="AL33" i="1"/>
  <c r="R33" i="1"/>
  <c r="S33" i="1" s="1"/>
  <c r="AI33" i="1"/>
  <c r="AL35" i="1"/>
  <c r="R35" i="1"/>
  <c r="S35" i="1" s="1"/>
  <c r="AI35" i="1"/>
  <c r="AL37" i="1"/>
  <c r="R37" i="1"/>
  <c r="S37" i="1" s="1"/>
  <c r="AI37" i="1"/>
  <c r="AI65" i="1"/>
  <c r="R65" i="1"/>
  <c r="S65" i="1" s="1"/>
  <c r="AL65" i="1"/>
  <c r="AI18" i="1"/>
  <c r="AL18" i="1"/>
  <c r="R18" i="1"/>
  <c r="S18" i="1" s="1"/>
  <c r="AL24" i="1"/>
  <c r="R24" i="1"/>
  <c r="S24" i="1" s="1"/>
  <c r="AI24" i="1"/>
  <c r="AL41" i="1"/>
  <c r="R41" i="1"/>
  <c r="S41" i="1" s="1"/>
  <c r="AI41" i="1"/>
  <c r="AL43" i="1"/>
  <c r="R43" i="1"/>
  <c r="S43" i="1" s="1"/>
  <c r="AI43" i="1"/>
  <c r="AI55" i="1"/>
  <c r="R55" i="1"/>
  <c r="S55" i="1" s="1"/>
  <c r="AL55" i="1"/>
  <c r="AI20" i="1"/>
  <c r="AL20" i="1"/>
  <c r="R20" i="1"/>
  <c r="S20" i="1" s="1"/>
  <c r="AL62" i="1"/>
  <c r="AI62" i="1"/>
  <c r="R62" i="1"/>
  <c r="S62" i="1" s="1"/>
  <c r="AI57" i="1"/>
  <c r="AL57" i="1"/>
  <c r="R57" i="1"/>
  <c r="S57" i="1" s="1"/>
  <c r="AH19" i="1"/>
  <c r="AF19" i="1"/>
  <c r="Q5" i="1"/>
  <c r="AI67" i="1"/>
  <c r="AL67" i="1"/>
  <c r="R67" i="1"/>
  <c r="S67" i="1" s="1"/>
  <c r="AI40" i="1"/>
  <c r="R40" i="1"/>
  <c r="S40" i="1" s="1"/>
  <c r="AL40" i="1"/>
  <c r="AI38" i="1"/>
  <c r="R38" i="1"/>
  <c r="S38" i="1" s="1"/>
  <c r="AL38" i="1"/>
  <c r="AL54" i="1"/>
  <c r="R54" i="1"/>
  <c r="S54" i="1" s="1"/>
  <c r="AI54" i="1"/>
  <c r="AL29" i="1"/>
  <c r="R29" i="1"/>
  <c r="S29" i="1" s="1"/>
  <c r="AI29" i="1"/>
  <c r="AL39" i="1"/>
  <c r="R39" i="1"/>
  <c r="S39" i="1" s="1"/>
  <c r="AI39" i="1"/>
  <c r="AI51" i="1"/>
  <c r="R51" i="1"/>
  <c r="S51" i="1" s="1"/>
  <c r="AL51" i="1"/>
  <c r="AL73" i="1"/>
  <c r="R73" i="1"/>
  <c r="S73" i="1" s="1"/>
  <c r="AI73" i="1"/>
  <c r="AH26" i="1"/>
  <c r="AF26" i="1"/>
  <c r="AL52" i="1"/>
  <c r="R52" i="1"/>
  <c r="S52" i="1" s="1"/>
  <c r="AI52" i="1"/>
  <c r="AI53" i="1"/>
  <c r="R53" i="1"/>
  <c r="S53" i="1" s="1"/>
  <c r="AL53" i="1"/>
  <c r="AI59" i="1"/>
  <c r="R59" i="1"/>
  <c r="S59" i="1" s="1"/>
  <c r="AL59" i="1"/>
  <c r="AI46" i="1"/>
  <c r="R46" i="1"/>
  <c r="S46" i="1" s="1"/>
  <c r="AL46" i="1"/>
  <c r="AL31" i="1"/>
  <c r="R31" i="1"/>
  <c r="S31" i="1" s="1"/>
  <c r="AI31" i="1"/>
  <c r="AL47" i="1"/>
  <c r="R47" i="1"/>
  <c r="S47" i="1" s="1"/>
  <c r="AI47" i="1"/>
  <c r="AL71" i="1"/>
  <c r="R71" i="1"/>
  <c r="S71" i="1" s="1"/>
  <c r="AI71" i="1"/>
  <c r="R58" i="1"/>
  <c r="S58" i="1" s="1"/>
  <c r="AL58" i="1"/>
  <c r="AI58" i="1"/>
  <c r="AL60" i="1"/>
  <c r="AI60" i="1"/>
  <c r="R60" i="1"/>
  <c r="S60" i="1" s="1"/>
  <c r="AL45" i="1"/>
  <c r="R45" i="1"/>
  <c r="S45" i="1" s="1"/>
  <c r="AI45" i="1"/>
  <c r="AL69" i="1"/>
  <c r="R69" i="1"/>
  <c r="S69" i="1" s="1"/>
  <c r="AI69" i="1"/>
  <c r="AI63" i="1"/>
  <c r="AL63" i="1"/>
  <c r="R63" i="1"/>
  <c r="S63" i="1" s="1"/>
  <c r="AH5" i="1" l="1"/>
  <c r="S13" i="1"/>
  <c r="AF5" i="1"/>
  <c r="AL19" i="1"/>
  <c r="R19" i="1"/>
  <c r="S19" i="1" s="1"/>
  <c r="AI19" i="1"/>
  <c r="AL26" i="1"/>
  <c r="R26" i="1"/>
  <c r="S26" i="1" s="1"/>
  <c r="AI26" i="1"/>
  <c r="AI5" i="1" l="1"/>
  <c r="AL5" i="1"/>
  <c r="R5" i="1"/>
</calcChain>
</file>

<file path=xl/sharedStrings.xml><?xml version="1.0" encoding="utf-8"?>
<sst xmlns="http://schemas.openxmlformats.org/spreadsheetml/2006/main" count="275" uniqueCount="177">
  <si>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</si>
  <si>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</si>
  <si>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</si>
  <si>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</si>
  <si>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</si>
  <si>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</si>
  <si>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</si>
  <si>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</si>
  <si>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</si>
  <si>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</si>
  <si>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</si>
  <si>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</si>
  <si>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</si>
  <si>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</si>
  <si>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</si>
  <si>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</si>
  <si>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</si>
  <si>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</si>
  <si>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</si>
  <si>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</si>
  <si>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</si>
  <si>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</si>
  <si>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</si>
  <si>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</si>
  <si>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</si>
  <si>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</si>
  <si>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</si>
  <si>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</si>
  <si>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</si>
  <si>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08,09,</t>
  </si>
  <si>
    <t>10,09,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</si>
  <si>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</si>
  <si>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</si>
  <si>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</si>
  <si>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</si>
  <si>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</si>
  <si>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</si>
  <si>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</si>
  <si>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</si>
  <si>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</si>
  <si>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</si>
  <si>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</si>
  <si>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</si>
  <si>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</si>
  <si>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</si>
  <si>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</si>
  <si>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</si>
  <si>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</si>
  <si>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</si>
  <si>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</si>
  <si>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</si>
  <si>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</si>
  <si>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</si>
  <si>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</si>
  <si>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</si>
  <si>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</si>
  <si>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</si>
  <si>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</si>
  <si>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</si>
  <si>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</si>
  <si>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</si>
  <si>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</si>
  <si>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</si>
  <si>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</si>
  <si>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</si>
  <si>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</si>
  <si>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</si>
  <si>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</si>
  <si>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</si>
  <si>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</si>
  <si>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</si>
  <si>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</si>
  <si>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</si>
  <si>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</si>
  <si>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</si>
  <si>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</si>
  <si>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</si>
  <si>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</si>
  <si>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</si>
  <si>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</si>
  <si>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</si>
  <si>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</si>
  <si>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</si>
  <si>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</si>
  <si>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</si>
  <si>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</si>
  <si>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</si>
  <si>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</si>
  <si>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</si>
  <si>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</si>
  <si>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нужно увеличить продажи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</si>
  <si>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</si>
  <si>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</si>
  <si>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</si>
  <si>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</si>
  <si>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</si>
  <si>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</si>
  <si>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</si>
  <si>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</si>
  <si>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</si>
  <si>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</si>
  <si>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</si>
  <si>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</si>
  <si>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</si>
  <si>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</si>
  <si>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</si>
  <si>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</si>
  <si>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</si>
  <si>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</si>
  <si>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</si>
  <si>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</si>
  <si>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</si>
  <si>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</si>
  <si>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</si>
  <si>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</si>
  <si>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</si>
  <si>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</si>
  <si>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</si>
  <si>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</si>
  <si>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</si>
  <si>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</si>
  <si>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</si>
  <si>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</si>
  <si>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</si>
  <si>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</si>
  <si>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</si>
  <si>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</si>
  <si>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</si>
  <si>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</si>
  <si>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</si>
  <si>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</si>
  <si>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</si>
  <si>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</si>
  <si>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</si>
  <si>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</si>
  <si>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</si>
  <si>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</si>
  <si>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</si>
  <si>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</si>
  <si>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</si>
  <si>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</si>
  <si>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</si>
  <si>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</si>
  <si>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</si>
  <si>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</si>
  <si>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</si>
  <si>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</si>
  <si>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</si>
  <si>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</si>
  <si>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</si>
  <si>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</si>
  <si>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</si>
  <si>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</si>
  <si>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</si>
  <si>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</si>
  <si>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</si>
  <si>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</si>
  <si>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</si>
  <si>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</si>
  <si>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</si>
  <si>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</si>
  <si>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</si>
  <si>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</si>
  <si>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</si>
  <si>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</si>
  <si>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</si>
  <si>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</si>
  <si>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</si>
  <si>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</si>
  <si>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</si>
  <si>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</si>
  <si>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</si>
  <si>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</si>
  <si>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</si>
  <si>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</si>
  <si>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384шт под задачи ТК (04,09,26 / Рекуто хотела 500)</t>
  </si>
  <si>
    <t>480шт под задачи ТК (04,09,26 / Рекуто хотела 700)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</si>
</sst>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6" fontId="1" fillId="0" borderId="1" xfId="1" applyNumberFormat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" sqref="AH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8" width="7" customWidth="1"/>
    <col min="19" max="20" width="5" customWidth="1"/>
    <col min="21" max="30" width="6" customWidth="1"/>
    <col min="31" max="31" width="27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39" width="6.7109375" customWidth="1"/>
    <col min="40" max="40" width="4.7109375" customWidth="1"/>
    <col min="41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24">
        <f>AH5/3500</f>
        <v>0.46057142857142858</v>
      </c>
      <c r="AM1" s="24">
        <f>AL1+AM2*AN1</f>
        <v>1.071529413749283</v>
      </c>
      <c r="AN1" s="25">
        <v>2</v>
      </c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24">
        <f>AM5/AI5</f>
        <v>0.30547899258892719</v>
      </c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SUM(E6:E498)</f>
        <v>28366.999</v>
      </c>
      <c r="F5" s="4">
        <f>SUM(F6:F498)</f>
        <v>43591.800999999999</v>
      </c>
      <c r="G5" s="7"/>
      <c r="H5" s="1"/>
      <c r="I5" s="1"/>
      <c r="J5" s="1"/>
      <c r="K5" s="4">
        <f t="shared" ref="K5:R5" si="0">SUM(K6:K498)</f>
        <v>31970.118999999999</v>
      </c>
      <c r="L5" s="4">
        <f t="shared" si="0"/>
        <v>-3603.12</v>
      </c>
      <c r="M5" s="4">
        <f t="shared" si="0"/>
        <v>0</v>
      </c>
      <c r="N5" s="4">
        <f t="shared" si="0"/>
        <v>0</v>
      </c>
      <c r="O5" s="4">
        <f t="shared" si="0"/>
        <v>33769</v>
      </c>
      <c r="P5" s="4">
        <f t="shared" si="0"/>
        <v>5673.3997999999974</v>
      </c>
      <c r="Q5" s="4">
        <f t="shared" si="0"/>
        <v>14484.996200000003</v>
      </c>
      <c r="R5" s="4">
        <f t="shared" si="0"/>
        <v>14623.2</v>
      </c>
      <c r="S5" s="1"/>
      <c r="T5" s="1"/>
      <c r="U5" s="4">
        <f t="shared" ref="U5:AD5" si="1">SUM(U6:U498)</f>
        <v>7452.8320000000012</v>
      </c>
      <c r="V5" s="4">
        <f t="shared" si="1"/>
        <v>5285.36</v>
      </c>
      <c r="W5" s="4">
        <f t="shared" si="1"/>
        <v>6236.5399999999991</v>
      </c>
      <c r="X5" s="4">
        <f t="shared" si="1"/>
        <v>5458.1800000000021</v>
      </c>
      <c r="Y5" s="4">
        <f t="shared" si="1"/>
        <v>4722.08</v>
      </c>
      <c r="Z5" s="4">
        <f t="shared" si="1"/>
        <v>5291.8</v>
      </c>
      <c r="AA5" s="4">
        <f t="shared" si="1"/>
        <v>5920.54</v>
      </c>
      <c r="AB5" s="4">
        <f t="shared" si="1"/>
        <v>2795.46</v>
      </c>
      <c r="AC5" s="4">
        <f t="shared" si="1"/>
        <v>5853.0200000000023</v>
      </c>
      <c r="AD5" s="4">
        <f t="shared" si="1"/>
        <v>5435.3999999999987</v>
      </c>
      <c r="AE5" s="1"/>
      <c r="AF5" s="4">
        <f>SUM(AF6:AF498)</f>
        <v>6999.7121999999999</v>
      </c>
      <c r="AG5" s="7"/>
      <c r="AH5" s="11">
        <f>SUM(AH6:AH498)</f>
        <v>1612</v>
      </c>
      <c r="AI5" s="4">
        <f>SUM(AI6:AI498)</f>
        <v>7113.6799999999994</v>
      </c>
      <c r="AJ5" s="1"/>
      <c r="AK5" s="1"/>
      <c r="AL5" s="11">
        <f>SUM(AL6:AL498)</f>
        <v>19.146825396825395</v>
      </c>
      <c r="AM5" s="4">
        <f>SUM(AM6:AM498)</f>
        <v>2173.0797999999995</v>
      </c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4" t="s">
        <v>41</v>
      </c>
      <c r="B6" s="14" t="s">
        <v>42</v>
      </c>
      <c r="C6" s="14">
        <v>182</v>
      </c>
      <c r="D6" s="14">
        <v>1</v>
      </c>
      <c r="E6" s="19">
        <v>155</v>
      </c>
      <c r="F6" s="19">
        <v>27</v>
      </c>
      <c r="G6" s="15">
        <v>0</v>
      </c>
      <c r="H6" s="14"/>
      <c r="I6" s="14" t="s">
        <v>43</v>
      </c>
      <c r="J6" s="14" t="s">
        <v>44</v>
      </c>
      <c r="K6" s="14">
        <v>157</v>
      </c>
      <c r="L6" s="14">
        <f t="shared" ref="L6:L37" si="2">E6-K6</f>
        <v>-2</v>
      </c>
      <c r="M6" s="14"/>
      <c r="N6" s="14"/>
      <c r="O6" s="14"/>
      <c r="P6" s="14">
        <f t="shared" ref="P6:P37" si="3">E6/5</f>
        <v>31</v>
      </c>
      <c r="Q6" s="16"/>
      <c r="R6" s="16"/>
      <c r="S6" s="14">
        <f t="shared" ref="S6:S37" si="4">(F6+O6+R6)/P6</f>
        <v>0.87096774193548387</v>
      </c>
      <c r="T6" s="14">
        <f t="shared" ref="T6:T37" si="5">(F6+O6)/P6</f>
        <v>0.87096774193548387</v>
      </c>
      <c r="U6" s="14">
        <v>6.4</v>
      </c>
      <c r="V6" s="14">
        <v>10.8</v>
      </c>
      <c r="W6" s="14">
        <v>17.600000000000001</v>
      </c>
      <c r="X6" s="14">
        <v>13.2</v>
      </c>
      <c r="Y6" s="14">
        <v>11.8</v>
      </c>
      <c r="Z6" s="14">
        <v>26</v>
      </c>
      <c r="AA6" s="14">
        <v>33.6</v>
      </c>
      <c r="AB6" s="14">
        <v>7</v>
      </c>
      <c r="AC6" s="14">
        <v>26.6</v>
      </c>
      <c r="AD6" s="14">
        <v>38</v>
      </c>
      <c r="AE6" s="14"/>
      <c r="AF6" s="14"/>
      <c r="AG6" s="15"/>
      <c r="AH6" s="17"/>
      <c r="AI6" s="14"/>
      <c r="AJ6" s="14"/>
      <c r="AK6" s="14"/>
      <c r="AL6" s="17"/>
      <c r="AM6" s="1">
        <f>P6*G6</f>
        <v>0</v>
      </c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4" t="s">
        <v>45</v>
      </c>
      <c r="B7" s="14" t="s">
        <v>42</v>
      </c>
      <c r="C7" s="14">
        <v>178</v>
      </c>
      <c r="D7" s="14">
        <v>8</v>
      </c>
      <c r="E7" s="19">
        <v>155</v>
      </c>
      <c r="F7" s="19">
        <v>27</v>
      </c>
      <c r="G7" s="15">
        <v>0</v>
      </c>
      <c r="H7" s="14"/>
      <c r="I7" s="14" t="s">
        <v>43</v>
      </c>
      <c r="J7" s="14" t="s">
        <v>46</v>
      </c>
      <c r="K7" s="14">
        <v>160</v>
      </c>
      <c r="L7" s="14">
        <f t="shared" si="2"/>
        <v>-5</v>
      </c>
      <c r="M7" s="14"/>
      <c r="N7" s="14"/>
      <c r="O7" s="14"/>
      <c r="P7" s="14">
        <f t="shared" si="3"/>
        <v>31</v>
      </c>
      <c r="Q7" s="16"/>
      <c r="R7" s="16"/>
      <c r="S7" s="14">
        <f t="shared" si="4"/>
        <v>0.87096774193548387</v>
      </c>
      <c r="T7" s="14">
        <f t="shared" si="5"/>
        <v>0.87096774193548387</v>
      </c>
      <c r="U7" s="14">
        <v>4.4000000000000004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>
        <f t="shared" ref="AM7:AM70" si="6">P7*G7</f>
        <v>0</v>
      </c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4" t="s">
        <v>47</v>
      </c>
      <c r="B8" s="14" t="s">
        <v>42</v>
      </c>
      <c r="C8" s="14">
        <v>148</v>
      </c>
      <c r="D8" s="14"/>
      <c r="E8" s="14"/>
      <c r="F8" s="19">
        <v>148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1.4</v>
      </c>
      <c r="Z8" s="14">
        <v>24</v>
      </c>
      <c r="AA8" s="14">
        <v>25.6</v>
      </c>
      <c r="AB8" s="14">
        <v>6.8</v>
      </c>
      <c r="AC8" s="14">
        <v>22.6</v>
      </c>
      <c r="AD8" s="14">
        <v>29.8</v>
      </c>
      <c r="AE8" s="14"/>
      <c r="AF8" s="14"/>
      <c r="AG8" s="15"/>
      <c r="AH8" s="17"/>
      <c r="AI8" s="14"/>
      <c r="AJ8" s="14"/>
      <c r="AK8" s="14"/>
      <c r="AL8" s="17"/>
      <c r="AM8" s="1">
        <f t="shared" si="6"/>
        <v>0</v>
      </c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4" t="s">
        <v>49</v>
      </c>
      <c r="B9" s="14" t="s">
        <v>42</v>
      </c>
      <c r="C9" s="14">
        <v>196</v>
      </c>
      <c r="D9" s="14"/>
      <c r="E9" s="14"/>
      <c r="F9" s="19">
        <v>196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0.8</v>
      </c>
      <c r="Z9" s="14">
        <v>3</v>
      </c>
      <c r="AA9" s="14">
        <v>6.6</v>
      </c>
      <c r="AB9" s="14">
        <v>1</v>
      </c>
      <c r="AC9" s="14">
        <v>2.8</v>
      </c>
      <c r="AD9" s="14">
        <v>0.6</v>
      </c>
      <c r="AE9" s="14"/>
      <c r="AF9" s="14"/>
      <c r="AG9" s="15"/>
      <c r="AH9" s="17"/>
      <c r="AI9" s="14"/>
      <c r="AJ9" s="14"/>
      <c r="AK9" s="14"/>
      <c r="AL9" s="17"/>
      <c r="AM9" s="1">
        <f t="shared" si="6"/>
        <v>0</v>
      </c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51</v>
      </c>
      <c r="B10" s="1" t="s">
        <v>42</v>
      </c>
      <c r="C10" s="1">
        <v>779</v>
      </c>
      <c r="D10" s="1">
        <v>29</v>
      </c>
      <c r="E10" s="1">
        <v>296</v>
      </c>
      <c r="F10" s="1">
        <v>501</v>
      </c>
      <c r="G10" s="7">
        <v>0.3</v>
      </c>
      <c r="H10" s="1">
        <v>180</v>
      </c>
      <c r="I10" s="1" t="s">
        <v>52</v>
      </c>
      <c r="J10" s="1"/>
      <c r="K10" s="1">
        <v>315</v>
      </c>
      <c r="L10" s="1">
        <f t="shared" si="2"/>
        <v>-19</v>
      </c>
      <c r="M10" s="1"/>
      <c r="N10" s="1"/>
      <c r="O10" s="1">
        <v>336</v>
      </c>
      <c r="P10" s="1">
        <f t="shared" si="3"/>
        <v>59.2</v>
      </c>
      <c r="Q10" s="5"/>
      <c r="R10" s="5">
        <f>AG10*AH10</f>
        <v>0</v>
      </c>
      <c r="S10" s="1">
        <f t="shared" si="4"/>
        <v>14.138513513513512</v>
      </c>
      <c r="T10" s="1">
        <f t="shared" si="5"/>
        <v>14.138513513513512</v>
      </c>
      <c r="U10" s="1">
        <v>80.599999999999994</v>
      </c>
      <c r="V10" s="1">
        <v>35.4</v>
      </c>
      <c r="W10" s="1">
        <v>93.8</v>
      </c>
      <c r="X10" s="1">
        <v>69.8</v>
      </c>
      <c r="Y10" s="1">
        <v>62.2</v>
      </c>
      <c r="Z10" s="1">
        <v>58.8</v>
      </c>
      <c r="AA10" s="1">
        <v>61.8</v>
      </c>
      <c r="AB10" s="1">
        <v>29.2</v>
      </c>
      <c r="AC10" s="1">
        <v>82.4</v>
      </c>
      <c r="AD10" s="1">
        <v>66.400000000000006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>
        <f t="shared" si="6"/>
        <v>17.760000000000002</v>
      </c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4" t="s">
        <v>53</v>
      </c>
      <c r="B11" s="14" t="s">
        <v>42</v>
      </c>
      <c r="C11" s="14"/>
      <c r="D11" s="14">
        <v>1848</v>
      </c>
      <c r="E11" s="19">
        <v>16</v>
      </c>
      <c r="F11" s="19">
        <v>1832</v>
      </c>
      <c r="G11" s="15">
        <v>0</v>
      </c>
      <c r="H11" s="14">
        <v>180</v>
      </c>
      <c r="I11" s="18" t="s">
        <v>54</v>
      </c>
      <c r="J11" s="18" t="s">
        <v>55</v>
      </c>
      <c r="K11" s="14">
        <v>16</v>
      </c>
      <c r="L11" s="14">
        <f t="shared" si="2"/>
        <v>0</v>
      </c>
      <c r="M11" s="14"/>
      <c r="N11" s="14"/>
      <c r="O11" s="14"/>
      <c r="P11" s="14">
        <f t="shared" si="3"/>
        <v>3.2</v>
      </c>
      <c r="Q11" s="16"/>
      <c r="R11" s="16"/>
      <c r="S11" s="14">
        <f t="shared" si="4"/>
        <v>572.5</v>
      </c>
      <c r="T11" s="14">
        <f t="shared" si="5"/>
        <v>572.5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/>
      <c r="AF11" s="14"/>
      <c r="AG11" s="15"/>
      <c r="AH11" s="17"/>
      <c r="AI11" s="14"/>
      <c r="AJ11" s="14"/>
      <c r="AK11" s="14"/>
      <c r="AL11" s="17"/>
      <c r="AM11" s="1">
        <f t="shared" si="6"/>
        <v>0</v>
      </c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56</v>
      </c>
      <c r="B12" s="1" t="s">
        <v>42</v>
      </c>
      <c r="C12" s="1">
        <v>233</v>
      </c>
      <c r="D12" s="1">
        <v>1837</v>
      </c>
      <c r="E12" s="1">
        <v>675</v>
      </c>
      <c r="F12" s="1">
        <v>1375</v>
      </c>
      <c r="G12" s="7">
        <v>0.28000000000000003</v>
      </c>
      <c r="H12" s="1">
        <v>180</v>
      </c>
      <c r="I12" s="1" t="s">
        <v>57</v>
      </c>
      <c r="J12" s="1"/>
      <c r="K12" s="1">
        <v>755</v>
      </c>
      <c r="L12" s="1">
        <f t="shared" si="2"/>
        <v>-80</v>
      </c>
      <c r="M12" s="1"/>
      <c r="N12" s="1"/>
      <c r="O12" s="1">
        <v>168</v>
      </c>
      <c r="P12" s="1">
        <f t="shared" si="3"/>
        <v>135</v>
      </c>
      <c r="Q12" s="5">
        <f t="shared" ref="Q12" si="7">14*P12-O12-F12</f>
        <v>347</v>
      </c>
      <c r="R12" s="5">
        <f>AG12*AH12</f>
        <v>336</v>
      </c>
      <c r="S12" s="1">
        <f t="shared" si="4"/>
        <v>13.918518518518519</v>
      </c>
      <c r="T12" s="1">
        <f t="shared" si="5"/>
        <v>11.42962962962963</v>
      </c>
      <c r="U12" s="1">
        <v>170.2</v>
      </c>
      <c r="V12" s="1">
        <v>160.6</v>
      </c>
      <c r="W12" s="1">
        <v>137.6</v>
      </c>
      <c r="X12" s="1">
        <v>93.4</v>
      </c>
      <c r="Y12" s="1">
        <v>92.4</v>
      </c>
      <c r="Z12" s="1">
        <v>111.6</v>
      </c>
      <c r="AA12" s="1">
        <v>110</v>
      </c>
      <c r="AB12" s="1">
        <v>68.599999999999994</v>
      </c>
      <c r="AC12" s="1">
        <v>100.6</v>
      </c>
      <c r="AD12" s="1">
        <v>99.6</v>
      </c>
      <c r="AE12" s="1"/>
      <c r="AF12" s="1">
        <f>G12*Q12</f>
        <v>97.160000000000011</v>
      </c>
      <c r="AG12" s="7">
        <v>6</v>
      </c>
      <c r="AH12" s="9">
        <f>MROUND(Q12, AG12*AJ12)/AG12</f>
        <v>56</v>
      </c>
      <c r="AI12" s="1">
        <f>AH12*AG12*G12</f>
        <v>94.080000000000013</v>
      </c>
      <c r="AJ12" s="1">
        <v>14</v>
      </c>
      <c r="AK12" s="1">
        <v>140</v>
      </c>
      <c r="AL12" s="9">
        <f>AH12/AK12</f>
        <v>0.4</v>
      </c>
      <c r="AM12" s="1">
        <f t="shared" si="6"/>
        <v>37.800000000000004</v>
      </c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58</v>
      </c>
      <c r="B13" s="1" t="s">
        <v>42</v>
      </c>
      <c r="C13" s="1">
        <v>510</v>
      </c>
      <c r="D13" s="1">
        <v>2046</v>
      </c>
      <c r="E13" s="1">
        <v>640</v>
      </c>
      <c r="F13" s="1">
        <v>1878</v>
      </c>
      <c r="G13" s="7">
        <v>0.24</v>
      </c>
      <c r="H13" s="1">
        <v>180</v>
      </c>
      <c r="I13" s="1" t="s">
        <v>59</v>
      </c>
      <c r="J13" s="1"/>
      <c r="K13" s="1">
        <v>668</v>
      </c>
      <c r="L13" s="1">
        <f t="shared" si="2"/>
        <v>-28</v>
      </c>
      <c r="M13" s="1"/>
      <c r="N13" s="1"/>
      <c r="O13" s="1">
        <v>0</v>
      </c>
      <c r="P13" s="1">
        <f t="shared" si="3"/>
        <v>128</v>
      </c>
      <c r="Q13" s="5"/>
      <c r="R13" s="5">
        <f>AG13*AH13</f>
        <v>0</v>
      </c>
      <c r="S13" s="1">
        <f t="shared" si="4"/>
        <v>14.671875</v>
      </c>
      <c r="T13" s="1">
        <f t="shared" si="5"/>
        <v>14.671875</v>
      </c>
      <c r="U13" s="1">
        <v>174.2</v>
      </c>
      <c r="V13" s="1">
        <v>176.4</v>
      </c>
      <c r="W13" s="1">
        <v>168.2</v>
      </c>
      <c r="X13" s="1">
        <v>137.6</v>
      </c>
      <c r="Y13" s="1">
        <v>103</v>
      </c>
      <c r="Z13" s="1">
        <v>132.6</v>
      </c>
      <c r="AA13" s="1">
        <v>126.2</v>
      </c>
      <c r="AB13" s="1">
        <v>71.2</v>
      </c>
      <c r="AC13" s="1">
        <v>131.4</v>
      </c>
      <c r="AD13" s="1">
        <v>134.80000000000001</v>
      </c>
      <c r="AE13" s="1"/>
      <c r="AF13" s="1">
        <f>G13*Q13</f>
        <v>0</v>
      </c>
      <c r="AG13" s="7">
        <v>12</v>
      </c>
      <c r="AH13" s="9">
        <f>MROUND(Q13, AG13*AJ13)/AG13</f>
        <v>0</v>
      </c>
      <c r="AI13" s="1">
        <f>AH13*AG13*G13</f>
        <v>0</v>
      </c>
      <c r="AJ13" s="1">
        <v>14</v>
      </c>
      <c r="AK13" s="1">
        <v>70</v>
      </c>
      <c r="AL13" s="9">
        <f>AH13/AK13</f>
        <v>0</v>
      </c>
      <c r="AM13" s="1">
        <f t="shared" si="6"/>
        <v>30.72</v>
      </c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4" t="s">
        <v>60</v>
      </c>
      <c r="B14" s="14" t="s">
        <v>42</v>
      </c>
      <c r="C14" s="14">
        <v>-3</v>
      </c>
      <c r="D14" s="14"/>
      <c r="E14" s="14"/>
      <c r="F14" s="19">
        <v>-3</v>
      </c>
      <c r="G14" s="15">
        <v>0</v>
      </c>
      <c r="H14" s="14"/>
      <c r="I14" s="14" t="s">
        <v>54</v>
      </c>
      <c r="J14" s="14" t="s">
        <v>61</v>
      </c>
      <c r="K14" s="14"/>
      <c r="L14" s="14">
        <f t="shared" si="2"/>
        <v>0</v>
      </c>
      <c r="M14" s="14"/>
      <c r="N14" s="14"/>
      <c r="O14" s="14"/>
      <c r="P14" s="14">
        <f t="shared" si="3"/>
        <v>0</v>
      </c>
      <c r="Q14" s="16"/>
      <c r="R14" s="16"/>
      <c r="S14" s="14" t="e">
        <f t="shared" si="4"/>
        <v>#DIV/0!</v>
      </c>
      <c r="T14" s="14" t="e">
        <f t="shared" si="5"/>
        <v>#DIV/0!</v>
      </c>
      <c r="U14" s="14">
        <v>0</v>
      </c>
      <c r="V14" s="14">
        <v>0.6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>
        <f t="shared" si="6"/>
        <v>0</v>
      </c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61</v>
      </c>
      <c r="B15" s="1" t="s">
        <v>42</v>
      </c>
      <c r="C15" s="1">
        <v>1100</v>
      </c>
      <c r="D15" s="1">
        <v>114</v>
      </c>
      <c r="E15" s="1">
        <v>968</v>
      </c>
      <c r="F15" s="19">
        <f>178+F14</f>
        <v>175</v>
      </c>
      <c r="G15" s="7">
        <v>0.24</v>
      </c>
      <c r="H15" s="1">
        <v>180</v>
      </c>
      <c r="I15" s="1" t="s">
        <v>62</v>
      </c>
      <c r="J15" s="1"/>
      <c r="K15" s="1">
        <v>1020</v>
      </c>
      <c r="L15" s="1">
        <f t="shared" si="2"/>
        <v>-52</v>
      </c>
      <c r="M15" s="1"/>
      <c r="N15" s="1"/>
      <c r="O15" s="1">
        <v>2184</v>
      </c>
      <c r="P15" s="1">
        <f t="shared" si="3"/>
        <v>193.6</v>
      </c>
      <c r="Q15" s="5">
        <f t="shared" ref="Q15" si="8">14*P15-O15-F15</f>
        <v>351.40000000000009</v>
      </c>
      <c r="R15" s="5">
        <f>AG15*AH15</f>
        <v>336</v>
      </c>
      <c r="S15" s="1">
        <f t="shared" si="4"/>
        <v>13.920454545454547</v>
      </c>
      <c r="T15" s="1">
        <f t="shared" si="5"/>
        <v>12.184917355371901</v>
      </c>
      <c r="U15" s="1">
        <v>291.8</v>
      </c>
      <c r="V15" s="1">
        <v>130</v>
      </c>
      <c r="W15" s="1">
        <v>224.8</v>
      </c>
      <c r="X15" s="1">
        <v>220</v>
      </c>
      <c r="Y15" s="1">
        <v>174.6</v>
      </c>
      <c r="Z15" s="1">
        <v>171.4</v>
      </c>
      <c r="AA15" s="1">
        <v>192</v>
      </c>
      <c r="AB15" s="1">
        <v>114.4</v>
      </c>
      <c r="AC15" s="1">
        <v>214.6</v>
      </c>
      <c r="AD15" s="1">
        <v>200.8</v>
      </c>
      <c r="AE15" s="1"/>
      <c r="AF15" s="1">
        <f>G15*Q15</f>
        <v>84.336000000000013</v>
      </c>
      <c r="AG15" s="7">
        <v>12</v>
      </c>
      <c r="AH15" s="9">
        <f>MROUND(Q15, AG15*AJ15)/AG15</f>
        <v>28</v>
      </c>
      <c r="AI15" s="1">
        <f>AH15*AG15*G15</f>
        <v>80.64</v>
      </c>
      <c r="AJ15" s="1">
        <v>14</v>
      </c>
      <c r="AK15" s="1">
        <v>70</v>
      </c>
      <c r="AL15" s="9">
        <f>AH15/AK15</f>
        <v>0.4</v>
      </c>
      <c r="AM15" s="1">
        <f t="shared" si="6"/>
        <v>46.463999999999999</v>
      </c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63</v>
      </c>
      <c r="B16" s="1" t="s">
        <v>42</v>
      </c>
      <c r="C16" s="1">
        <v>682</v>
      </c>
      <c r="D16" s="1">
        <v>733</v>
      </c>
      <c r="E16" s="1">
        <v>542</v>
      </c>
      <c r="F16" s="1">
        <v>860</v>
      </c>
      <c r="G16" s="7">
        <v>0.24</v>
      </c>
      <c r="H16" s="1">
        <v>180</v>
      </c>
      <c r="I16" s="1" t="s">
        <v>64</v>
      </c>
      <c r="J16" s="1"/>
      <c r="K16" s="1">
        <v>567</v>
      </c>
      <c r="L16" s="1">
        <f t="shared" si="2"/>
        <v>-25</v>
      </c>
      <c r="M16" s="1"/>
      <c r="N16" s="1"/>
      <c r="O16" s="1">
        <v>1344</v>
      </c>
      <c r="P16" s="1">
        <f t="shared" si="3"/>
        <v>108.4</v>
      </c>
      <c r="Q16" s="5"/>
      <c r="R16" s="5">
        <f>AG16*AH16</f>
        <v>0</v>
      </c>
      <c r="S16" s="1">
        <f t="shared" si="4"/>
        <v>20.332103321033209</v>
      </c>
      <c r="T16" s="1">
        <f t="shared" si="5"/>
        <v>20.332103321033209</v>
      </c>
      <c r="U16" s="1">
        <v>213</v>
      </c>
      <c r="V16" s="1">
        <v>127.2</v>
      </c>
      <c r="W16" s="1">
        <v>175.6</v>
      </c>
      <c r="X16" s="1">
        <v>141</v>
      </c>
      <c r="Y16" s="1">
        <v>104.6</v>
      </c>
      <c r="Z16" s="1">
        <v>144.19999999999999</v>
      </c>
      <c r="AA16" s="1">
        <v>141.80000000000001</v>
      </c>
      <c r="AB16" s="1">
        <v>70.400000000000006</v>
      </c>
      <c r="AC16" s="1">
        <v>123.6</v>
      </c>
      <c r="AD16" s="1">
        <v>97</v>
      </c>
      <c r="AE16" s="1"/>
      <c r="AF16" s="1">
        <f>G16*Q16</f>
        <v>0</v>
      </c>
      <c r="AG16" s="7">
        <v>12</v>
      </c>
      <c r="AH16" s="9">
        <f>MROUND(Q16, AG16*AJ16)/AG16</f>
        <v>0</v>
      </c>
      <c r="AI16" s="1">
        <f>AH16*AG16*G16</f>
        <v>0</v>
      </c>
      <c r="AJ16" s="1">
        <v>14</v>
      </c>
      <c r="AK16" s="1">
        <v>70</v>
      </c>
      <c r="AL16" s="9">
        <f>AH16/AK16</f>
        <v>0</v>
      </c>
      <c r="AM16" s="1">
        <f t="shared" si="6"/>
        <v>26.016000000000002</v>
      </c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4" t="s">
        <v>65</v>
      </c>
      <c r="B17" s="14" t="s">
        <v>42</v>
      </c>
      <c r="C17" s="14"/>
      <c r="D17" s="14">
        <v>784</v>
      </c>
      <c r="E17" s="19">
        <v>3</v>
      </c>
      <c r="F17" s="19">
        <v>781</v>
      </c>
      <c r="G17" s="15">
        <v>0</v>
      </c>
      <c r="H17" s="14">
        <v>180</v>
      </c>
      <c r="I17" s="18" t="s">
        <v>54</v>
      </c>
      <c r="J17" s="18" t="s">
        <v>66</v>
      </c>
      <c r="K17" s="14">
        <v>3</v>
      </c>
      <c r="L17" s="14">
        <f t="shared" si="2"/>
        <v>0</v>
      </c>
      <c r="M17" s="14"/>
      <c r="N17" s="14"/>
      <c r="O17" s="14"/>
      <c r="P17" s="14">
        <f t="shared" si="3"/>
        <v>0.6</v>
      </c>
      <c r="Q17" s="16"/>
      <c r="R17" s="16"/>
      <c r="S17" s="14">
        <f t="shared" si="4"/>
        <v>1301.6666666666667</v>
      </c>
      <c r="T17" s="14">
        <f t="shared" si="5"/>
        <v>1301.6666666666667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/>
      <c r="AF17" s="14"/>
      <c r="AG17" s="15"/>
      <c r="AH17" s="17"/>
      <c r="AI17" s="14"/>
      <c r="AJ17" s="14"/>
      <c r="AK17" s="14"/>
      <c r="AL17" s="17"/>
      <c r="AM17" s="1">
        <f t="shared" si="6"/>
        <v>0</v>
      </c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44</v>
      </c>
      <c r="B18" s="1" t="s">
        <v>42</v>
      </c>
      <c r="C18" s="1">
        <v>370</v>
      </c>
      <c r="D18" s="1">
        <v>378</v>
      </c>
      <c r="E18" s="19">
        <f>525+E6</f>
        <v>680</v>
      </c>
      <c r="F18" s="19">
        <f>189+F6</f>
        <v>216</v>
      </c>
      <c r="G18" s="7">
        <v>0.24</v>
      </c>
      <c r="H18" s="1">
        <v>180</v>
      </c>
      <c r="I18" s="1" t="s">
        <v>67</v>
      </c>
      <c r="J18" s="1"/>
      <c r="K18" s="1">
        <v>562</v>
      </c>
      <c r="L18" s="1">
        <f t="shared" si="2"/>
        <v>118</v>
      </c>
      <c r="M18" s="1"/>
      <c r="N18" s="1"/>
      <c r="O18" s="1">
        <v>1512</v>
      </c>
      <c r="P18" s="1">
        <f t="shared" si="3"/>
        <v>136</v>
      </c>
      <c r="Q18" s="5">
        <f t="shared" ref="Q18" si="9">14*P18-O18-F18</f>
        <v>176</v>
      </c>
      <c r="R18" s="5">
        <f>AG18*AH18</f>
        <v>168</v>
      </c>
      <c r="S18" s="1">
        <f t="shared" si="4"/>
        <v>13.941176470588236</v>
      </c>
      <c r="T18" s="1">
        <f t="shared" si="5"/>
        <v>12.705882352941176</v>
      </c>
      <c r="U18" s="1">
        <v>211.8</v>
      </c>
      <c r="V18" s="1">
        <v>99.8</v>
      </c>
      <c r="W18" s="1">
        <v>155.80000000000001</v>
      </c>
      <c r="X18" s="1">
        <v>138.19999999999999</v>
      </c>
      <c r="Y18" s="1">
        <v>125</v>
      </c>
      <c r="Z18" s="1">
        <v>133.19999999999999</v>
      </c>
      <c r="AA18" s="1">
        <v>230.8</v>
      </c>
      <c r="AB18" s="1">
        <v>87.8</v>
      </c>
      <c r="AC18" s="1">
        <v>156.6</v>
      </c>
      <c r="AD18" s="1">
        <v>173</v>
      </c>
      <c r="AE18" s="1"/>
      <c r="AF18" s="1">
        <f>G18*Q18</f>
        <v>42.239999999999995</v>
      </c>
      <c r="AG18" s="7">
        <v>12</v>
      </c>
      <c r="AH18" s="9">
        <f>MROUND(Q18, AG18*AJ18)/AG18</f>
        <v>14</v>
      </c>
      <c r="AI18" s="1">
        <f>AH18*AG18*G18</f>
        <v>40.32</v>
      </c>
      <c r="AJ18" s="1">
        <v>14</v>
      </c>
      <c r="AK18" s="1">
        <v>70</v>
      </c>
      <c r="AL18" s="9">
        <f>AH18/AK18</f>
        <v>0.2</v>
      </c>
      <c r="AM18" s="1">
        <f t="shared" si="6"/>
        <v>32.64</v>
      </c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3" t="s">
        <v>66</v>
      </c>
      <c r="B19" s="1" t="s">
        <v>42</v>
      </c>
      <c r="C19" s="1">
        <v>112</v>
      </c>
      <c r="D19" s="1">
        <v>120</v>
      </c>
      <c r="E19" s="19">
        <f>138+E17</f>
        <v>141</v>
      </c>
      <c r="F19" s="19">
        <f>23+F17</f>
        <v>804</v>
      </c>
      <c r="G19" s="7">
        <v>0.48</v>
      </c>
      <c r="H19" s="1">
        <v>180</v>
      </c>
      <c r="I19" s="1" t="s">
        <v>68</v>
      </c>
      <c r="J19" s="1"/>
      <c r="K19" s="1">
        <v>304</v>
      </c>
      <c r="L19" s="1">
        <f t="shared" si="2"/>
        <v>-163</v>
      </c>
      <c r="M19" s="1"/>
      <c r="N19" s="1"/>
      <c r="O19" s="1">
        <v>784</v>
      </c>
      <c r="P19" s="1">
        <f t="shared" si="3"/>
        <v>28.2</v>
      </c>
      <c r="Q19" s="5"/>
      <c r="R19" s="5">
        <f>AG19*AH19</f>
        <v>0</v>
      </c>
      <c r="S19" s="1">
        <f t="shared" si="4"/>
        <v>56.312056737588655</v>
      </c>
      <c r="T19" s="1">
        <f t="shared" si="5"/>
        <v>56.312056737588655</v>
      </c>
      <c r="U19" s="1">
        <v>130</v>
      </c>
      <c r="V19" s="1">
        <v>84.6</v>
      </c>
      <c r="W19" s="1">
        <v>85.6</v>
      </c>
      <c r="X19" s="1">
        <v>42.8</v>
      </c>
      <c r="Y19" s="1">
        <v>43.2</v>
      </c>
      <c r="Z19" s="1">
        <v>86.8</v>
      </c>
      <c r="AA19" s="1">
        <v>53</v>
      </c>
      <c r="AB19" s="1">
        <v>11.8</v>
      </c>
      <c r="AC19" s="1">
        <v>86.2</v>
      </c>
      <c r="AD19" s="1">
        <v>77.2</v>
      </c>
      <c r="AE19" s="22" t="s">
        <v>90</v>
      </c>
      <c r="AF19" s="1">
        <f>G19*Q19</f>
        <v>0</v>
      </c>
      <c r="AG19" s="7">
        <v>8</v>
      </c>
      <c r="AH19" s="9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9">
        <f>AH19/AK19</f>
        <v>0</v>
      </c>
      <c r="AM19" s="1">
        <f t="shared" si="6"/>
        <v>13.536</v>
      </c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69</v>
      </c>
      <c r="B20" s="1" t="s">
        <v>42</v>
      </c>
      <c r="C20" s="1">
        <v>3</v>
      </c>
      <c r="D20" s="1">
        <v>2746</v>
      </c>
      <c r="E20" s="1">
        <v>572</v>
      </c>
      <c r="F20" s="1">
        <v>2169</v>
      </c>
      <c r="G20" s="7">
        <v>0.09</v>
      </c>
      <c r="H20" s="1">
        <v>180</v>
      </c>
      <c r="I20" s="1" t="s">
        <v>70</v>
      </c>
      <c r="J20" s="1"/>
      <c r="K20" s="1">
        <v>890</v>
      </c>
      <c r="L20" s="1">
        <f t="shared" si="2"/>
        <v>-318</v>
      </c>
      <c r="M20" s="1"/>
      <c r="N20" s="1"/>
      <c r="O20" s="1">
        <v>0</v>
      </c>
      <c r="P20" s="1">
        <f t="shared" si="3"/>
        <v>114.4</v>
      </c>
      <c r="Q20" s="5"/>
      <c r="R20" s="5">
        <f>AG20*AH20</f>
        <v>0</v>
      </c>
      <c r="S20" s="1">
        <f t="shared" si="4"/>
        <v>18.95979020979021</v>
      </c>
      <c r="T20" s="1">
        <f t="shared" si="5"/>
        <v>18.95979020979021</v>
      </c>
      <c r="U20" s="1">
        <v>151.4</v>
      </c>
      <c r="V20" s="1">
        <v>219.8</v>
      </c>
      <c r="W20" s="1">
        <v>133.6</v>
      </c>
      <c r="X20" s="1">
        <v>125.8</v>
      </c>
      <c r="Y20" s="1">
        <v>120.4</v>
      </c>
      <c r="Z20" s="1">
        <v>184.4</v>
      </c>
      <c r="AA20" s="1">
        <v>151.6</v>
      </c>
      <c r="AB20" s="1">
        <v>91.4</v>
      </c>
      <c r="AC20" s="1">
        <v>192.4</v>
      </c>
      <c r="AD20" s="1">
        <v>144</v>
      </c>
      <c r="AE20" s="1"/>
      <c r="AF20" s="1">
        <f>G20*Q20</f>
        <v>0</v>
      </c>
      <c r="AG20" s="7">
        <v>24</v>
      </c>
      <c r="AH20" s="9">
        <f>MROUND(Q20, AG20*AJ20)/AG20</f>
        <v>0</v>
      </c>
      <c r="AI20" s="1">
        <f>AH20*AG20*G20</f>
        <v>0</v>
      </c>
      <c r="AJ20" s="1">
        <v>14</v>
      </c>
      <c r="AK20" s="1">
        <v>126</v>
      </c>
      <c r="AL20" s="9">
        <f>AH20/AK20</f>
        <v>0</v>
      </c>
      <c r="AM20" s="1">
        <f t="shared" si="6"/>
        <v>10.295999999999999</v>
      </c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71</v>
      </c>
      <c r="B21" s="1" t="s">
        <v>42</v>
      </c>
      <c r="C21" s="1">
        <v>390</v>
      </c>
      <c r="D21" s="1">
        <v>19</v>
      </c>
      <c r="E21" s="1">
        <v>129</v>
      </c>
      <c r="F21" s="1">
        <v>263</v>
      </c>
      <c r="G21" s="7">
        <v>0.36</v>
      </c>
      <c r="H21" s="1">
        <v>180</v>
      </c>
      <c r="I21" s="1" t="s">
        <v>72</v>
      </c>
      <c r="J21" s="1"/>
      <c r="K21" s="1">
        <v>149</v>
      </c>
      <c r="L21" s="1">
        <f t="shared" si="2"/>
        <v>-20</v>
      </c>
      <c r="M21" s="1"/>
      <c r="N21" s="1"/>
      <c r="O21" s="1">
        <v>0</v>
      </c>
      <c r="P21" s="1">
        <f t="shared" si="3"/>
        <v>25.8</v>
      </c>
      <c r="Q21" s="20">
        <v>0</v>
      </c>
      <c r="R21" s="20">
        <f>AG21*AH21</f>
        <v>0</v>
      </c>
      <c r="S21" s="1">
        <f t="shared" si="4"/>
        <v>10.193798449612403</v>
      </c>
      <c r="T21" s="1">
        <f t="shared" si="5"/>
        <v>10.193798449612403</v>
      </c>
      <c r="U21" s="1">
        <v>7.6</v>
      </c>
      <c r="V21" s="1">
        <v>17.8</v>
      </c>
      <c r="W21" s="1">
        <v>33</v>
      </c>
      <c r="X21" s="1">
        <v>26</v>
      </c>
      <c r="Y21" s="1">
        <v>11.6</v>
      </c>
      <c r="Z21" s="1">
        <v>21.2</v>
      </c>
      <c r="AA21" s="1">
        <v>24</v>
      </c>
      <c r="AB21" s="1">
        <v>15</v>
      </c>
      <c r="AC21" s="1">
        <v>23.2</v>
      </c>
      <c r="AD21" s="1">
        <v>21.6</v>
      </c>
      <c r="AE21" s="21" t="s">
        <v>73</v>
      </c>
      <c r="AF21" s="1">
        <f>G21*Q21</f>
        <v>0</v>
      </c>
      <c r="AG21" s="7">
        <v>10</v>
      </c>
      <c r="AH21" s="9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9">
        <f>AH21/AK21</f>
        <v>0</v>
      </c>
      <c r="AM21" s="1">
        <f t="shared" si="6"/>
        <v>9.2880000000000003</v>
      </c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4" t="s">
        <v>74</v>
      </c>
      <c r="B22" s="14" t="s">
        <v>42</v>
      </c>
      <c r="C22" s="14">
        <v>-193</v>
      </c>
      <c r="D22" s="14"/>
      <c r="E22" s="19">
        <v>6</v>
      </c>
      <c r="F22" s="19">
        <v>-199</v>
      </c>
      <c r="G22" s="15">
        <v>0</v>
      </c>
      <c r="H22" s="14"/>
      <c r="I22" s="14" t="s">
        <v>54</v>
      </c>
      <c r="J22" s="14" t="s">
        <v>75</v>
      </c>
      <c r="K22" s="14">
        <v>6</v>
      </c>
      <c r="L22" s="14">
        <f t="shared" si="2"/>
        <v>0</v>
      </c>
      <c r="M22" s="14"/>
      <c r="N22" s="14"/>
      <c r="O22" s="14"/>
      <c r="P22" s="14">
        <f t="shared" si="3"/>
        <v>1.2</v>
      </c>
      <c r="Q22" s="16"/>
      <c r="R22" s="16"/>
      <c r="S22" s="14">
        <f t="shared" si="4"/>
        <v>-165.83333333333334</v>
      </c>
      <c r="T22" s="14">
        <f t="shared" si="5"/>
        <v>-165.83333333333334</v>
      </c>
      <c r="U22" s="14">
        <v>1.2</v>
      </c>
      <c r="V22" s="14">
        <v>0</v>
      </c>
      <c r="W22" s="14">
        <v>13.2</v>
      </c>
      <c r="X22" s="14">
        <v>15.6</v>
      </c>
      <c r="Y22" s="14">
        <v>3.2</v>
      </c>
      <c r="Z22" s="14">
        <v>8.6</v>
      </c>
      <c r="AA22" s="14">
        <v>11.2</v>
      </c>
      <c r="AB22" s="14">
        <v>0</v>
      </c>
      <c r="AC22" s="14">
        <v>6.4</v>
      </c>
      <c r="AD22" s="14">
        <v>6.8</v>
      </c>
      <c r="AE22" s="14"/>
      <c r="AF22" s="14"/>
      <c r="AG22" s="15"/>
      <c r="AH22" s="17"/>
      <c r="AI22" s="14"/>
      <c r="AJ22" s="14"/>
      <c r="AK22" s="14"/>
      <c r="AL22" s="17"/>
      <c r="AM22" s="1">
        <f t="shared" si="6"/>
        <v>0</v>
      </c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75</v>
      </c>
      <c r="B23" s="1" t="s">
        <v>42</v>
      </c>
      <c r="C23" s="1">
        <v>629</v>
      </c>
      <c r="D23" s="1">
        <v>59</v>
      </c>
      <c r="E23" s="19">
        <f>369+E22</f>
        <v>375</v>
      </c>
      <c r="F23" s="19">
        <f>287+F22</f>
        <v>88</v>
      </c>
      <c r="G23" s="7">
        <v>0.2</v>
      </c>
      <c r="H23" s="1">
        <v>180</v>
      </c>
      <c r="I23" s="1" t="s">
        <v>76</v>
      </c>
      <c r="J23" s="1"/>
      <c r="K23" s="1">
        <v>401</v>
      </c>
      <c r="L23" s="1">
        <f t="shared" si="2"/>
        <v>-26</v>
      </c>
      <c r="M23" s="1"/>
      <c r="N23" s="1"/>
      <c r="O23" s="1">
        <v>840</v>
      </c>
      <c r="P23" s="1">
        <f t="shared" si="3"/>
        <v>75</v>
      </c>
      <c r="Q23" s="5">
        <f t="shared" ref="Q23:Q24" si="10">14*P23-O23-F23</f>
        <v>122</v>
      </c>
      <c r="R23" s="5">
        <f>AG23*AH23</f>
        <v>168</v>
      </c>
      <c r="S23" s="1">
        <f t="shared" si="4"/>
        <v>14.613333333333333</v>
      </c>
      <c r="T23" s="1">
        <f t="shared" si="5"/>
        <v>12.373333333333333</v>
      </c>
      <c r="U23" s="1">
        <v>132.80000000000001</v>
      </c>
      <c r="V23" s="1">
        <v>56.6</v>
      </c>
      <c r="W23" s="1">
        <v>88.2</v>
      </c>
      <c r="X23" s="1">
        <v>71</v>
      </c>
      <c r="Y23" s="1">
        <v>60.4</v>
      </c>
      <c r="Z23" s="1">
        <v>60.8</v>
      </c>
      <c r="AA23" s="1">
        <v>62.4</v>
      </c>
      <c r="AB23" s="1">
        <v>19.2</v>
      </c>
      <c r="AC23" s="1">
        <v>68.599999999999994</v>
      </c>
      <c r="AD23" s="1">
        <v>76.8</v>
      </c>
      <c r="AE23" s="1"/>
      <c r="AF23" s="1">
        <f>G23*Q23</f>
        <v>24.400000000000002</v>
      </c>
      <c r="AG23" s="7">
        <v>12</v>
      </c>
      <c r="AH23" s="9">
        <f>MROUND(Q23, AG23*AJ23)/AG23</f>
        <v>14</v>
      </c>
      <c r="AI23" s="1">
        <f>AH23*AG23*G23</f>
        <v>33.6</v>
      </c>
      <c r="AJ23" s="1">
        <v>14</v>
      </c>
      <c r="AK23" s="1">
        <v>70</v>
      </c>
      <c r="AL23" s="9">
        <f>AH23/AK23</f>
        <v>0.2</v>
      </c>
      <c r="AM23" s="1">
        <f t="shared" si="6"/>
        <v>15</v>
      </c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77</v>
      </c>
      <c r="B24" s="1" t="s">
        <v>42</v>
      </c>
      <c r="C24" s="1">
        <v>531</v>
      </c>
      <c r="D24" s="1">
        <v>476</v>
      </c>
      <c r="E24" s="1">
        <v>819</v>
      </c>
      <c r="F24" s="1">
        <v>33</v>
      </c>
      <c r="G24" s="7">
        <v>0.2</v>
      </c>
      <c r="H24" s="1">
        <v>180</v>
      </c>
      <c r="I24" s="1" t="s">
        <v>78</v>
      </c>
      <c r="J24" s="1"/>
      <c r="K24" s="1">
        <v>927</v>
      </c>
      <c r="L24" s="1">
        <f t="shared" si="2"/>
        <v>-108</v>
      </c>
      <c r="M24" s="1"/>
      <c r="N24" s="1"/>
      <c r="O24" s="1">
        <v>1848</v>
      </c>
      <c r="P24" s="1">
        <f t="shared" si="3"/>
        <v>163.80000000000001</v>
      </c>
      <c r="Q24" s="5">
        <f t="shared" si="10"/>
        <v>412.20000000000027</v>
      </c>
      <c r="R24" s="5">
        <f>AG24*AH24</f>
        <v>336</v>
      </c>
      <c r="S24" s="1">
        <f t="shared" si="4"/>
        <v>13.534798534798535</v>
      </c>
      <c r="T24" s="1">
        <f t="shared" si="5"/>
        <v>11.483516483516484</v>
      </c>
      <c r="U24" s="1">
        <v>277.60000000000002</v>
      </c>
      <c r="V24" s="1">
        <v>113</v>
      </c>
      <c r="W24" s="1">
        <v>187.8</v>
      </c>
      <c r="X24" s="1">
        <v>166.2</v>
      </c>
      <c r="Y24" s="1">
        <v>149.6</v>
      </c>
      <c r="Z24" s="1">
        <v>169.2</v>
      </c>
      <c r="AA24" s="1">
        <v>173.6</v>
      </c>
      <c r="AB24" s="1">
        <v>109</v>
      </c>
      <c r="AC24" s="1">
        <v>215.8</v>
      </c>
      <c r="AD24" s="1">
        <v>187.8</v>
      </c>
      <c r="AE24" s="1"/>
      <c r="AF24" s="1">
        <f>G24*Q24</f>
        <v>82.440000000000055</v>
      </c>
      <c r="AG24" s="7">
        <v>12</v>
      </c>
      <c r="AH24" s="9">
        <f>MROUND(Q24, AG24*AJ24)/AG24</f>
        <v>28</v>
      </c>
      <c r="AI24" s="1">
        <f>AH24*AG24*G24</f>
        <v>67.2</v>
      </c>
      <c r="AJ24" s="1">
        <v>14</v>
      </c>
      <c r="AK24" s="1">
        <v>70</v>
      </c>
      <c r="AL24" s="9">
        <f>AH24/AK24</f>
        <v>0.4</v>
      </c>
      <c r="AM24" s="1">
        <f t="shared" si="6"/>
        <v>32.760000000000005</v>
      </c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79</v>
      </c>
      <c r="B25" s="1" t="s">
        <v>42</v>
      </c>
      <c r="C25" s="1">
        <v>1416</v>
      </c>
      <c r="D25" s="1">
        <v>116</v>
      </c>
      <c r="E25" s="1">
        <v>585</v>
      </c>
      <c r="F25" s="1">
        <v>862</v>
      </c>
      <c r="G25" s="7">
        <v>0.2</v>
      </c>
      <c r="H25" s="1">
        <v>180</v>
      </c>
      <c r="I25" s="1" t="s">
        <v>80</v>
      </c>
      <c r="J25" s="1"/>
      <c r="K25" s="1">
        <v>669</v>
      </c>
      <c r="L25" s="1">
        <f t="shared" si="2"/>
        <v>-84</v>
      </c>
      <c r="M25" s="1"/>
      <c r="N25" s="1"/>
      <c r="O25" s="1">
        <v>1848</v>
      </c>
      <c r="P25" s="1">
        <f t="shared" si="3"/>
        <v>117</v>
      </c>
      <c r="Q25" s="5"/>
      <c r="R25" s="5">
        <f>AG25*AH25</f>
        <v>0</v>
      </c>
      <c r="S25" s="1">
        <f t="shared" si="4"/>
        <v>23.162393162393162</v>
      </c>
      <c r="T25" s="1">
        <f t="shared" si="5"/>
        <v>23.162393162393162</v>
      </c>
      <c r="U25" s="1">
        <v>248.2</v>
      </c>
      <c r="V25" s="1">
        <v>107.2</v>
      </c>
      <c r="W25" s="1">
        <v>241.8</v>
      </c>
      <c r="X25" s="1">
        <v>115.8</v>
      </c>
      <c r="Y25" s="1">
        <v>111</v>
      </c>
      <c r="Z25" s="1">
        <v>102</v>
      </c>
      <c r="AA25" s="1">
        <v>141.80000000000001</v>
      </c>
      <c r="AB25" s="1">
        <v>69.400000000000006</v>
      </c>
      <c r="AC25" s="1">
        <v>115</v>
      </c>
      <c r="AD25" s="1">
        <v>125.6</v>
      </c>
      <c r="AE25" s="1"/>
      <c r="AF25" s="1">
        <f>G25*Q25</f>
        <v>0</v>
      </c>
      <c r="AG25" s="7">
        <v>12</v>
      </c>
      <c r="AH25" s="9">
        <f>MROUND(Q25, AG25*AJ25)/AG25</f>
        <v>0</v>
      </c>
      <c r="AI25" s="1">
        <f>AH25*AG25*G25</f>
        <v>0</v>
      </c>
      <c r="AJ25" s="1">
        <v>14</v>
      </c>
      <c r="AK25" s="1">
        <v>70</v>
      </c>
      <c r="AL25" s="9">
        <f>AH25/AK25</f>
        <v>0</v>
      </c>
      <c r="AM25" s="1">
        <f t="shared" si="6"/>
        <v>23.400000000000002</v>
      </c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81</v>
      </c>
      <c r="B26" s="1" t="s">
        <v>82</v>
      </c>
      <c r="C26" s="1">
        <v>59.2</v>
      </c>
      <c r="D26" s="1">
        <v>66.599999999999994</v>
      </c>
      <c r="E26" s="19">
        <f>97.8+E27</f>
        <v>227.8</v>
      </c>
      <c r="F26" s="19">
        <f>13.2+F27</f>
        <v>56.2</v>
      </c>
      <c r="G26" s="7">
        <v>1</v>
      </c>
      <c r="H26" s="1"/>
      <c r="I26" s="1" t="s">
        <v>83</v>
      </c>
      <c r="J26" s="1"/>
      <c r="K26" s="1">
        <v>130.9</v>
      </c>
      <c r="L26" s="1">
        <f t="shared" si="2"/>
        <v>96.9</v>
      </c>
      <c r="M26" s="1"/>
      <c r="N26" s="1"/>
      <c r="O26" s="1">
        <v>725.2</v>
      </c>
      <c r="P26" s="1">
        <f t="shared" si="3"/>
        <v>45.56</v>
      </c>
      <c r="Q26" s="5"/>
      <c r="R26" s="5">
        <f>AG26*AH26</f>
        <v>0</v>
      </c>
      <c r="S26" s="1">
        <f t="shared" si="4"/>
        <v>17.151009657594383</v>
      </c>
      <c r="T26" s="1">
        <f t="shared" si="5"/>
        <v>17.151009657594383</v>
      </c>
      <c r="U26" s="1">
        <v>23</v>
      </c>
      <c r="V26" s="1">
        <v>21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/>
      <c r="AF26" s="1">
        <f>G26*Q26</f>
        <v>0</v>
      </c>
      <c r="AG26" s="7">
        <v>3.7</v>
      </c>
      <c r="AH26" s="9">
        <f>MROUND(Q26, AG26*AJ26)/AG26</f>
        <v>0</v>
      </c>
      <c r="AI26" s="1">
        <f>AH26*AG26*G26</f>
        <v>0</v>
      </c>
      <c r="AJ26" s="1">
        <v>14</v>
      </c>
      <c r="AK26" s="1">
        <v>126</v>
      </c>
      <c r="AL26" s="9">
        <f>AH26/AK26</f>
        <v>0</v>
      </c>
      <c r="AM26" s="1">
        <f t="shared" si="6"/>
        <v>45.56</v>
      </c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4" t="s">
        <v>84</v>
      </c>
      <c r="B27" s="14" t="s">
        <v>82</v>
      </c>
      <c r="C27" s="14">
        <v>168</v>
      </c>
      <c r="D27" s="14">
        <v>10</v>
      </c>
      <c r="E27" s="19">
        <v>130</v>
      </c>
      <c r="F27" s="19">
        <v>43</v>
      </c>
      <c r="G27" s="15">
        <v>0</v>
      </c>
      <c r="H27" s="14">
        <v>180</v>
      </c>
      <c r="I27" s="14" t="s">
        <v>85</v>
      </c>
      <c r="J27" s="14" t="s">
        <v>81</v>
      </c>
      <c r="K27" s="14">
        <v>160</v>
      </c>
      <c r="L27" s="14">
        <f t="shared" si="2"/>
        <v>-30</v>
      </c>
      <c r="M27" s="14"/>
      <c r="N27" s="14"/>
      <c r="O27" s="14"/>
      <c r="P27" s="14">
        <f t="shared" si="3"/>
        <v>26</v>
      </c>
      <c r="Q27" s="16"/>
      <c r="R27" s="16"/>
      <c r="S27" s="14">
        <f t="shared" si="4"/>
        <v>1.6538461538461537</v>
      </c>
      <c r="T27" s="14">
        <f t="shared" si="5"/>
        <v>1.6538461538461537</v>
      </c>
      <c r="U27" s="14">
        <v>23</v>
      </c>
      <c r="V27" s="14">
        <v>21</v>
      </c>
      <c r="W27" s="14">
        <v>31</v>
      </c>
      <c r="X27" s="14">
        <v>27</v>
      </c>
      <c r="Y27" s="14">
        <v>23</v>
      </c>
      <c r="Z27" s="14">
        <v>34</v>
      </c>
      <c r="AA27" s="14">
        <v>33</v>
      </c>
      <c r="AB27" s="14">
        <v>18</v>
      </c>
      <c r="AC27" s="14">
        <v>48</v>
      </c>
      <c r="AD27" s="14">
        <v>29</v>
      </c>
      <c r="AE27" s="14"/>
      <c r="AF27" s="14"/>
      <c r="AG27" s="15"/>
      <c r="AH27" s="17"/>
      <c r="AI27" s="14"/>
      <c r="AJ27" s="14"/>
      <c r="AK27" s="14"/>
      <c r="AL27" s="17"/>
      <c r="AM27" s="1">
        <f t="shared" si="6"/>
        <v>0</v>
      </c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86</v>
      </c>
      <c r="B28" s="1" t="s">
        <v>82</v>
      </c>
      <c r="C28" s="1">
        <v>170</v>
      </c>
      <c r="D28" s="1">
        <v>269</v>
      </c>
      <c r="E28" s="1">
        <v>60</v>
      </c>
      <c r="F28" s="1">
        <v>379</v>
      </c>
      <c r="G28" s="7">
        <v>1</v>
      </c>
      <c r="H28" s="1">
        <v>180</v>
      </c>
      <c r="I28" s="1" t="s">
        <v>87</v>
      </c>
      <c r="J28" s="1"/>
      <c r="K28" s="1">
        <v>60</v>
      </c>
      <c r="L28" s="1">
        <f t="shared" si="2"/>
        <v>0</v>
      </c>
      <c r="M28" s="1"/>
      <c r="N28" s="1"/>
      <c r="O28" s="1">
        <v>0</v>
      </c>
      <c r="P28" s="1">
        <f t="shared" si="3"/>
        <v>12</v>
      </c>
      <c r="Q28" s="5"/>
      <c r="R28" s="5">
        <f t="shared" ref="R28:R73" si="11">AG28*AH28</f>
        <v>0</v>
      </c>
      <c r="S28" s="1">
        <f t="shared" si="4"/>
        <v>31.583333333333332</v>
      </c>
      <c r="T28" s="1">
        <f t="shared" si="5"/>
        <v>31.583333333333332</v>
      </c>
      <c r="U28" s="1">
        <v>25</v>
      </c>
      <c r="V28" s="1">
        <v>29.7</v>
      </c>
      <c r="W28" s="1">
        <v>28.5</v>
      </c>
      <c r="X28" s="1">
        <v>16.5</v>
      </c>
      <c r="Y28" s="1">
        <v>19.8</v>
      </c>
      <c r="Z28" s="1">
        <v>32.6</v>
      </c>
      <c r="AA28" s="1">
        <v>26.3</v>
      </c>
      <c r="AB28" s="1">
        <v>12.1</v>
      </c>
      <c r="AC28" s="1">
        <v>33.9</v>
      </c>
      <c r="AD28" s="1">
        <v>19.8</v>
      </c>
      <c r="AE28" s="22" t="s">
        <v>90</v>
      </c>
      <c r="AF28" s="1">
        <f t="shared" ref="AF28:AF73" si="12">G28*Q28</f>
        <v>0</v>
      </c>
      <c r="AG28" s="7">
        <v>5.5</v>
      </c>
      <c r="AH28" s="9">
        <f t="shared" ref="AH28:AH73" si="13">MROUND(Q28, AG28*AJ28)/AG28</f>
        <v>0</v>
      </c>
      <c r="AI28" s="1">
        <f t="shared" ref="AI28:AI73" si="14">AH28*AG28*G28</f>
        <v>0</v>
      </c>
      <c r="AJ28" s="1">
        <v>12</v>
      </c>
      <c r="AK28" s="1">
        <v>84</v>
      </c>
      <c r="AL28" s="9">
        <f t="shared" ref="AL28:AL73" si="15">AH28/AK28</f>
        <v>0</v>
      </c>
      <c r="AM28" s="1">
        <f t="shared" si="6"/>
        <v>12</v>
      </c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88</v>
      </c>
      <c r="B29" s="1" t="s">
        <v>82</v>
      </c>
      <c r="C29" s="1">
        <v>216</v>
      </c>
      <c r="D29" s="1">
        <v>512</v>
      </c>
      <c r="E29" s="1">
        <v>123</v>
      </c>
      <c r="F29" s="1">
        <v>594</v>
      </c>
      <c r="G29" s="7">
        <v>1</v>
      </c>
      <c r="H29" s="1">
        <v>180</v>
      </c>
      <c r="I29" s="1" t="s">
        <v>89</v>
      </c>
      <c r="J29" s="1"/>
      <c r="K29" s="1">
        <v>142.999</v>
      </c>
      <c r="L29" s="1">
        <f t="shared" si="2"/>
        <v>-19.998999999999995</v>
      </c>
      <c r="M29" s="1"/>
      <c r="N29" s="1"/>
      <c r="O29" s="1">
        <v>0</v>
      </c>
      <c r="P29" s="1">
        <f t="shared" si="3"/>
        <v>24.6</v>
      </c>
      <c r="Q29" s="5"/>
      <c r="R29" s="5">
        <f t="shared" si="11"/>
        <v>0</v>
      </c>
      <c r="S29" s="1">
        <f t="shared" si="4"/>
        <v>24.146341463414632</v>
      </c>
      <c r="T29" s="1">
        <f t="shared" si="5"/>
        <v>24.146341463414632</v>
      </c>
      <c r="U29" s="1">
        <v>25.8</v>
      </c>
      <c r="V29" s="1">
        <v>45</v>
      </c>
      <c r="W29" s="1">
        <v>40.799999999999997</v>
      </c>
      <c r="X29" s="1">
        <v>36.6</v>
      </c>
      <c r="Y29" s="1">
        <v>28.2</v>
      </c>
      <c r="Z29" s="1">
        <v>25.2</v>
      </c>
      <c r="AA29" s="1">
        <v>29</v>
      </c>
      <c r="AB29" s="1">
        <v>12</v>
      </c>
      <c r="AC29" s="1">
        <v>31.6</v>
      </c>
      <c r="AD29" s="1">
        <v>16.2</v>
      </c>
      <c r="AE29" s="22" t="s">
        <v>90</v>
      </c>
      <c r="AF29" s="1">
        <f t="shared" si="12"/>
        <v>0</v>
      </c>
      <c r="AG29" s="7">
        <v>3</v>
      </c>
      <c r="AH29" s="9">
        <f t="shared" si="13"/>
        <v>0</v>
      </c>
      <c r="AI29" s="1">
        <f t="shared" si="14"/>
        <v>0</v>
      </c>
      <c r="AJ29" s="1">
        <v>14</v>
      </c>
      <c r="AK29" s="1">
        <v>126</v>
      </c>
      <c r="AL29" s="9">
        <f t="shared" si="15"/>
        <v>0</v>
      </c>
      <c r="AM29" s="1">
        <f t="shared" si="6"/>
        <v>24.6</v>
      </c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46</v>
      </c>
      <c r="B30" s="1" t="s">
        <v>42</v>
      </c>
      <c r="C30" s="1">
        <v>73</v>
      </c>
      <c r="D30" s="1">
        <v>1519</v>
      </c>
      <c r="E30" s="19">
        <f>552+E7</f>
        <v>707</v>
      </c>
      <c r="F30" s="19">
        <f>984+F7</f>
        <v>1011</v>
      </c>
      <c r="G30" s="7">
        <v>0.25</v>
      </c>
      <c r="H30" s="1">
        <v>365</v>
      </c>
      <c r="I30" s="1" t="s">
        <v>91</v>
      </c>
      <c r="J30" s="1"/>
      <c r="K30" s="1">
        <v>627</v>
      </c>
      <c r="L30" s="1">
        <f t="shared" si="2"/>
        <v>80</v>
      </c>
      <c r="M30" s="1"/>
      <c r="N30" s="1"/>
      <c r="O30" s="1">
        <v>1092</v>
      </c>
      <c r="P30" s="1">
        <f t="shared" si="3"/>
        <v>141.4</v>
      </c>
      <c r="Q30" s="5"/>
      <c r="R30" s="5">
        <f t="shared" si="11"/>
        <v>0</v>
      </c>
      <c r="S30" s="1">
        <f t="shared" si="4"/>
        <v>14.872701555869872</v>
      </c>
      <c r="T30" s="1">
        <f t="shared" si="5"/>
        <v>14.872701555869872</v>
      </c>
      <c r="U30" s="1">
        <v>216.8</v>
      </c>
      <c r="V30" s="1">
        <v>147.4</v>
      </c>
      <c r="W30" s="1">
        <v>151.19999999999999</v>
      </c>
      <c r="X30" s="1">
        <v>126.2</v>
      </c>
      <c r="Y30" s="1">
        <v>111.6</v>
      </c>
      <c r="Z30" s="1">
        <v>114.4</v>
      </c>
      <c r="AA30" s="1">
        <v>120.6</v>
      </c>
      <c r="AB30" s="1">
        <v>67.8</v>
      </c>
      <c r="AC30" s="1">
        <v>113.8</v>
      </c>
      <c r="AD30" s="1">
        <v>104.2</v>
      </c>
      <c r="AE30" s="1"/>
      <c r="AF30" s="1">
        <f t="shared" si="12"/>
        <v>0</v>
      </c>
      <c r="AG30" s="7">
        <v>6</v>
      </c>
      <c r="AH30" s="9">
        <f t="shared" si="13"/>
        <v>0</v>
      </c>
      <c r="AI30" s="1">
        <f t="shared" si="14"/>
        <v>0</v>
      </c>
      <c r="AJ30" s="1">
        <v>14</v>
      </c>
      <c r="AK30" s="1">
        <v>140</v>
      </c>
      <c r="AL30" s="9">
        <f t="shared" si="15"/>
        <v>0</v>
      </c>
      <c r="AM30" s="1">
        <f t="shared" si="6"/>
        <v>35.35</v>
      </c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92</v>
      </c>
      <c r="B31" s="1" t="s">
        <v>42</v>
      </c>
      <c r="C31" s="1">
        <v>-22</v>
      </c>
      <c r="D31" s="1">
        <v>1929</v>
      </c>
      <c r="E31" s="1">
        <v>310</v>
      </c>
      <c r="F31" s="1">
        <v>1586</v>
      </c>
      <c r="G31" s="7">
        <v>0.25</v>
      </c>
      <c r="H31" s="1">
        <v>365</v>
      </c>
      <c r="I31" s="1" t="s">
        <v>93</v>
      </c>
      <c r="J31" s="1"/>
      <c r="K31" s="1">
        <v>405</v>
      </c>
      <c r="L31" s="1">
        <f t="shared" si="2"/>
        <v>-95</v>
      </c>
      <c r="M31" s="1"/>
      <c r="N31" s="1"/>
      <c r="O31" s="1">
        <v>252</v>
      </c>
      <c r="P31" s="1">
        <f t="shared" si="3"/>
        <v>62</v>
      </c>
      <c r="Q31" s="5"/>
      <c r="R31" s="5">
        <f t="shared" si="11"/>
        <v>0</v>
      </c>
      <c r="S31" s="1">
        <f t="shared" si="4"/>
        <v>29.64516129032258</v>
      </c>
      <c r="T31" s="1">
        <f t="shared" si="5"/>
        <v>29.64516129032258</v>
      </c>
      <c r="U31" s="1">
        <v>165.8</v>
      </c>
      <c r="V31" s="1">
        <v>143</v>
      </c>
      <c r="W31" s="1">
        <v>111.8</v>
      </c>
      <c r="X31" s="1">
        <v>95.8</v>
      </c>
      <c r="Y31" s="1">
        <v>97</v>
      </c>
      <c r="Z31" s="1">
        <v>117.2</v>
      </c>
      <c r="AA31" s="1">
        <v>98.4</v>
      </c>
      <c r="AB31" s="1">
        <v>17.399999999999999</v>
      </c>
      <c r="AC31" s="1">
        <v>118.2</v>
      </c>
      <c r="AD31" s="1">
        <v>98.8</v>
      </c>
      <c r="AE31" s="1"/>
      <c r="AF31" s="1">
        <f t="shared" si="12"/>
        <v>0</v>
      </c>
      <c r="AG31" s="7">
        <v>6</v>
      </c>
      <c r="AH31" s="9">
        <f t="shared" si="13"/>
        <v>0</v>
      </c>
      <c r="AI31" s="1">
        <f t="shared" si="14"/>
        <v>0</v>
      </c>
      <c r="AJ31" s="1">
        <v>14</v>
      </c>
      <c r="AK31" s="1">
        <v>140</v>
      </c>
      <c r="AL31" s="9">
        <f t="shared" si="15"/>
        <v>0</v>
      </c>
      <c r="AM31" s="1">
        <f t="shared" si="6"/>
        <v>15.5</v>
      </c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94</v>
      </c>
      <c r="B32" s="1" t="s">
        <v>82</v>
      </c>
      <c r="C32" s="1">
        <v>268</v>
      </c>
      <c r="D32" s="1">
        <v>618</v>
      </c>
      <c r="E32" s="1">
        <v>428.99900000000002</v>
      </c>
      <c r="F32" s="1">
        <v>433.00099999999998</v>
      </c>
      <c r="G32" s="7">
        <v>1</v>
      </c>
      <c r="H32" s="1">
        <v>180</v>
      </c>
      <c r="I32" s="1" t="s">
        <v>95</v>
      </c>
      <c r="J32" s="1"/>
      <c r="K32" s="1">
        <v>462.99799999999999</v>
      </c>
      <c r="L32" s="1">
        <f t="shared" si="2"/>
        <v>-33.998999999999967</v>
      </c>
      <c r="M32" s="1"/>
      <c r="N32" s="1"/>
      <c r="O32" s="1">
        <v>576</v>
      </c>
      <c r="P32" s="1">
        <f t="shared" si="3"/>
        <v>85.799800000000005</v>
      </c>
      <c r="Q32" s="5">
        <f t="shared" ref="Q32:Q71" si="16">14*P32-O32-F32</f>
        <v>192.19620000000009</v>
      </c>
      <c r="R32" s="5">
        <f t="shared" si="11"/>
        <v>216</v>
      </c>
      <c r="S32" s="1">
        <f t="shared" si="4"/>
        <v>14.277434213133363</v>
      </c>
      <c r="T32" s="1">
        <f t="shared" si="5"/>
        <v>11.75994582737955</v>
      </c>
      <c r="U32" s="1">
        <v>51.4</v>
      </c>
      <c r="V32" s="1">
        <v>49.8</v>
      </c>
      <c r="W32" s="1">
        <v>51.6</v>
      </c>
      <c r="X32" s="1">
        <v>52.8</v>
      </c>
      <c r="Y32" s="1">
        <v>32.4</v>
      </c>
      <c r="Z32" s="1">
        <v>43.8</v>
      </c>
      <c r="AA32" s="1">
        <v>57.2</v>
      </c>
      <c r="AB32" s="1">
        <v>16.8</v>
      </c>
      <c r="AC32" s="1">
        <v>55.2</v>
      </c>
      <c r="AD32" s="1">
        <v>60.8</v>
      </c>
      <c r="AE32" s="1"/>
      <c r="AF32" s="1">
        <f t="shared" si="12"/>
        <v>192.19620000000009</v>
      </c>
      <c r="AG32" s="7">
        <v>6</v>
      </c>
      <c r="AH32" s="9">
        <f t="shared" si="13"/>
        <v>36</v>
      </c>
      <c r="AI32" s="1">
        <f t="shared" si="14"/>
        <v>216</v>
      </c>
      <c r="AJ32" s="1">
        <v>12</v>
      </c>
      <c r="AK32" s="1">
        <v>84</v>
      </c>
      <c r="AL32" s="9">
        <f t="shared" si="15"/>
        <v>0.42857142857142855</v>
      </c>
      <c r="AM32" s="1">
        <f t="shared" si="6"/>
        <v>85.799800000000005</v>
      </c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96</v>
      </c>
      <c r="B33" s="1" t="s">
        <v>42</v>
      </c>
      <c r="C33" s="1">
        <v>1450</v>
      </c>
      <c r="D33" s="1">
        <v>151</v>
      </c>
      <c r="E33" s="1">
        <v>1027</v>
      </c>
      <c r="F33" s="1">
        <v>493</v>
      </c>
      <c r="G33" s="7">
        <v>0.23</v>
      </c>
      <c r="H33" s="1">
        <v>180</v>
      </c>
      <c r="I33" s="21" t="s">
        <v>97</v>
      </c>
      <c r="J33" s="1"/>
      <c r="K33" s="1">
        <v>1122</v>
      </c>
      <c r="L33" s="1">
        <f t="shared" si="2"/>
        <v>-95</v>
      </c>
      <c r="M33" s="1"/>
      <c r="N33" s="1"/>
      <c r="O33" s="1">
        <v>336</v>
      </c>
      <c r="P33" s="1">
        <f t="shared" si="3"/>
        <v>205.4</v>
      </c>
      <c r="Q33" s="5">
        <v>1200</v>
      </c>
      <c r="R33" s="5">
        <f t="shared" si="11"/>
        <v>1176</v>
      </c>
      <c r="S33" s="1">
        <f t="shared" si="4"/>
        <v>9.7614410905550137</v>
      </c>
      <c r="T33" s="1">
        <f t="shared" si="5"/>
        <v>4.0360272638753649</v>
      </c>
      <c r="U33" s="1">
        <v>210</v>
      </c>
      <c r="V33" s="1">
        <v>71.8</v>
      </c>
      <c r="W33" s="1">
        <v>104.2</v>
      </c>
      <c r="X33" s="1">
        <v>105.2</v>
      </c>
      <c r="Y33" s="1">
        <v>117.4</v>
      </c>
      <c r="Z33" s="1">
        <v>106</v>
      </c>
      <c r="AA33" s="1">
        <v>101.4</v>
      </c>
      <c r="AB33" s="1">
        <v>66.400000000000006</v>
      </c>
      <c r="AC33" s="1">
        <v>230.8</v>
      </c>
      <c r="AD33" s="1">
        <v>197</v>
      </c>
      <c r="AE33" s="1" t="s">
        <v>98</v>
      </c>
      <c r="AF33" s="1">
        <f t="shared" si="12"/>
        <v>276</v>
      </c>
      <c r="AG33" s="7">
        <v>12</v>
      </c>
      <c r="AH33" s="9">
        <f t="shared" si="13"/>
        <v>98</v>
      </c>
      <c r="AI33" s="1">
        <f t="shared" si="14"/>
        <v>270.48</v>
      </c>
      <c r="AJ33" s="1">
        <v>14</v>
      </c>
      <c r="AK33" s="1">
        <v>70</v>
      </c>
      <c r="AL33" s="9">
        <f t="shared" si="15"/>
        <v>1.4</v>
      </c>
      <c r="AM33" s="1">
        <f t="shared" si="6"/>
        <v>47.242000000000004</v>
      </c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99</v>
      </c>
      <c r="B34" s="1" t="s">
        <v>42</v>
      </c>
      <c r="C34" s="1">
        <v>876</v>
      </c>
      <c r="D34" s="1">
        <v>2550</v>
      </c>
      <c r="E34" s="1">
        <v>1582</v>
      </c>
      <c r="F34" s="1">
        <v>1532</v>
      </c>
      <c r="G34" s="7">
        <v>0.25</v>
      </c>
      <c r="H34" s="1">
        <v>365</v>
      </c>
      <c r="I34" s="1" t="s">
        <v>100</v>
      </c>
      <c r="J34" s="1"/>
      <c r="K34" s="1">
        <v>1905</v>
      </c>
      <c r="L34" s="1">
        <f t="shared" si="2"/>
        <v>-323</v>
      </c>
      <c r="M34" s="1"/>
      <c r="N34" s="1"/>
      <c r="O34" s="1">
        <v>1848</v>
      </c>
      <c r="P34" s="1">
        <f t="shared" si="3"/>
        <v>316.39999999999998</v>
      </c>
      <c r="Q34" s="5">
        <f t="shared" si="16"/>
        <v>1049.5999999999995</v>
      </c>
      <c r="R34" s="5">
        <f t="shared" si="11"/>
        <v>1008</v>
      </c>
      <c r="S34" s="1">
        <f t="shared" si="4"/>
        <v>13.868520859671303</v>
      </c>
      <c r="T34" s="1">
        <f t="shared" si="5"/>
        <v>10.682680151706702</v>
      </c>
      <c r="U34" s="1">
        <v>381</v>
      </c>
      <c r="V34" s="1">
        <v>260</v>
      </c>
      <c r="W34" s="1">
        <v>289</v>
      </c>
      <c r="X34" s="1">
        <v>290.39999999999998</v>
      </c>
      <c r="Y34" s="1">
        <v>227.6</v>
      </c>
      <c r="Z34" s="1">
        <v>252.4</v>
      </c>
      <c r="AA34" s="1">
        <v>248.2</v>
      </c>
      <c r="AB34" s="1">
        <v>146.19999999999999</v>
      </c>
      <c r="AC34" s="1">
        <v>200.6</v>
      </c>
      <c r="AD34" s="1">
        <v>208.4</v>
      </c>
      <c r="AE34" s="1"/>
      <c r="AF34" s="1">
        <f t="shared" si="12"/>
        <v>262.39999999999986</v>
      </c>
      <c r="AG34" s="7">
        <v>12</v>
      </c>
      <c r="AH34" s="9">
        <f t="shared" si="13"/>
        <v>84</v>
      </c>
      <c r="AI34" s="1">
        <f t="shared" si="14"/>
        <v>252</v>
      </c>
      <c r="AJ34" s="1">
        <v>14</v>
      </c>
      <c r="AK34" s="1">
        <v>70</v>
      </c>
      <c r="AL34" s="9">
        <f t="shared" si="15"/>
        <v>1.2</v>
      </c>
      <c r="AM34" s="1">
        <f t="shared" si="6"/>
        <v>79.099999999999994</v>
      </c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101</v>
      </c>
      <c r="B35" s="1" t="s">
        <v>42</v>
      </c>
      <c r="C35" s="1">
        <v>398</v>
      </c>
      <c r="D35" s="1">
        <v>1117</v>
      </c>
      <c r="E35" s="1">
        <v>1043</v>
      </c>
      <c r="F35" s="1">
        <v>450</v>
      </c>
      <c r="G35" s="7">
        <v>0.25</v>
      </c>
      <c r="H35" s="1">
        <v>365</v>
      </c>
      <c r="I35" s="1" t="s">
        <v>102</v>
      </c>
      <c r="J35" s="1"/>
      <c r="K35" s="1">
        <v>1178</v>
      </c>
      <c r="L35" s="1">
        <f t="shared" si="2"/>
        <v>-135</v>
      </c>
      <c r="M35" s="1"/>
      <c r="N35" s="1"/>
      <c r="O35" s="1">
        <v>2184</v>
      </c>
      <c r="P35" s="1">
        <f t="shared" si="3"/>
        <v>208.6</v>
      </c>
      <c r="Q35" s="5">
        <f t="shared" si="16"/>
        <v>286.40000000000009</v>
      </c>
      <c r="R35" s="5">
        <f t="shared" si="11"/>
        <v>336</v>
      </c>
      <c r="S35" s="1">
        <f t="shared" si="4"/>
        <v>14.23777564717162</v>
      </c>
      <c r="T35" s="1">
        <f t="shared" si="5"/>
        <v>12.627037392138064</v>
      </c>
      <c r="U35" s="1">
        <v>336</v>
      </c>
      <c r="V35" s="1">
        <v>163.80000000000001</v>
      </c>
      <c r="W35" s="1">
        <v>199.2</v>
      </c>
      <c r="X35" s="1">
        <v>206.4</v>
      </c>
      <c r="Y35" s="1">
        <v>201.6</v>
      </c>
      <c r="Z35" s="1">
        <v>235.8</v>
      </c>
      <c r="AA35" s="1">
        <v>207.2</v>
      </c>
      <c r="AB35" s="1">
        <v>101.4</v>
      </c>
      <c r="AC35" s="1">
        <v>172</v>
      </c>
      <c r="AD35" s="1">
        <v>179.4</v>
      </c>
      <c r="AE35" s="1"/>
      <c r="AF35" s="1">
        <f t="shared" si="12"/>
        <v>71.600000000000023</v>
      </c>
      <c r="AG35" s="7">
        <v>12</v>
      </c>
      <c r="AH35" s="9">
        <f t="shared" si="13"/>
        <v>28</v>
      </c>
      <c r="AI35" s="1">
        <f t="shared" si="14"/>
        <v>84</v>
      </c>
      <c r="AJ35" s="1">
        <v>14</v>
      </c>
      <c r="AK35" s="1">
        <v>70</v>
      </c>
      <c r="AL35" s="9">
        <f t="shared" si="15"/>
        <v>0.4</v>
      </c>
      <c r="AM35" s="1">
        <f t="shared" si="6"/>
        <v>52.15</v>
      </c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103</v>
      </c>
      <c r="B36" s="1" t="s">
        <v>42</v>
      </c>
      <c r="C36" s="1">
        <v>802</v>
      </c>
      <c r="D36" s="1">
        <v>76</v>
      </c>
      <c r="E36" s="1">
        <v>669</v>
      </c>
      <c r="F36" s="1">
        <v>181</v>
      </c>
      <c r="G36" s="7">
        <v>0.25</v>
      </c>
      <c r="H36" s="1">
        <v>180</v>
      </c>
      <c r="I36" s="1" t="s">
        <v>104</v>
      </c>
      <c r="J36" s="1"/>
      <c r="K36" s="1">
        <v>707</v>
      </c>
      <c r="L36" s="1">
        <f t="shared" si="2"/>
        <v>-38</v>
      </c>
      <c r="M36" s="1"/>
      <c r="N36" s="1"/>
      <c r="O36" s="1">
        <v>1512</v>
      </c>
      <c r="P36" s="1">
        <f t="shared" si="3"/>
        <v>133.80000000000001</v>
      </c>
      <c r="Q36" s="5">
        <f t="shared" si="16"/>
        <v>180.20000000000027</v>
      </c>
      <c r="R36" s="5">
        <f t="shared" si="11"/>
        <v>168</v>
      </c>
      <c r="S36" s="1">
        <f t="shared" si="4"/>
        <v>13.908819133034379</v>
      </c>
      <c r="T36" s="1">
        <f t="shared" si="5"/>
        <v>12.65321375186846</v>
      </c>
      <c r="U36" s="1">
        <v>172.6</v>
      </c>
      <c r="V36" s="1">
        <v>55.8</v>
      </c>
      <c r="W36" s="1">
        <v>145</v>
      </c>
      <c r="X36" s="1">
        <v>114.6</v>
      </c>
      <c r="Y36" s="1">
        <v>107.6</v>
      </c>
      <c r="Z36" s="1">
        <v>132</v>
      </c>
      <c r="AA36" s="1">
        <v>114.8</v>
      </c>
      <c r="AB36" s="1">
        <v>63.6</v>
      </c>
      <c r="AC36" s="1">
        <v>124.6</v>
      </c>
      <c r="AD36" s="1">
        <v>128.80000000000001</v>
      </c>
      <c r="AE36" s="1"/>
      <c r="AF36" s="1">
        <f t="shared" si="12"/>
        <v>45.050000000000068</v>
      </c>
      <c r="AG36" s="7">
        <v>12</v>
      </c>
      <c r="AH36" s="9">
        <f t="shared" si="13"/>
        <v>14</v>
      </c>
      <c r="AI36" s="1">
        <f t="shared" si="14"/>
        <v>42</v>
      </c>
      <c r="AJ36" s="1">
        <v>14</v>
      </c>
      <c r="AK36" s="1">
        <v>70</v>
      </c>
      <c r="AL36" s="9">
        <f t="shared" si="15"/>
        <v>0.2</v>
      </c>
      <c r="AM36" s="1">
        <f t="shared" si="6"/>
        <v>33.450000000000003</v>
      </c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105</v>
      </c>
      <c r="B37" s="1" t="s">
        <v>42</v>
      </c>
      <c r="C37" s="1">
        <v>1056</v>
      </c>
      <c r="D37" s="1">
        <v>23</v>
      </c>
      <c r="E37" s="1">
        <v>446</v>
      </c>
      <c r="F37" s="1">
        <v>581</v>
      </c>
      <c r="G37" s="7">
        <v>0.25</v>
      </c>
      <c r="H37" s="1">
        <v>180</v>
      </c>
      <c r="I37" s="1" t="s">
        <v>106</v>
      </c>
      <c r="J37" s="1"/>
      <c r="K37" s="1">
        <v>481</v>
      </c>
      <c r="L37" s="1">
        <f t="shared" si="2"/>
        <v>-35</v>
      </c>
      <c r="M37" s="1"/>
      <c r="N37" s="1"/>
      <c r="O37" s="1">
        <v>672</v>
      </c>
      <c r="P37" s="1">
        <f t="shared" si="3"/>
        <v>89.2</v>
      </c>
      <c r="Q37" s="5"/>
      <c r="R37" s="5">
        <f t="shared" si="11"/>
        <v>0</v>
      </c>
      <c r="S37" s="1">
        <f t="shared" si="4"/>
        <v>14.047085201793722</v>
      </c>
      <c r="T37" s="1">
        <f t="shared" si="5"/>
        <v>14.047085201793722</v>
      </c>
      <c r="U37" s="1">
        <v>128.80000000000001</v>
      </c>
      <c r="V37" s="1">
        <v>59.8</v>
      </c>
      <c r="W37" s="1">
        <v>131</v>
      </c>
      <c r="X37" s="1">
        <v>134</v>
      </c>
      <c r="Y37" s="1">
        <v>93.4</v>
      </c>
      <c r="Z37" s="1">
        <v>62.6</v>
      </c>
      <c r="AA37" s="1">
        <v>75.8</v>
      </c>
      <c r="AB37" s="1">
        <v>49.6</v>
      </c>
      <c r="AC37" s="1">
        <v>59.6</v>
      </c>
      <c r="AD37" s="1">
        <v>75.8</v>
      </c>
      <c r="AE37" s="1"/>
      <c r="AF37" s="1">
        <f t="shared" si="12"/>
        <v>0</v>
      </c>
      <c r="AG37" s="7">
        <v>12</v>
      </c>
      <c r="AH37" s="9">
        <f t="shared" si="13"/>
        <v>0</v>
      </c>
      <c r="AI37" s="1">
        <f t="shared" si="14"/>
        <v>0</v>
      </c>
      <c r="AJ37" s="1">
        <v>14</v>
      </c>
      <c r="AK37" s="1">
        <v>70</v>
      </c>
      <c r="AL37" s="9">
        <f t="shared" si="15"/>
        <v>0</v>
      </c>
      <c r="AM37" s="1">
        <f t="shared" si="6"/>
        <v>22.3</v>
      </c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107</v>
      </c>
      <c r="B38" s="1" t="s">
        <v>42</v>
      </c>
      <c r="C38" s="1">
        <v>384</v>
      </c>
      <c r="D38" s="1">
        <v>34</v>
      </c>
      <c r="E38" s="1">
        <v>341</v>
      </c>
      <c r="F38" s="1">
        <v>56</v>
      </c>
      <c r="G38" s="7">
        <v>0.7</v>
      </c>
      <c r="H38" s="1">
        <v>180</v>
      </c>
      <c r="I38" s="1" t="s">
        <v>108</v>
      </c>
      <c r="J38" s="1"/>
      <c r="K38" s="1">
        <v>372</v>
      </c>
      <c r="L38" s="1">
        <f t="shared" ref="L38:L69" si="17">E38-K38</f>
        <v>-31</v>
      </c>
      <c r="M38" s="1"/>
      <c r="N38" s="1"/>
      <c r="O38" s="1">
        <v>480</v>
      </c>
      <c r="P38" s="1">
        <f t="shared" ref="P38:P73" si="18">E38/5</f>
        <v>68.2</v>
      </c>
      <c r="Q38" s="5">
        <f t="shared" si="16"/>
        <v>418.80000000000007</v>
      </c>
      <c r="R38" s="5">
        <f t="shared" si="11"/>
        <v>384</v>
      </c>
      <c r="S38" s="1">
        <f t="shared" ref="S38:S69" si="19">(F38+O38+R38)/P38</f>
        <v>13.48973607038123</v>
      </c>
      <c r="T38" s="1">
        <f t="shared" ref="T38:T73" si="20">(F38+O38)/P38</f>
        <v>7.8592375366568907</v>
      </c>
      <c r="U38" s="1">
        <v>69</v>
      </c>
      <c r="V38" s="1">
        <v>33.4</v>
      </c>
      <c r="W38" s="1">
        <v>60.6</v>
      </c>
      <c r="X38" s="1">
        <v>58.4</v>
      </c>
      <c r="Y38" s="1">
        <v>56.6</v>
      </c>
      <c r="Z38" s="1">
        <v>41.4</v>
      </c>
      <c r="AA38" s="1">
        <v>61.4</v>
      </c>
      <c r="AB38" s="1">
        <v>34.4</v>
      </c>
      <c r="AC38" s="1">
        <v>60.6</v>
      </c>
      <c r="AD38" s="1">
        <v>78.2</v>
      </c>
      <c r="AE38" s="1"/>
      <c r="AF38" s="1">
        <f t="shared" si="12"/>
        <v>293.16000000000003</v>
      </c>
      <c r="AG38" s="7">
        <v>8</v>
      </c>
      <c r="AH38" s="9">
        <f t="shared" si="13"/>
        <v>48</v>
      </c>
      <c r="AI38" s="1">
        <f t="shared" si="14"/>
        <v>268.79999999999995</v>
      </c>
      <c r="AJ38" s="1">
        <v>12</v>
      </c>
      <c r="AK38" s="1">
        <v>84</v>
      </c>
      <c r="AL38" s="9">
        <f t="shared" si="15"/>
        <v>0.5714285714285714</v>
      </c>
      <c r="AM38" s="1">
        <f t="shared" si="6"/>
        <v>47.74</v>
      </c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109</v>
      </c>
      <c r="B39" s="1" t="s">
        <v>42</v>
      </c>
      <c r="C39" s="1">
        <v>71</v>
      </c>
      <c r="D39" s="1">
        <v>209</v>
      </c>
      <c r="E39" s="1">
        <v>240</v>
      </c>
      <c r="F39" s="1">
        <v>22</v>
      </c>
      <c r="G39" s="7">
        <v>0.7</v>
      </c>
      <c r="H39" s="1">
        <v>180</v>
      </c>
      <c r="I39" s="1" t="s">
        <v>110</v>
      </c>
      <c r="J39" s="1"/>
      <c r="K39" s="1">
        <v>310</v>
      </c>
      <c r="L39" s="1">
        <f t="shared" si="17"/>
        <v>-70</v>
      </c>
      <c r="M39" s="1"/>
      <c r="N39" s="1"/>
      <c r="O39" s="1">
        <v>192</v>
      </c>
      <c r="P39" s="1">
        <f t="shared" si="18"/>
        <v>48</v>
      </c>
      <c r="Q39" s="5">
        <f t="shared" si="16"/>
        <v>458</v>
      </c>
      <c r="R39" s="5">
        <f t="shared" si="11"/>
        <v>480</v>
      </c>
      <c r="S39" s="1">
        <f t="shared" si="19"/>
        <v>14.458333333333334</v>
      </c>
      <c r="T39" s="1">
        <f t="shared" si="20"/>
        <v>4.458333333333333</v>
      </c>
      <c r="U39" s="1">
        <v>41</v>
      </c>
      <c r="V39" s="1">
        <v>22.2</v>
      </c>
      <c r="W39" s="1">
        <v>21.8</v>
      </c>
      <c r="X39" s="1">
        <v>23.4</v>
      </c>
      <c r="Y39" s="1">
        <v>23.6</v>
      </c>
      <c r="Z39" s="1">
        <v>22.2</v>
      </c>
      <c r="AA39" s="1">
        <v>33.799999999999997</v>
      </c>
      <c r="AB39" s="1">
        <v>6</v>
      </c>
      <c r="AC39" s="1">
        <v>38.799999999999997</v>
      </c>
      <c r="AD39" s="1">
        <v>37.4</v>
      </c>
      <c r="AE39" s="1"/>
      <c r="AF39" s="1">
        <f t="shared" si="12"/>
        <v>320.59999999999997</v>
      </c>
      <c r="AG39" s="7">
        <v>8</v>
      </c>
      <c r="AH39" s="9">
        <f t="shared" si="13"/>
        <v>60</v>
      </c>
      <c r="AI39" s="1">
        <f t="shared" si="14"/>
        <v>336</v>
      </c>
      <c r="AJ39" s="1">
        <v>12</v>
      </c>
      <c r="AK39" s="1">
        <v>84</v>
      </c>
      <c r="AL39" s="9">
        <f t="shared" si="15"/>
        <v>0.7142857142857143</v>
      </c>
      <c r="AM39" s="1">
        <f t="shared" si="6"/>
        <v>33.599999999999994</v>
      </c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111</v>
      </c>
      <c r="B40" s="1" t="s">
        <v>42</v>
      </c>
      <c r="C40" s="1">
        <v>-1</v>
      </c>
      <c r="D40" s="1">
        <v>2</v>
      </c>
      <c r="E40" s="1">
        <v>5</v>
      </c>
      <c r="F40" s="1">
        <v>-5</v>
      </c>
      <c r="G40" s="7">
        <v>0.7</v>
      </c>
      <c r="H40" s="1">
        <v>180</v>
      </c>
      <c r="I40" s="1" t="s">
        <v>112</v>
      </c>
      <c r="J40" s="1"/>
      <c r="K40" s="1">
        <v>92</v>
      </c>
      <c r="L40" s="1">
        <f t="shared" si="17"/>
        <v>-87</v>
      </c>
      <c r="M40" s="1"/>
      <c r="N40" s="1"/>
      <c r="O40" s="1">
        <v>0</v>
      </c>
      <c r="P40" s="1">
        <f t="shared" si="18"/>
        <v>1</v>
      </c>
      <c r="Q40" s="20">
        <v>0</v>
      </c>
      <c r="R40" s="20">
        <f t="shared" si="11"/>
        <v>0</v>
      </c>
      <c r="S40" s="1">
        <f t="shared" si="19"/>
        <v>-5</v>
      </c>
      <c r="T40" s="1">
        <f t="shared" si="20"/>
        <v>-5</v>
      </c>
      <c r="U40" s="1">
        <v>0</v>
      </c>
      <c r="V40" s="1">
        <v>2.2000000000000002</v>
      </c>
      <c r="W40" s="1">
        <v>56.2</v>
      </c>
      <c r="X40" s="1">
        <v>52.2</v>
      </c>
      <c r="Y40" s="1">
        <v>50</v>
      </c>
      <c r="Z40" s="1">
        <v>41.6</v>
      </c>
      <c r="AA40" s="1">
        <v>54</v>
      </c>
      <c r="AB40" s="1">
        <v>29</v>
      </c>
      <c r="AC40" s="1">
        <v>49.6</v>
      </c>
      <c r="AD40" s="1">
        <v>66.2</v>
      </c>
      <c r="AE40" s="21" t="s">
        <v>73</v>
      </c>
      <c r="AF40" s="1">
        <f t="shared" si="12"/>
        <v>0</v>
      </c>
      <c r="AG40" s="7">
        <v>8</v>
      </c>
      <c r="AH40" s="9">
        <f t="shared" si="13"/>
        <v>0</v>
      </c>
      <c r="AI40" s="1">
        <f t="shared" si="14"/>
        <v>0</v>
      </c>
      <c r="AJ40" s="1">
        <v>12</v>
      </c>
      <c r="AK40" s="1">
        <v>84</v>
      </c>
      <c r="AL40" s="9">
        <f t="shared" si="15"/>
        <v>0</v>
      </c>
      <c r="AM40" s="1">
        <f t="shared" si="6"/>
        <v>0.7</v>
      </c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113</v>
      </c>
      <c r="B41" s="1" t="s">
        <v>42</v>
      </c>
      <c r="C41" s="1">
        <v>325</v>
      </c>
      <c r="D41" s="1">
        <v>259</v>
      </c>
      <c r="E41" s="1">
        <v>323</v>
      </c>
      <c r="F41" s="1">
        <v>196</v>
      </c>
      <c r="G41" s="7">
        <v>0.7</v>
      </c>
      <c r="H41" s="1">
        <v>180</v>
      </c>
      <c r="I41" s="1" t="s">
        <v>67</v>
      </c>
      <c r="J41" s="1"/>
      <c r="K41" s="1">
        <v>350</v>
      </c>
      <c r="L41" s="1">
        <f t="shared" si="17"/>
        <v>-27</v>
      </c>
      <c r="M41" s="1"/>
      <c r="N41" s="1"/>
      <c r="O41" s="1">
        <v>120</v>
      </c>
      <c r="P41" s="1">
        <f t="shared" si="18"/>
        <v>64.599999999999994</v>
      </c>
      <c r="Q41" s="5">
        <f t="shared" si="16"/>
        <v>588.39999999999986</v>
      </c>
      <c r="R41" s="5">
        <f t="shared" si="11"/>
        <v>600</v>
      </c>
      <c r="S41" s="1">
        <f t="shared" si="19"/>
        <v>14.179566563467494</v>
      </c>
      <c r="T41" s="1">
        <f t="shared" si="20"/>
        <v>4.8916408668730655</v>
      </c>
      <c r="U41" s="1">
        <v>49.4</v>
      </c>
      <c r="V41" s="1">
        <v>37.799999999999997</v>
      </c>
      <c r="W41" s="1">
        <v>41.8</v>
      </c>
      <c r="X41" s="1">
        <v>45.8</v>
      </c>
      <c r="Y41" s="1">
        <v>48.4</v>
      </c>
      <c r="Z41" s="1">
        <v>54.4</v>
      </c>
      <c r="AA41" s="1">
        <v>123.6</v>
      </c>
      <c r="AB41" s="1">
        <v>37.200000000000003</v>
      </c>
      <c r="AC41" s="1">
        <v>58.6</v>
      </c>
      <c r="AD41" s="1">
        <v>23.4</v>
      </c>
      <c r="AE41" s="1"/>
      <c r="AF41" s="1">
        <f t="shared" si="12"/>
        <v>411.87999999999988</v>
      </c>
      <c r="AG41" s="7">
        <v>10</v>
      </c>
      <c r="AH41" s="9">
        <f t="shared" si="13"/>
        <v>60</v>
      </c>
      <c r="AI41" s="1">
        <f t="shared" si="14"/>
        <v>420</v>
      </c>
      <c r="AJ41" s="1">
        <v>12</v>
      </c>
      <c r="AK41" s="1">
        <v>84</v>
      </c>
      <c r="AL41" s="9">
        <f t="shared" si="15"/>
        <v>0.7142857142857143</v>
      </c>
      <c r="AM41" s="1">
        <f t="shared" si="6"/>
        <v>45.219999999999992</v>
      </c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114</v>
      </c>
      <c r="B42" s="1" t="s">
        <v>42</v>
      </c>
      <c r="C42" s="1">
        <v>148</v>
      </c>
      <c r="D42" s="1">
        <v>102</v>
      </c>
      <c r="E42" s="1">
        <v>135</v>
      </c>
      <c r="F42" s="1">
        <v>45</v>
      </c>
      <c r="G42" s="7">
        <v>0.7</v>
      </c>
      <c r="H42" s="1">
        <v>180</v>
      </c>
      <c r="I42" s="1" t="s">
        <v>115</v>
      </c>
      <c r="J42" s="1"/>
      <c r="K42" s="1">
        <v>321</v>
      </c>
      <c r="L42" s="1">
        <f t="shared" si="17"/>
        <v>-186</v>
      </c>
      <c r="M42" s="1"/>
      <c r="N42" s="1"/>
      <c r="O42" s="1">
        <v>1080</v>
      </c>
      <c r="P42" s="1">
        <f t="shared" si="18"/>
        <v>27</v>
      </c>
      <c r="Q42" s="5"/>
      <c r="R42" s="5">
        <f t="shared" si="11"/>
        <v>0</v>
      </c>
      <c r="S42" s="1">
        <f t="shared" si="19"/>
        <v>41.666666666666664</v>
      </c>
      <c r="T42" s="1">
        <f t="shared" si="20"/>
        <v>41.666666666666664</v>
      </c>
      <c r="U42" s="1">
        <v>138.6</v>
      </c>
      <c r="V42" s="1">
        <v>47.6</v>
      </c>
      <c r="W42" s="1">
        <v>76.8</v>
      </c>
      <c r="X42" s="1">
        <v>52</v>
      </c>
      <c r="Y42" s="1">
        <v>53.8</v>
      </c>
      <c r="Z42" s="1">
        <v>69</v>
      </c>
      <c r="AA42" s="1">
        <v>61.6</v>
      </c>
      <c r="AB42" s="1">
        <v>3.6</v>
      </c>
      <c r="AC42" s="1">
        <v>67</v>
      </c>
      <c r="AD42" s="1">
        <v>51.6</v>
      </c>
      <c r="AE42" s="1"/>
      <c r="AF42" s="1">
        <f t="shared" si="12"/>
        <v>0</v>
      </c>
      <c r="AG42" s="7">
        <v>10</v>
      </c>
      <c r="AH42" s="9">
        <f t="shared" si="13"/>
        <v>0</v>
      </c>
      <c r="AI42" s="1">
        <f t="shared" si="14"/>
        <v>0</v>
      </c>
      <c r="AJ42" s="1">
        <v>12</v>
      </c>
      <c r="AK42" s="1">
        <v>84</v>
      </c>
      <c r="AL42" s="9">
        <f t="shared" si="15"/>
        <v>0</v>
      </c>
      <c r="AM42" s="1">
        <f t="shared" si="6"/>
        <v>18.899999999999999</v>
      </c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116</v>
      </c>
      <c r="B43" s="1" t="s">
        <v>42</v>
      </c>
      <c r="C43" s="1">
        <v>403</v>
      </c>
      <c r="D43" s="1">
        <v>843</v>
      </c>
      <c r="E43" s="1">
        <v>254</v>
      </c>
      <c r="F43" s="1">
        <v>960</v>
      </c>
      <c r="G43" s="7">
        <v>0.4</v>
      </c>
      <c r="H43" s="1">
        <v>180</v>
      </c>
      <c r="I43" s="1" t="s">
        <v>117</v>
      </c>
      <c r="J43" s="1"/>
      <c r="K43" s="1">
        <v>432</v>
      </c>
      <c r="L43" s="1">
        <f t="shared" si="17"/>
        <v>-178</v>
      </c>
      <c r="M43" s="1"/>
      <c r="N43" s="1"/>
      <c r="O43" s="1">
        <v>0</v>
      </c>
      <c r="P43" s="1">
        <f t="shared" si="18"/>
        <v>50.8</v>
      </c>
      <c r="Q43" s="5"/>
      <c r="R43" s="5">
        <f t="shared" si="11"/>
        <v>0</v>
      </c>
      <c r="S43" s="1">
        <f t="shared" si="19"/>
        <v>18.897637795275593</v>
      </c>
      <c r="T43" s="1">
        <f t="shared" si="20"/>
        <v>18.897637795275593</v>
      </c>
      <c r="U43" s="1">
        <v>35</v>
      </c>
      <c r="V43" s="1">
        <v>72.8</v>
      </c>
      <c r="W43" s="1">
        <v>63.4</v>
      </c>
      <c r="X43" s="1">
        <v>38.6</v>
      </c>
      <c r="Y43" s="1">
        <v>33.200000000000003</v>
      </c>
      <c r="Z43" s="1">
        <v>68.8</v>
      </c>
      <c r="AA43" s="1">
        <v>37.200000000000003</v>
      </c>
      <c r="AB43" s="1">
        <v>2.4</v>
      </c>
      <c r="AC43" s="1">
        <v>63</v>
      </c>
      <c r="AD43" s="1">
        <v>37.4</v>
      </c>
      <c r="AE43" s="1"/>
      <c r="AF43" s="1">
        <f t="shared" si="12"/>
        <v>0</v>
      </c>
      <c r="AG43" s="7">
        <v>16</v>
      </c>
      <c r="AH43" s="9">
        <f t="shared" si="13"/>
        <v>0</v>
      </c>
      <c r="AI43" s="1">
        <f t="shared" si="14"/>
        <v>0</v>
      </c>
      <c r="AJ43" s="1">
        <v>12</v>
      </c>
      <c r="AK43" s="1">
        <v>84</v>
      </c>
      <c r="AL43" s="9">
        <f t="shared" si="15"/>
        <v>0</v>
      </c>
      <c r="AM43" s="1">
        <f t="shared" si="6"/>
        <v>20.32</v>
      </c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118</v>
      </c>
      <c r="B44" s="1" t="s">
        <v>42</v>
      </c>
      <c r="C44" s="1">
        <v>744</v>
      </c>
      <c r="D44" s="1">
        <v>26</v>
      </c>
      <c r="E44" s="1">
        <v>385</v>
      </c>
      <c r="F44" s="1">
        <v>356</v>
      </c>
      <c r="G44" s="7">
        <v>0.7</v>
      </c>
      <c r="H44" s="1">
        <v>180</v>
      </c>
      <c r="I44" s="1" t="s">
        <v>119</v>
      </c>
      <c r="J44" s="1"/>
      <c r="K44" s="1">
        <v>400</v>
      </c>
      <c r="L44" s="1">
        <f t="shared" si="17"/>
        <v>-15</v>
      </c>
      <c r="M44" s="1"/>
      <c r="N44" s="1"/>
      <c r="O44" s="1">
        <v>360</v>
      </c>
      <c r="P44" s="1">
        <f t="shared" si="18"/>
        <v>77</v>
      </c>
      <c r="Q44" s="5">
        <f t="shared" si="16"/>
        <v>362</v>
      </c>
      <c r="R44" s="5">
        <f t="shared" si="11"/>
        <v>360</v>
      </c>
      <c r="S44" s="1">
        <f t="shared" si="19"/>
        <v>13.974025974025974</v>
      </c>
      <c r="T44" s="1">
        <f t="shared" si="20"/>
        <v>9.2987012987012996</v>
      </c>
      <c r="U44" s="1">
        <v>89.4</v>
      </c>
      <c r="V44" s="1">
        <v>39.200000000000003</v>
      </c>
      <c r="W44" s="1">
        <v>87.4</v>
      </c>
      <c r="X44" s="1">
        <v>89.2</v>
      </c>
      <c r="Y44" s="1">
        <v>65</v>
      </c>
      <c r="Z44" s="1">
        <v>65</v>
      </c>
      <c r="AA44" s="1">
        <v>71.599999999999994</v>
      </c>
      <c r="AB44" s="1">
        <v>42</v>
      </c>
      <c r="AC44" s="1">
        <v>90.6</v>
      </c>
      <c r="AD44" s="1">
        <v>72.8</v>
      </c>
      <c r="AE44" s="1"/>
      <c r="AF44" s="1">
        <f t="shared" si="12"/>
        <v>253.39999999999998</v>
      </c>
      <c r="AG44" s="7">
        <v>10</v>
      </c>
      <c r="AH44" s="9">
        <f t="shared" si="13"/>
        <v>36</v>
      </c>
      <c r="AI44" s="1">
        <f t="shared" si="14"/>
        <v>251.99999999999997</v>
      </c>
      <c r="AJ44" s="1">
        <v>12</v>
      </c>
      <c r="AK44" s="1">
        <v>84</v>
      </c>
      <c r="AL44" s="9">
        <f t="shared" si="15"/>
        <v>0.42857142857142855</v>
      </c>
      <c r="AM44" s="1">
        <f t="shared" si="6"/>
        <v>53.9</v>
      </c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120</v>
      </c>
      <c r="B45" s="1" t="s">
        <v>42</v>
      </c>
      <c r="C45" s="1">
        <v>139</v>
      </c>
      <c r="D45" s="1">
        <v>2022</v>
      </c>
      <c r="E45" s="1">
        <v>491</v>
      </c>
      <c r="F45" s="1">
        <v>1579</v>
      </c>
      <c r="G45" s="7">
        <v>0.7</v>
      </c>
      <c r="H45" s="1">
        <v>180</v>
      </c>
      <c r="I45" s="1" t="s">
        <v>121</v>
      </c>
      <c r="J45" s="1"/>
      <c r="K45" s="1">
        <v>728</v>
      </c>
      <c r="L45" s="1">
        <f t="shared" si="17"/>
        <v>-237</v>
      </c>
      <c r="M45" s="1"/>
      <c r="N45" s="1"/>
      <c r="O45" s="1">
        <v>0</v>
      </c>
      <c r="P45" s="1">
        <f t="shared" si="18"/>
        <v>98.2</v>
      </c>
      <c r="Q45" s="5"/>
      <c r="R45" s="5">
        <f t="shared" si="11"/>
        <v>0</v>
      </c>
      <c r="S45" s="1">
        <f t="shared" si="19"/>
        <v>16.079429735234214</v>
      </c>
      <c r="T45" s="1">
        <f t="shared" si="20"/>
        <v>16.079429735234214</v>
      </c>
      <c r="U45" s="1">
        <v>162.80000000000001</v>
      </c>
      <c r="V45" s="1">
        <v>154.19999999999999</v>
      </c>
      <c r="W45" s="1">
        <v>122.6</v>
      </c>
      <c r="X45" s="1">
        <v>95.6</v>
      </c>
      <c r="Y45" s="1">
        <v>77.599999999999994</v>
      </c>
      <c r="Z45" s="1">
        <v>130</v>
      </c>
      <c r="AA45" s="1">
        <v>119.4</v>
      </c>
      <c r="AB45" s="1">
        <v>88.6</v>
      </c>
      <c r="AC45" s="1">
        <v>110</v>
      </c>
      <c r="AD45" s="1">
        <v>102.6</v>
      </c>
      <c r="AE45" s="1"/>
      <c r="AF45" s="1">
        <f t="shared" si="12"/>
        <v>0</v>
      </c>
      <c r="AG45" s="7">
        <v>10</v>
      </c>
      <c r="AH45" s="9">
        <f t="shared" si="13"/>
        <v>0</v>
      </c>
      <c r="AI45" s="1">
        <f t="shared" si="14"/>
        <v>0</v>
      </c>
      <c r="AJ45" s="1">
        <v>12</v>
      </c>
      <c r="AK45" s="1">
        <v>84</v>
      </c>
      <c r="AL45" s="9">
        <f t="shared" si="15"/>
        <v>0</v>
      </c>
      <c r="AM45" s="1">
        <f t="shared" si="6"/>
        <v>68.739999999999995</v>
      </c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122</v>
      </c>
      <c r="B46" s="1" t="s">
        <v>82</v>
      </c>
      <c r="C46" s="1">
        <v>275.10000000000002</v>
      </c>
      <c r="D46" s="1">
        <v>460</v>
      </c>
      <c r="E46" s="1">
        <v>410</v>
      </c>
      <c r="F46" s="1">
        <v>305.10000000000002</v>
      </c>
      <c r="G46" s="7">
        <v>1</v>
      </c>
      <c r="H46" s="1">
        <v>180</v>
      </c>
      <c r="I46" s="1" t="s">
        <v>123</v>
      </c>
      <c r="J46" s="1"/>
      <c r="K46" s="1">
        <v>430.11099999999999</v>
      </c>
      <c r="L46" s="1">
        <f t="shared" si="17"/>
        <v>-20.11099999999999</v>
      </c>
      <c r="M46" s="1"/>
      <c r="N46" s="1"/>
      <c r="O46" s="1">
        <v>480</v>
      </c>
      <c r="P46" s="1">
        <f t="shared" si="18"/>
        <v>82</v>
      </c>
      <c r="Q46" s="5">
        <f t="shared" si="16"/>
        <v>362.9</v>
      </c>
      <c r="R46" s="5">
        <f t="shared" si="11"/>
        <v>360</v>
      </c>
      <c r="S46" s="1">
        <f t="shared" si="19"/>
        <v>13.964634146341462</v>
      </c>
      <c r="T46" s="1">
        <f t="shared" si="20"/>
        <v>9.5743902439024389</v>
      </c>
      <c r="U46" s="1">
        <v>54</v>
      </c>
      <c r="V46" s="1">
        <v>48</v>
      </c>
      <c r="W46" s="1">
        <v>55</v>
      </c>
      <c r="X46" s="1">
        <v>54</v>
      </c>
      <c r="Y46" s="1">
        <v>57</v>
      </c>
      <c r="Z46" s="1">
        <v>59</v>
      </c>
      <c r="AA46" s="1">
        <v>88</v>
      </c>
      <c r="AB46" s="1">
        <v>23</v>
      </c>
      <c r="AC46" s="1">
        <v>61.98</v>
      </c>
      <c r="AD46" s="1">
        <v>65</v>
      </c>
      <c r="AE46" s="1"/>
      <c r="AF46" s="1">
        <f t="shared" si="12"/>
        <v>362.9</v>
      </c>
      <c r="AG46" s="7">
        <v>5</v>
      </c>
      <c r="AH46" s="9">
        <f t="shared" si="13"/>
        <v>72</v>
      </c>
      <c r="AI46" s="1">
        <f t="shared" si="14"/>
        <v>360</v>
      </c>
      <c r="AJ46" s="1">
        <v>12</v>
      </c>
      <c r="AK46" s="1">
        <v>144</v>
      </c>
      <c r="AL46" s="9">
        <f t="shared" si="15"/>
        <v>0.5</v>
      </c>
      <c r="AM46" s="1">
        <f t="shared" si="6"/>
        <v>82</v>
      </c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124</v>
      </c>
      <c r="B47" s="1" t="s">
        <v>42</v>
      </c>
      <c r="C47" s="1">
        <v>607</v>
      </c>
      <c r="D47" s="1">
        <v>985</v>
      </c>
      <c r="E47" s="1">
        <v>250</v>
      </c>
      <c r="F47" s="1">
        <v>1309</v>
      </c>
      <c r="G47" s="7">
        <v>0.4</v>
      </c>
      <c r="H47" s="1">
        <v>180</v>
      </c>
      <c r="I47" s="1" t="s">
        <v>125</v>
      </c>
      <c r="J47" s="1"/>
      <c r="K47" s="1">
        <v>271</v>
      </c>
      <c r="L47" s="1">
        <f t="shared" si="17"/>
        <v>-21</v>
      </c>
      <c r="M47" s="1"/>
      <c r="N47" s="1"/>
      <c r="O47" s="1">
        <v>0</v>
      </c>
      <c r="P47" s="1">
        <f t="shared" si="18"/>
        <v>50</v>
      </c>
      <c r="Q47" s="5"/>
      <c r="R47" s="5">
        <f t="shared" si="11"/>
        <v>0</v>
      </c>
      <c r="S47" s="1">
        <f t="shared" si="19"/>
        <v>26.18</v>
      </c>
      <c r="T47" s="1">
        <f t="shared" si="20"/>
        <v>26.18</v>
      </c>
      <c r="U47" s="1">
        <v>50.6</v>
      </c>
      <c r="V47" s="1">
        <v>104</v>
      </c>
      <c r="W47" s="1">
        <v>70.8</v>
      </c>
      <c r="X47" s="1">
        <v>80.8</v>
      </c>
      <c r="Y47" s="1">
        <v>68.400000000000006</v>
      </c>
      <c r="Z47" s="1">
        <v>103.2</v>
      </c>
      <c r="AA47" s="1">
        <v>71.599999999999994</v>
      </c>
      <c r="AB47" s="1">
        <v>41.8</v>
      </c>
      <c r="AC47" s="1">
        <v>70.400000000000006</v>
      </c>
      <c r="AD47" s="1">
        <v>26.6</v>
      </c>
      <c r="AE47" s="22" t="s">
        <v>90</v>
      </c>
      <c r="AF47" s="1">
        <f t="shared" si="12"/>
        <v>0</v>
      </c>
      <c r="AG47" s="7">
        <v>16</v>
      </c>
      <c r="AH47" s="9">
        <f t="shared" si="13"/>
        <v>0</v>
      </c>
      <c r="AI47" s="1">
        <f t="shared" si="14"/>
        <v>0</v>
      </c>
      <c r="AJ47" s="1">
        <v>12</v>
      </c>
      <c r="AK47" s="1">
        <v>84</v>
      </c>
      <c r="AL47" s="9">
        <f t="shared" si="15"/>
        <v>0</v>
      </c>
      <c r="AM47" s="1">
        <f t="shared" si="6"/>
        <v>20</v>
      </c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126</v>
      </c>
      <c r="B48" s="1" t="s">
        <v>42</v>
      </c>
      <c r="C48" s="1">
        <v>422</v>
      </c>
      <c r="D48" s="1">
        <v>1967</v>
      </c>
      <c r="E48" s="1">
        <v>756</v>
      </c>
      <c r="F48" s="1">
        <v>1535</v>
      </c>
      <c r="G48" s="7">
        <v>0.7</v>
      </c>
      <c r="H48" s="1">
        <v>180</v>
      </c>
      <c r="I48" s="1" t="s">
        <v>127</v>
      </c>
      <c r="J48" s="1"/>
      <c r="K48" s="1">
        <v>876</v>
      </c>
      <c r="L48" s="1">
        <f t="shared" si="17"/>
        <v>-120</v>
      </c>
      <c r="M48" s="1"/>
      <c r="N48" s="1"/>
      <c r="O48" s="1">
        <v>0</v>
      </c>
      <c r="P48" s="1">
        <f t="shared" si="18"/>
        <v>151.19999999999999</v>
      </c>
      <c r="Q48" s="5">
        <f t="shared" si="16"/>
        <v>581.79999999999973</v>
      </c>
      <c r="R48" s="5">
        <f t="shared" si="11"/>
        <v>600</v>
      </c>
      <c r="S48" s="1">
        <f t="shared" si="19"/>
        <v>14.120370370370372</v>
      </c>
      <c r="T48" s="1">
        <f t="shared" si="20"/>
        <v>10.152116402116404</v>
      </c>
      <c r="U48" s="1">
        <v>140.4</v>
      </c>
      <c r="V48" s="1">
        <v>155.4</v>
      </c>
      <c r="W48" s="1">
        <v>130.4</v>
      </c>
      <c r="X48" s="1">
        <v>128</v>
      </c>
      <c r="Y48" s="1">
        <v>106.8</v>
      </c>
      <c r="Z48" s="1">
        <v>112</v>
      </c>
      <c r="AA48" s="1">
        <v>196.6</v>
      </c>
      <c r="AB48" s="1">
        <v>72.8</v>
      </c>
      <c r="AC48" s="1">
        <v>129.80000000000001</v>
      </c>
      <c r="AD48" s="1">
        <v>107.6</v>
      </c>
      <c r="AE48" s="1"/>
      <c r="AF48" s="1">
        <f t="shared" si="12"/>
        <v>407.25999999999976</v>
      </c>
      <c r="AG48" s="7">
        <v>10</v>
      </c>
      <c r="AH48" s="9">
        <f t="shared" si="13"/>
        <v>60</v>
      </c>
      <c r="AI48" s="1">
        <f t="shared" si="14"/>
        <v>420</v>
      </c>
      <c r="AJ48" s="1">
        <v>12</v>
      </c>
      <c r="AK48" s="1">
        <v>84</v>
      </c>
      <c r="AL48" s="9">
        <f t="shared" si="15"/>
        <v>0.7142857142857143</v>
      </c>
      <c r="AM48" s="1">
        <f t="shared" si="6"/>
        <v>105.83999999999999</v>
      </c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128</v>
      </c>
      <c r="B49" s="1" t="s">
        <v>42</v>
      </c>
      <c r="C49" s="1">
        <v>922</v>
      </c>
      <c r="D49" s="1">
        <v>42</v>
      </c>
      <c r="E49" s="1">
        <v>529</v>
      </c>
      <c r="F49" s="1">
        <v>370</v>
      </c>
      <c r="G49" s="7">
        <v>0.4</v>
      </c>
      <c r="H49" s="1">
        <v>180</v>
      </c>
      <c r="I49" s="1" t="s">
        <v>129</v>
      </c>
      <c r="J49" s="1"/>
      <c r="K49" s="1">
        <v>558</v>
      </c>
      <c r="L49" s="1">
        <f t="shared" si="17"/>
        <v>-29</v>
      </c>
      <c r="M49" s="1"/>
      <c r="N49" s="1"/>
      <c r="O49" s="1">
        <v>576</v>
      </c>
      <c r="P49" s="1">
        <f t="shared" si="18"/>
        <v>105.8</v>
      </c>
      <c r="Q49" s="5">
        <f t="shared" si="16"/>
        <v>535.20000000000005</v>
      </c>
      <c r="R49" s="5">
        <f t="shared" si="11"/>
        <v>576</v>
      </c>
      <c r="S49" s="1">
        <f t="shared" si="19"/>
        <v>14.385633270321362</v>
      </c>
      <c r="T49" s="1">
        <f t="shared" si="20"/>
        <v>8.9413988657844996</v>
      </c>
      <c r="U49" s="1">
        <v>111.8</v>
      </c>
      <c r="V49" s="1">
        <v>57.2</v>
      </c>
      <c r="W49" s="1">
        <v>104.4</v>
      </c>
      <c r="X49" s="1">
        <v>119</v>
      </c>
      <c r="Y49" s="1">
        <v>69.8</v>
      </c>
      <c r="Z49" s="1">
        <v>16.600000000000001</v>
      </c>
      <c r="AA49" s="1">
        <v>72.400000000000006</v>
      </c>
      <c r="AB49" s="1">
        <v>25.8</v>
      </c>
      <c r="AC49" s="1">
        <v>47.8</v>
      </c>
      <c r="AD49" s="1">
        <v>27</v>
      </c>
      <c r="AE49" s="1"/>
      <c r="AF49" s="1">
        <f t="shared" si="12"/>
        <v>214.08000000000004</v>
      </c>
      <c r="AG49" s="7">
        <v>16</v>
      </c>
      <c r="AH49" s="9">
        <f t="shared" si="13"/>
        <v>36</v>
      </c>
      <c r="AI49" s="1">
        <f t="shared" si="14"/>
        <v>230.4</v>
      </c>
      <c r="AJ49" s="1">
        <v>12</v>
      </c>
      <c r="AK49" s="1">
        <v>84</v>
      </c>
      <c r="AL49" s="9">
        <f t="shared" si="15"/>
        <v>0.42857142857142855</v>
      </c>
      <c r="AM49" s="1">
        <f t="shared" si="6"/>
        <v>42.32</v>
      </c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48</v>
      </c>
      <c r="B50" s="1" t="s">
        <v>42</v>
      </c>
      <c r="C50" s="1">
        <v>435</v>
      </c>
      <c r="D50" s="1">
        <v>2067</v>
      </c>
      <c r="E50" s="1">
        <v>961</v>
      </c>
      <c r="F50" s="19">
        <f>1500+F8</f>
        <v>1648</v>
      </c>
      <c r="G50" s="7">
        <v>0.7</v>
      </c>
      <c r="H50" s="1">
        <v>180</v>
      </c>
      <c r="I50" s="1" t="s">
        <v>130</v>
      </c>
      <c r="J50" s="1"/>
      <c r="K50" s="1">
        <v>997</v>
      </c>
      <c r="L50" s="1">
        <f t="shared" si="17"/>
        <v>-36</v>
      </c>
      <c r="M50" s="1"/>
      <c r="N50" s="1"/>
      <c r="O50" s="1">
        <v>0</v>
      </c>
      <c r="P50" s="1">
        <f t="shared" si="18"/>
        <v>192.2</v>
      </c>
      <c r="Q50" s="5">
        <f t="shared" si="16"/>
        <v>1042.7999999999997</v>
      </c>
      <c r="R50" s="5">
        <f t="shared" si="11"/>
        <v>1080</v>
      </c>
      <c r="S50" s="1">
        <f t="shared" si="19"/>
        <v>14.193548387096776</v>
      </c>
      <c r="T50" s="1">
        <f t="shared" si="20"/>
        <v>8.5744016649323633</v>
      </c>
      <c r="U50" s="1">
        <v>148.6</v>
      </c>
      <c r="V50" s="1">
        <v>182.2</v>
      </c>
      <c r="W50" s="1">
        <v>154</v>
      </c>
      <c r="X50" s="1">
        <v>146.6</v>
      </c>
      <c r="Y50" s="1">
        <v>123.8</v>
      </c>
      <c r="Z50" s="1">
        <v>206.8</v>
      </c>
      <c r="AA50" s="1">
        <v>227.4</v>
      </c>
      <c r="AB50" s="1">
        <v>79.400000000000006</v>
      </c>
      <c r="AC50" s="1">
        <v>181.6</v>
      </c>
      <c r="AD50" s="1">
        <v>193</v>
      </c>
      <c r="AE50" s="1"/>
      <c r="AF50" s="1">
        <f t="shared" si="12"/>
        <v>729.95999999999981</v>
      </c>
      <c r="AG50" s="7">
        <v>10</v>
      </c>
      <c r="AH50" s="9">
        <f t="shared" si="13"/>
        <v>108</v>
      </c>
      <c r="AI50" s="1">
        <f t="shared" si="14"/>
        <v>756</v>
      </c>
      <c r="AJ50" s="1">
        <v>12</v>
      </c>
      <c r="AK50" s="1">
        <v>84</v>
      </c>
      <c r="AL50" s="9">
        <f t="shared" si="15"/>
        <v>1.2857142857142858</v>
      </c>
      <c r="AM50" s="1">
        <f t="shared" si="6"/>
        <v>134.54</v>
      </c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131</v>
      </c>
      <c r="B51" s="1" t="s">
        <v>42</v>
      </c>
      <c r="C51" s="1">
        <v>26</v>
      </c>
      <c r="D51" s="1">
        <v>397</v>
      </c>
      <c r="E51" s="1">
        <v>201</v>
      </c>
      <c r="F51" s="1">
        <v>208</v>
      </c>
      <c r="G51" s="7">
        <v>0.8</v>
      </c>
      <c r="H51" s="1"/>
      <c r="I51" s="21" t="s">
        <v>132</v>
      </c>
      <c r="J51" s="1"/>
      <c r="K51" s="1">
        <v>271</v>
      </c>
      <c r="L51" s="1">
        <f t="shared" si="17"/>
        <v>-70</v>
      </c>
      <c r="M51" s="1"/>
      <c r="N51" s="1"/>
      <c r="O51" s="1">
        <v>384</v>
      </c>
      <c r="P51" s="1">
        <f t="shared" si="18"/>
        <v>40.200000000000003</v>
      </c>
      <c r="Q51" s="5">
        <v>80</v>
      </c>
      <c r="R51" s="5">
        <f t="shared" si="11"/>
        <v>96</v>
      </c>
      <c r="S51" s="1">
        <f t="shared" si="19"/>
        <v>17.114427860696516</v>
      </c>
      <c r="T51" s="1">
        <f t="shared" si="20"/>
        <v>14.726368159203979</v>
      </c>
      <c r="U51" s="1">
        <v>8.1999999999999993</v>
      </c>
      <c r="V51" s="1">
        <v>12.4</v>
      </c>
      <c r="W51" s="1">
        <v>7.2</v>
      </c>
      <c r="X51" s="1">
        <v>6</v>
      </c>
      <c r="Y51" s="1">
        <v>8.4</v>
      </c>
      <c r="Z51" s="1">
        <v>5.8</v>
      </c>
      <c r="AA51" s="1">
        <v>15.2</v>
      </c>
      <c r="AB51" s="1">
        <v>0.8</v>
      </c>
      <c r="AC51" s="1">
        <v>8</v>
      </c>
      <c r="AD51" s="1">
        <v>0</v>
      </c>
      <c r="AE51" s="1" t="s">
        <v>175</v>
      </c>
      <c r="AF51" s="1">
        <f t="shared" si="12"/>
        <v>64</v>
      </c>
      <c r="AG51" s="7">
        <v>8</v>
      </c>
      <c r="AH51" s="9">
        <f t="shared" si="13"/>
        <v>12</v>
      </c>
      <c r="AI51" s="1">
        <f t="shared" si="14"/>
        <v>76.800000000000011</v>
      </c>
      <c r="AJ51" s="1">
        <v>12</v>
      </c>
      <c r="AK51" s="1">
        <v>84</v>
      </c>
      <c r="AL51" s="9">
        <f t="shared" si="15"/>
        <v>0.14285714285714285</v>
      </c>
      <c r="AM51" s="1">
        <f t="shared" si="6"/>
        <v>32.160000000000004</v>
      </c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133</v>
      </c>
      <c r="B52" s="1" t="s">
        <v>42</v>
      </c>
      <c r="C52" s="1">
        <v>550</v>
      </c>
      <c r="D52" s="1">
        <v>755</v>
      </c>
      <c r="E52" s="1">
        <v>642</v>
      </c>
      <c r="F52" s="1">
        <v>633</v>
      </c>
      <c r="G52" s="7">
        <v>1</v>
      </c>
      <c r="H52" s="1">
        <v>180</v>
      </c>
      <c r="I52" s="1" t="s">
        <v>134</v>
      </c>
      <c r="J52" s="1"/>
      <c r="K52" s="1">
        <v>674</v>
      </c>
      <c r="L52" s="1">
        <f t="shared" si="17"/>
        <v>-32</v>
      </c>
      <c r="M52" s="1"/>
      <c r="N52" s="1"/>
      <c r="O52" s="1">
        <v>120</v>
      </c>
      <c r="P52" s="1">
        <f t="shared" si="18"/>
        <v>128.4</v>
      </c>
      <c r="Q52" s="5">
        <f t="shared" si="16"/>
        <v>1044.6000000000001</v>
      </c>
      <c r="R52" s="5">
        <f t="shared" si="11"/>
        <v>1020</v>
      </c>
      <c r="S52" s="1">
        <f t="shared" si="19"/>
        <v>13.808411214953271</v>
      </c>
      <c r="T52" s="1">
        <f t="shared" si="20"/>
        <v>5.8644859813084107</v>
      </c>
      <c r="U52" s="1">
        <v>105.2</v>
      </c>
      <c r="V52" s="1">
        <v>97</v>
      </c>
      <c r="W52" s="1">
        <v>118.4</v>
      </c>
      <c r="X52" s="1">
        <v>97.4</v>
      </c>
      <c r="Y52" s="1">
        <v>82.4</v>
      </c>
      <c r="Z52" s="1">
        <v>117</v>
      </c>
      <c r="AA52" s="1">
        <v>160</v>
      </c>
      <c r="AB52" s="1">
        <v>57.8</v>
      </c>
      <c r="AC52" s="1">
        <v>136</v>
      </c>
      <c r="AD52" s="1">
        <v>134.4</v>
      </c>
      <c r="AE52" s="1"/>
      <c r="AF52" s="1">
        <f t="shared" si="12"/>
        <v>1044.6000000000001</v>
      </c>
      <c r="AG52" s="7">
        <v>5</v>
      </c>
      <c r="AH52" s="9">
        <f t="shared" si="13"/>
        <v>204</v>
      </c>
      <c r="AI52" s="1">
        <f t="shared" si="14"/>
        <v>1020</v>
      </c>
      <c r="AJ52" s="1">
        <v>12</v>
      </c>
      <c r="AK52" s="1">
        <v>84</v>
      </c>
      <c r="AL52" s="9">
        <f t="shared" si="15"/>
        <v>2.4285714285714284</v>
      </c>
      <c r="AM52" s="1">
        <f t="shared" si="6"/>
        <v>128.4</v>
      </c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135</v>
      </c>
      <c r="B53" s="1" t="s">
        <v>42</v>
      </c>
      <c r="C53" s="1">
        <v>162</v>
      </c>
      <c r="D53" s="1">
        <v>97</v>
      </c>
      <c r="E53" s="1">
        <v>140</v>
      </c>
      <c r="F53" s="1">
        <v>119</v>
      </c>
      <c r="G53" s="7">
        <v>0.9</v>
      </c>
      <c r="H53" s="1">
        <v>180</v>
      </c>
      <c r="I53" s="1" t="s">
        <v>136</v>
      </c>
      <c r="J53" s="1"/>
      <c r="K53" s="1">
        <v>140</v>
      </c>
      <c r="L53" s="1">
        <f t="shared" si="17"/>
        <v>0</v>
      </c>
      <c r="M53" s="1"/>
      <c r="N53" s="1"/>
      <c r="O53" s="1">
        <v>96</v>
      </c>
      <c r="P53" s="1">
        <f t="shared" si="18"/>
        <v>28</v>
      </c>
      <c r="Q53" s="5">
        <f t="shared" si="16"/>
        <v>177</v>
      </c>
      <c r="R53" s="5">
        <f t="shared" si="11"/>
        <v>192</v>
      </c>
      <c r="S53" s="1">
        <f t="shared" si="19"/>
        <v>14.535714285714286</v>
      </c>
      <c r="T53" s="1">
        <f t="shared" si="20"/>
        <v>7.6785714285714288</v>
      </c>
      <c r="U53" s="1">
        <v>25.4</v>
      </c>
      <c r="V53" s="1">
        <v>20.399999999999999</v>
      </c>
      <c r="W53" s="1">
        <v>28.2</v>
      </c>
      <c r="X53" s="1">
        <v>24.8</v>
      </c>
      <c r="Y53" s="1">
        <v>23.2</v>
      </c>
      <c r="Z53" s="1">
        <v>17.600000000000001</v>
      </c>
      <c r="AA53" s="1">
        <v>35.4</v>
      </c>
      <c r="AB53" s="1">
        <v>6.6</v>
      </c>
      <c r="AC53" s="1">
        <v>41.8</v>
      </c>
      <c r="AD53" s="1">
        <v>26.4</v>
      </c>
      <c r="AE53" s="1"/>
      <c r="AF53" s="1">
        <f t="shared" si="12"/>
        <v>159.30000000000001</v>
      </c>
      <c r="AG53" s="7">
        <v>8</v>
      </c>
      <c r="AH53" s="9">
        <f t="shared" si="13"/>
        <v>24</v>
      </c>
      <c r="AI53" s="1">
        <f t="shared" si="14"/>
        <v>172.8</v>
      </c>
      <c r="AJ53" s="1">
        <v>12</v>
      </c>
      <c r="AK53" s="1">
        <v>84</v>
      </c>
      <c r="AL53" s="9">
        <f t="shared" si="15"/>
        <v>0.2857142857142857</v>
      </c>
      <c r="AM53" s="1">
        <f t="shared" si="6"/>
        <v>25.2</v>
      </c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137</v>
      </c>
      <c r="B54" s="1" t="s">
        <v>82</v>
      </c>
      <c r="C54" s="1">
        <v>315</v>
      </c>
      <c r="D54" s="1">
        <v>75</v>
      </c>
      <c r="E54" s="1">
        <v>170</v>
      </c>
      <c r="F54" s="1">
        <v>200</v>
      </c>
      <c r="G54" s="7">
        <v>1</v>
      </c>
      <c r="H54" s="1">
        <v>180</v>
      </c>
      <c r="I54" s="1" t="s">
        <v>138</v>
      </c>
      <c r="J54" s="1"/>
      <c r="K54" s="1">
        <v>190</v>
      </c>
      <c r="L54" s="1">
        <f t="shared" si="17"/>
        <v>-20</v>
      </c>
      <c r="M54" s="1"/>
      <c r="N54" s="1"/>
      <c r="O54" s="1">
        <v>0</v>
      </c>
      <c r="P54" s="1">
        <f t="shared" si="18"/>
        <v>34</v>
      </c>
      <c r="Q54" s="5">
        <f t="shared" si="16"/>
        <v>276</v>
      </c>
      <c r="R54" s="5">
        <f t="shared" si="11"/>
        <v>300</v>
      </c>
      <c r="S54" s="1">
        <f t="shared" si="19"/>
        <v>14.705882352941176</v>
      </c>
      <c r="T54" s="1">
        <f t="shared" si="20"/>
        <v>5.882352941176471</v>
      </c>
      <c r="U54" s="1">
        <v>27.611999999999998</v>
      </c>
      <c r="V54" s="1">
        <v>29</v>
      </c>
      <c r="W54" s="1">
        <v>39</v>
      </c>
      <c r="X54" s="1">
        <v>38</v>
      </c>
      <c r="Y54" s="1">
        <v>32</v>
      </c>
      <c r="Z54" s="1">
        <v>32</v>
      </c>
      <c r="AA54" s="1">
        <v>53</v>
      </c>
      <c r="AB54" s="1">
        <v>16</v>
      </c>
      <c r="AC54" s="1">
        <v>54</v>
      </c>
      <c r="AD54" s="1">
        <v>58</v>
      </c>
      <c r="AE54" s="1"/>
      <c r="AF54" s="1">
        <f t="shared" si="12"/>
        <v>276</v>
      </c>
      <c r="AG54" s="7">
        <v>5</v>
      </c>
      <c r="AH54" s="9">
        <f t="shared" si="13"/>
        <v>60</v>
      </c>
      <c r="AI54" s="1">
        <f t="shared" si="14"/>
        <v>300</v>
      </c>
      <c r="AJ54" s="1">
        <v>12</v>
      </c>
      <c r="AK54" s="1">
        <v>144</v>
      </c>
      <c r="AL54" s="9">
        <f t="shared" si="15"/>
        <v>0.41666666666666669</v>
      </c>
      <c r="AM54" s="1">
        <f t="shared" si="6"/>
        <v>34</v>
      </c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139</v>
      </c>
      <c r="B55" s="1" t="s">
        <v>42</v>
      </c>
      <c r="C55" s="1">
        <v>19</v>
      </c>
      <c r="D55" s="1">
        <v>62</v>
      </c>
      <c r="E55" s="1">
        <v>57</v>
      </c>
      <c r="F55" s="1">
        <v>17</v>
      </c>
      <c r="G55" s="7">
        <v>1</v>
      </c>
      <c r="H55" s="1">
        <v>180</v>
      </c>
      <c r="I55" s="21" t="s">
        <v>140</v>
      </c>
      <c r="J55" s="1"/>
      <c r="K55" s="1">
        <v>137</v>
      </c>
      <c r="L55" s="1">
        <f t="shared" si="17"/>
        <v>-80</v>
      </c>
      <c r="M55" s="1"/>
      <c r="N55" s="1"/>
      <c r="O55" s="1">
        <v>480</v>
      </c>
      <c r="P55" s="1">
        <f t="shared" si="18"/>
        <v>11.4</v>
      </c>
      <c r="Q55" s="5">
        <v>40</v>
      </c>
      <c r="R55" s="5">
        <f t="shared" si="11"/>
        <v>60</v>
      </c>
      <c r="S55" s="1">
        <f t="shared" si="19"/>
        <v>48.859649122807014</v>
      </c>
      <c r="T55" s="1">
        <f t="shared" si="20"/>
        <v>43.596491228070171</v>
      </c>
      <c r="U55" s="1">
        <v>1.6</v>
      </c>
      <c r="V55" s="1">
        <v>1.4</v>
      </c>
      <c r="W55" s="1">
        <v>2.2000000000000002</v>
      </c>
      <c r="X55" s="1">
        <v>1.4</v>
      </c>
      <c r="Y55" s="1">
        <v>1.4</v>
      </c>
      <c r="Z55" s="1">
        <v>1.8</v>
      </c>
      <c r="AA55" s="1">
        <v>2.6</v>
      </c>
      <c r="AB55" s="1">
        <v>0.8</v>
      </c>
      <c r="AC55" s="1">
        <v>1.4</v>
      </c>
      <c r="AD55" s="1">
        <v>3.4</v>
      </c>
      <c r="AE55" s="1" t="s">
        <v>176</v>
      </c>
      <c r="AF55" s="1">
        <f t="shared" si="12"/>
        <v>40</v>
      </c>
      <c r="AG55" s="7">
        <v>5</v>
      </c>
      <c r="AH55" s="9">
        <f t="shared" si="13"/>
        <v>12</v>
      </c>
      <c r="AI55" s="1">
        <f t="shared" si="14"/>
        <v>60</v>
      </c>
      <c r="AJ55" s="1">
        <v>12</v>
      </c>
      <c r="AK55" s="1">
        <v>84</v>
      </c>
      <c r="AL55" s="9">
        <f t="shared" si="15"/>
        <v>0.14285714285714285</v>
      </c>
      <c r="AM55" s="1">
        <f t="shared" si="6"/>
        <v>11.4</v>
      </c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141</v>
      </c>
      <c r="B56" s="1" t="s">
        <v>82</v>
      </c>
      <c r="C56" s="1">
        <v>34.5</v>
      </c>
      <c r="D56" s="1">
        <v>270.10000000000002</v>
      </c>
      <c r="E56" s="1">
        <v>148</v>
      </c>
      <c r="F56" s="1">
        <v>152.9</v>
      </c>
      <c r="G56" s="7">
        <v>1</v>
      </c>
      <c r="H56" s="1">
        <v>180</v>
      </c>
      <c r="I56" s="1" t="s">
        <v>142</v>
      </c>
      <c r="J56" s="1"/>
      <c r="K56" s="1">
        <v>162.80000000000001</v>
      </c>
      <c r="L56" s="1">
        <f t="shared" si="17"/>
        <v>-14.800000000000011</v>
      </c>
      <c r="M56" s="1"/>
      <c r="N56" s="1"/>
      <c r="O56" s="1">
        <v>51.8</v>
      </c>
      <c r="P56" s="1">
        <f t="shared" si="18"/>
        <v>29.6</v>
      </c>
      <c r="Q56" s="5">
        <f t="shared" si="16"/>
        <v>209.70000000000002</v>
      </c>
      <c r="R56" s="5">
        <f t="shared" si="11"/>
        <v>207.20000000000002</v>
      </c>
      <c r="S56" s="1">
        <f t="shared" si="19"/>
        <v>13.915540540540539</v>
      </c>
      <c r="T56" s="1">
        <f t="shared" si="20"/>
        <v>6.9155405405405395</v>
      </c>
      <c r="U56" s="1">
        <v>25.92</v>
      </c>
      <c r="V56" s="1">
        <v>22.2</v>
      </c>
      <c r="W56" s="1">
        <v>19.98</v>
      </c>
      <c r="X56" s="1">
        <v>17.02</v>
      </c>
      <c r="Y56" s="1">
        <v>16.14</v>
      </c>
      <c r="Z56" s="1">
        <v>25.16</v>
      </c>
      <c r="AA56" s="1">
        <v>22.2</v>
      </c>
      <c r="AB56" s="1">
        <v>7.4</v>
      </c>
      <c r="AC56" s="1">
        <v>27.77999999999999</v>
      </c>
      <c r="AD56" s="1">
        <v>19.239999999999998</v>
      </c>
      <c r="AE56" s="1"/>
      <c r="AF56" s="1">
        <f t="shared" si="12"/>
        <v>209.70000000000002</v>
      </c>
      <c r="AG56" s="7">
        <v>3.7</v>
      </c>
      <c r="AH56" s="9">
        <f t="shared" si="13"/>
        <v>56</v>
      </c>
      <c r="AI56" s="1">
        <f t="shared" si="14"/>
        <v>207.20000000000002</v>
      </c>
      <c r="AJ56" s="1">
        <v>14</v>
      </c>
      <c r="AK56" s="1">
        <v>126</v>
      </c>
      <c r="AL56" s="9">
        <f t="shared" si="15"/>
        <v>0.44444444444444442</v>
      </c>
      <c r="AM56" s="1">
        <f t="shared" si="6"/>
        <v>29.6</v>
      </c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143</v>
      </c>
      <c r="B57" s="1" t="s">
        <v>42</v>
      </c>
      <c r="C57" s="1">
        <v>197</v>
      </c>
      <c r="D57" s="1">
        <v>1131</v>
      </c>
      <c r="E57" s="1">
        <v>267</v>
      </c>
      <c r="F57" s="1">
        <v>1057</v>
      </c>
      <c r="G57" s="7">
        <v>0.23</v>
      </c>
      <c r="H57" s="1">
        <v>180</v>
      </c>
      <c r="I57" s="1" t="s">
        <v>144</v>
      </c>
      <c r="J57" s="1"/>
      <c r="K57" s="1">
        <v>275</v>
      </c>
      <c r="L57" s="1">
        <f t="shared" si="17"/>
        <v>-8</v>
      </c>
      <c r="M57" s="1"/>
      <c r="N57" s="1"/>
      <c r="O57" s="1">
        <v>168</v>
      </c>
      <c r="P57" s="1">
        <f t="shared" si="18"/>
        <v>53.4</v>
      </c>
      <c r="Q57" s="5"/>
      <c r="R57" s="5">
        <f t="shared" si="11"/>
        <v>0</v>
      </c>
      <c r="S57" s="1">
        <f t="shared" si="19"/>
        <v>22.940074906367041</v>
      </c>
      <c r="T57" s="1">
        <f t="shared" si="20"/>
        <v>22.940074906367041</v>
      </c>
      <c r="U57" s="1">
        <v>112.6</v>
      </c>
      <c r="V57" s="1">
        <v>101.4</v>
      </c>
      <c r="W57" s="1">
        <v>87.4</v>
      </c>
      <c r="X57" s="1">
        <v>84.4</v>
      </c>
      <c r="Y57" s="1">
        <v>71.8</v>
      </c>
      <c r="Z57" s="1">
        <v>72.2</v>
      </c>
      <c r="AA57" s="1">
        <v>83.8</v>
      </c>
      <c r="AB57" s="1">
        <v>31.2</v>
      </c>
      <c r="AC57" s="1">
        <v>145.4</v>
      </c>
      <c r="AD57" s="1">
        <v>96.2</v>
      </c>
      <c r="AE57" s="1"/>
      <c r="AF57" s="1">
        <f t="shared" si="12"/>
        <v>0</v>
      </c>
      <c r="AG57" s="7">
        <v>6</v>
      </c>
      <c r="AH57" s="9">
        <f t="shared" si="13"/>
        <v>0</v>
      </c>
      <c r="AI57" s="1">
        <f t="shared" si="14"/>
        <v>0</v>
      </c>
      <c r="AJ57" s="1">
        <v>14</v>
      </c>
      <c r="AK57" s="1">
        <v>140</v>
      </c>
      <c r="AL57" s="9">
        <f t="shared" si="15"/>
        <v>0</v>
      </c>
      <c r="AM57" s="1">
        <f t="shared" si="6"/>
        <v>12.282</v>
      </c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3" t="s">
        <v>55</v>
      </c>
      <c r="B58" s="1" t="s">
        <v>42</v>
      </c>
      <c r="C58" s="1">
        <v>439</v>
      </c>
      <c r="D58" s="1">
        <v>136</v>
      </c>
      <c r="E58" s="19">
        <f>760+E11</f>
        <v>776</v>
      </c>
      <c r="F58" s="19">
        <f>-293+F11</f>
        <v>1539</v>
      </c>
      <c r="G58" s="7">
        <v>0.25</v>
      </c>
      <c r="H58" s="1">
        <v>180</v>
      </c>
      <c r="I58" s="1" t="s">
        <v>145</v>
      </c>
      <c r="J58" s="1"/>
      <c r="K58" s="1">
        <v>848</v>
      </c>
      <c r="L58" s="1">
        <f t="shared" si="17"/>
        <v>-72</v>
      </c>
      <c r="M58" s="1"/>
      <c r="N58" s="1"/>
      <c r="O58" s="1">
        <v>1176</v>
      </c>
      <c r="P58" s="1">
        <f t="shared" si="18"/>
        <v>155.19999999999999</v>
      </c>
      <c r="Q58" s="5"/>
      <c r="R58" s="5">
        <f t="shared" si="11"/>
        <v>0</v>
      </c>
      <c r="S58" s="1">
        <f t="shared" si="19"/>
        <v>17.493556701030929</v>
      </c>
      <c r="T58" s="1">
        <f t="shared" si="20"/>
        <v>17.493556701030929</v>
      </c>
      <c r="U58" s="1">
        <v>274</v>
      </c>
      <c r="V58" s="1">
        <v>194.8</v>
      </c>
      <c r="W58" s="1">
        <v>199.4</v>
      </c>
      <c r="X58" s="1">
        <v>191</v>
      </c>
      <c r="Y58" s="1">
        <v>146.6</v>
      </c>
      <c r="Z58" s="1">
        <v>116</v>
      </c>
      <c r="AA58" s="1">
        <v>183.8</v>
      </c>
      <c r="AB58" s="1">
        <v>119.6</v>
      </c>
      <c r="AC58" s="1">
        <v>135</v>
      </c>
      <c r="AD58" s="1">
        <v>121</v>
      </c>
      <c r="AE58" s="1"/>
      <c r="AF58" s="1">
        <f t="shared" si="12"/>
        <v>0</v>
      </c>
      <c r="AG58" s="7">
        <v>12</v>
      </c>
      <c r="AH58" s="9">
        <f t="shared" si="13"/>
        <v>0</v>
      </c>
      <c r="AI58" s="1">
        <f t="shared" si="14"/>
        <v>0</v>
      </c>
      <c r="AJ58" s="1">
        <v>14</v>
      </c>
      <c r="AK58" s="1">
        <v>70</v>
      </c>
      <c r="AL58" s="9">
        <f t="shared" si="15"/>
        <v>0</v>
      </c>
      <c r="AM58" s="1">
        <f t="shared" si="6"/>
        <v>38.799999999999997</v>
      </c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146</v>
      </c>
      <c r="B59" s="1" t="s">
        <v>42</v>
      </c>
      <c r="C59" s="1">
        <v>244</v>
      </c>
      <c r="D59" s="1">
        <v>1542</v>
      </c>
      <c r="E59" s="1">
        <v>557</v>
      </c>
      <c r="F59" s="1">
        <v>1228</v>
      </c>
      <c r="G59" s="7">
        <v>0.25</v>
      </c>
      <c r="H59" s="1">
        <v>180</v>
      </c>
      <c r="I59" s="1" t="s">
        <v>147</v>
      </c>
      <c r="J59" s="1"/>
      <c r="K59" s="1">
        <v>656</v>
      </c>
      <c r="L59" s="1">
        <f t="shared" si="17"/>
        <v>-99</v>
      </c>
      <c r="M59" s="1"/>
      <c r="N59" s="1"/>
      <c r="O59" s="1">
        <v>840</v>
      </c>
      <c r="P59" s="1">
        <f t="shared" si="18"/>
        <v>111.4</v>
      </c>
      <c r="Q59" s="5"/>
      <c r="R59" s="5">
        <f t="shared" si="11"/>
        <v>0</v>
      </c>
      <c r="S59" s="1">
        <f t="shared" si="19"/>
        <v>18.563734290843804</v>
      </c>
      <c r="T59" s="1">
        <f t="shared" si="20"/>
        <v>18.563734290843804</v>
      </c>
      <c r="U59" s="1">
        <v>196.6</v>
      </c>
      <c r="V59" s="1">
        <v>144.4</v>
      </c>
      <c r="W59" s="1">
        <v>139</v>
      </c>
      <c r="X59" s="1">
        <v>131.6</v>
      </c>
      <c r="Y59" s="1">
        <v>105.4</v>
      </c>
      <c r="Z59" s="1">
        <v>123.2</v>
      </c>
      <c r="AA59" s="1">
        <v>102.4</v>
      </c>
      <c r="AB59" s="1">
        <v>41</v>
      </c>
      <c r="AC59" s="1">
        <v>114.8</v>
      </c>
      <c r="AD59" s="1">
        <v>106.8</v>
      </c>
      <c r="AE59" s="1"/>
      <c r="AF59" s="1">
        <f t="shared" si="12"/>
        <v>0</v>
      </c>
      <c r="AG59" s="7">
        <v>12</v>
      </c>
      <c r="AH59" s="9">
        <f t="shared" si="13"/>
        <v>0</v>
      </c>
      <c r="AI59" s="1">
        <f t="shared" si="14"/>
        <v>0</v>
      </c>
      <c r="AJ59" s="1">
        <v>14</v>
      </c>
      <c r="AK59" s="1">
        <v>70</v>
      </c>
      <c r="AL59" s="9">
        <f t="shared" si="15"/>
        <v>0</v>
      </c>
      <c r="AM59" s="1">
        <f t="shared" si="6"/>
        <v>27.85</v>
      </c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148</v>
      </c>
      <c r="B60" s="1" t="s">
        <v>42</v>
      </c>
      <c r="C60" s="1">
        <v>8</v>
      </c>
      <c r="D60" s="1">
        <v>168</v>
      </c>
      <c r="E60" s="1">
        <v>31</v>
      </c>
      <c r="F60" s="1">
        <v>145</v>
      </c>
      <c r="G60" s="7">
        <v>0.18</v>
      </c>
      <c r="H60" s="1">
        <v>180</v>
      </c>
      <c r="I60" s="1" t="s">
        <v>149</v>
      </c>
      <c r="J60" s="1"/>
      <c r="K60" s="1">
        <v>61</v>
      </c>
      <c r="L60" s="1">
        <f t="shared" si="17"/>
        <v>-30</v>
      </c>
      <c r="M60" s="1"/>
      <c r="N60" s="1"/>
      <c r="O60" s="1">
        <v>84</v>
      </c>
      <c r="P60" s="1">
        <f t="shared" si="18"/>
        <v>6.2</v>
      </c>
      <c r="Q60" s="5"/>
      <c r="R60" s="5">
        <f t="shared" si="11"/>
        <v>0</v>
      </c>
      <c r="S60" s="1">
        <f t="shared" si="19"/>
        <v>36.935483870967744</v>
      </c>
      <c r="T60" s="1">
        <f t="shared" si="20"/>
        <v>36.935483870967744</v>
      </c>
      <c r="U60" s="1">
        <v>22.4</v>
      </c>
      <c r="V60" s="1">
        <v>18.2</v>
      </c>
      <c r="W60" s="1">
        <v>16.399999999999999</v>
      </c>
      <c r="X60" s="1">
        <v>16.600000000000001</v>
      </c>
      <c r="Y60" s="1">
        <v>12.6</v>
      </c>
      <c r="Z60" s="1">
        <v>21.4</v>
      </c>
      <c r="AA60" s="1">
        <v>29.8</v>
      </c>
      <c r="AB60" s="1">
        <v>6.4</v>
      </c>
      <c r="AC60" s="1">
        <v>25.8</v>
      </c>
      <c r="AD60" s="1">
        <v>37</v>
      </c>
      <c r="AE60" s="1"/>
      <c r="AF60" s="1">
        <f t="shared" si="12"/>
        <v>0</v>
      </c>
      <c r="AG60" s="7">
        <v>6</v>
      </c>
      <c r="AH60" s="9">
        <f t="shared" si="13"/>
        <v>0</v>
      </c>
      <c r="AI60" s="1">
        <f t="shared" si="14"/>
        <v>0</v>
      </c>
      <c r="AJ60" s="1">
        <v>14</v>
      </c>
      <c r="AK60" s="1">
        <v>140</v>
      </c>
      <c r="AL60" s="9">
        <f t="shared" si="15"/>
        <v>0</v>
      </c>
      <c r="AM60" s="1">
        <f t="shared" si="6"/>
        <v>1.1159999999999999</v>
      </c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150</v>
      </c>
      <c r="B61" s="1" t="s">
        <v>42</v>
      </c>
      <c r="C61" s="1">
        <v>79</v>
      </c>
      <c r="D61" s="1">
        <v>1020</v>
      </c>
      <c r="E61" s="1">
        <v>79</v>
      </c>
      <c r="F61" s="1">
        <v>1020</v>
      </c>
      <c r="G61" s="7">
        <v>0.18</v>
      </c>
      <c r="H61" s="1">
        <v>180</v>
      </c>
      <c r="I61" s="1" t="s">
        <v>151</v>
      </c>
      <c r="J61" s="1"/>
      <c r="K61" s="1">
        <v>81</v>
      </c>
      <c r="L61" s="1">
        <f t="shared" si="17"/>
        <v>-2</v>
      </c>
      <c r="M61" s="1"/>
      <c r="N61" s="1"/>
      <c r="O61" s="1">
        <v>0</v>
      </c>
      <c r="P61" s="1">
        <f t="shared" si="18"/>
        <v>15.8</v>
      </c>
      <c r="Q61" s="5"/>
      <c r="R61" s="5">
        <f t="shared" si="11"/>
        <v>0</v>
      </c>
      <c r="S61" s="1">
        <f t="shared" si="19"/>
        <v>64.556962025316452</v>
      </c>
      <c r="T61" s="1">
        <f t="shared" si="20"/>
        <v>64.556962025316452</v>
      </c>
      <c r="U61" s="1">
        <v>41.2</v>
      </c>
      <c r="V61" s="1">
        <v>77.2</v>
      </c>
      <c r="W61" s="1">
        <v>47</v>
      </c>
      <c r="X61" s="1">
        <v>30</v>
      </c>
      <c r="Y61" s="1">
        <v>33.799999999999997</v>
      </c>
      <c r="Z61" s="1">
        <v>43</v>
      </c>
      <c r="AA61" s="1">
        <v>31.2</v>
      </c>
      <c r="AB61" s="1">
        <v>3.8</v>
      </c>
      <c r="AC61" s="1">
        <v>27.8</v>
      </c>
      <c r="AD61" s="1">
        <v>37.6</v>
      </c>
      <c r="AE61" s="1"/>
      <c r="AF61" s="1">
        <f t="shared" si="12"/>
        <v>0</v>
      </c>
      <c r="AG61" s="7">
        <v>6</v>
      </c>
      <c r="AH61" s="9">
        <f t="shared" si="13"/>
        <v>0</v>
      </c>
      <c r="AI61" s="1">
        <f t="shared" si="14"/>
        <v>0</v>
      </c>
      <c r="AJ61" s="1">
        <v>14</v>
      </c>
      <c r="AK61" s="1">
        <v>140</v>
      </c>
      <c r="AL61" s="9">
        <f t="shared" si="15"/>
        <v>0</v>
      </c>
      <c r="AM61" s="1">
        <f t="shared" si="6"/>
        <v>2.8439999999999999</v>
      </c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152</v>
      </c>
      <c r="B62" s="1" t="s">
        <v>42</v>
      </c>
      <c r="C62" s="1">
        <v>71</v>
      </c>
      <c r="D62" s="1"/>
      <c r="E62" s="1">
        <v>4</v>
      </c>
      <c r="F62" s="1">
        <v>67</v>
      </c>
      <c r="G62" s="7">
        <v>0.18</v>
      </c>
      <c r="H62" s="1">
        <v>180</v>
      </c>
      <c r="I62" s="1" t="s">
        <v>153</v>
      </c>
      <c r="J62" s="1"/>
      <c r="K62" s="1">
        <v>6</v>
      </c>
      <c r="L62" s="1">
        <f t="shared" si="17"/>
        <v>-2</v>
      </c>
      <c r="M62" s="1"/>
      <c r="N62" s="1"/>
      <c r="O62" s="1">
        <v>0</v>
      </c>
      <c r="P62" s="1">
        <f t="shared" si="18"/>
        <v>0.8</v>
      </c>
      <c r="Q62" s="5"/>
      <c r="R62" s="5">
        <f t="shared" si="11"/>
        <v>0</v>
      </c>
      <c r="S62" s="1">
        <f t="shared" si="19"/>
        <v>83.75</v>
      </c>
      <c r="T62" s="1">
        <f t="shared" si="20"/>
        <v>83.75</v>
      </c>
      <c r="U62" s="1">
        <v>1.6</v>
      </c>
      <c r="V62" s="1">
        <v>1</v>
      </c>
      <c r="W62" s="1">
        <v>0.6</v>
      </c>
      <c r="X62" s="1">
        <v>0.6</v>
      </c>
      <c r="Y62" s="1">
        <v>0.4</v>
      </c>
      <c r="Z62" s="1">
        <v>0.6</v>
      </c>
      <c r="AA62" s="1">
        <v>3</v>
      </c>
      <c r="AB62" s="1">
        <v>0.4</v>
      </c>
      <c r="AC62" s="1">
        <v>2.4</v>
      </c>
      <c r="AD62" s="1">
        <v>2.2000000000000002</v>
      </c>
      <c r="AE62" s="23" t="s">
        <v>154</v>
      </c>
      <c r="AF62" s="1">
        <f t="shared" si="12"/>
        <v>0</v>
      </c>
      <c r="AG62" s="7">
        <v>6</v>
      </c>
      <c r="AH62" s="9">
        <f t="shared" si="13"/>
        <v>0</v>
      </c>
      <c r="AI62" s="1">
        <f t="shared" si="14"/>
        <v>0</v>
      </c>
      <c r="AJ62" s="1">
        <v>14</v>
      </c>
      <c r="AK62" s="1">
        <v>140</v>
      </c>
      <c r="AL62" s="9">
        <f t="shared" si="15"/>
        <v>0</v>
      </c>
      <c r="AM62" s="1">
        <f t="shared" si="6"/>
        <v>0.14399999999999999</v>
      </c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155</v>
      </c>
      <c r="B63" s="1" t="s">
        <v>42</v>
      </c>
      <c r="C63" s="1">
        <v>415</v>
      </c>
      <c r="D63" s="1">
        <v>3089</v>
      </c>
      <c r="E63" s="1">
        <v>833</v>
      </c>
      <c r="F63" s="1">
        <v>2632</v>
      </c>
      <c r="G63" s="7">
        <v>0.3</v>
      </c>
      <c r="H63" s="1">
        <v>180</v>
      </c>
      <c r="I63" s="1" t="s">
        <v>156</v>
      </c>
      <c r="J63" s="1"/>
      <c r="K63" s="1">
        <v>930</v>
      </c>
      <c r="L63" s="1">
        <f t="shared" si="17"/>
        <v>-97</v>
      </c>
      <c r="M63" s="1"/>
      <c r="N63" s="1"/>
      <c r="O63" s="1">
        <v>0</v>
      </c>
      <c r="P63" s="1">
        <f t="shared" si="18"/>
        <v>166.6</v>
      </c>
      <c r="Q63" s="5"/>
      <c r="R63" s="5">
        <f t="shared" si="11"/>
        <v>0</v>
      </c>
      <c r="S63" s="1">
        <f t="shared" si="19"/>
        <v>15.798319327731093</v>
      </c>
      <c r="T63" s="1">
        <f t="shared" si="20"/>
        <v>15.798319327731093</v>
      </c>
      <c r="U63" s="1">
        <v>185.6</v>
      </c>
      <c r="V63" s="1">
        <v>233</v>
      </c>
      <c r="W63" s="1">
        <v>187</v>
      </c>
      <c r="X63" s="1">
        <v>158</v>
      </c>
      <c r="Y63" s="1">
        <v>152.19999999999999</v>
      </c>
      <c r="Z63" s="1">
        <v>181.2</v>
      </c>
      <c r="AA63" s="1">
        <v>189.4</v>
      </c>
      <c r="AB63" s="1">
        <v>87.2</v>
      </c>
      <c r="AC63" s="1">
        <v>193</v>
      </c>
      <c r="AD63" s="1">
        <v>187.2</v>
      </c>
      <c r="AE63" s="1"/>
      <c r="AF63" s="1">
        <f t="shared" si="12"/>
        <v>0</v>
      </c>
      <c r="AG63" s="7">
        <v>12</v>
      </c>
      <c r="AH63" s="9">
        <f t="shared" si="13"/>
        <v>0</v>
      </c>
      <c r="AI63" s="1">
        <f t="shared" si="14"/>
        <v>0</v>
      </c>
      <c r="AJ63" s="1">
        <v>14</v>
      </c>
      <c r="AK63" s="1">
        <v>70</v>
      </c>
      <c r="AL63" s="9">
        <f t="shared" si="15"/>
        <v>0</v>
      </c>
      <c r="AM63" s="1">
        <f t="shared" si="6"/>
        <v>49.98</v>
      </c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157</v>
      </c>
      <c r="B64" s="1" t="s">
        <v>42</v>
      </c>
      <c r="C64" s="1">
        <v>740</v>
      </c>
      <c r="D64" s="1">
        <v>40</v>
      </c>
      <c r="E64" s="1">
        <v>437</v>
      </c>
      <c r="F64" s="1">
        <v>330</v>
      </c>
      <c r="G64" s="7">
        <v>0.3</v>
      </c>
      <c r="H64" s="1">
        <v>180</v>
      </c>
      <c r="I64" s="1" t="s">
        <v>158</v>
      </c>
      <c r="J64" s="1"/>
      <c r="K64" s="1">
        <v>458</v>
      </c>
      <c r="L64" s="1">
        <f t="shared" si="17"/>
        <v>-21</v>
      </c>
      <c r="M64" s="1"/>
      <c r="N64" s="1"/>
      <c r="O64" s="1">
        <v>672</v>
      </c>
      <c r="P64" s="1">
        <f t="shared" si="18"/>
        <v>87.4</v>
      </c>
      <c r="Q64" s="5">
        <f t="shared" si="16"/>
        <v>221.60000000000014</v>
      </c>
      <c r="R64" s="5">
        <f t="shared" si="11"/>
        <v>168</v>
      </c>
      <c r="S64" s="1">
        <f t="shared" si="19"/>
        <v>13.386727688787184</v>
      </c>
      <c r="T64" s="1">
        <f t="shared" si="20"/>
        <v>11.464530892448511</v>
      </c>
      <c r="U64" s="1">
        <v>115.2</v>
      </c>
      <c r="V64" s="1">
        <v>51</v>
      </c>
      <c r="W64" s="1">
        <v>118.8</v>
      </c>
      <c r="X64" s="1">
        <v>108</v>
      </c>
      <c r="Y64" s="1">
        <v>92.2</v>
      </c>
      <c r="Z64" s="1">
        <v>81.2</v>
      </c>
      <c r="AA64" s="1">
        <v>84.8</v>
      </c>
      <c r="AB64" s="1">
        <v>67</v>
      </c>
      <c r="AC64" s="1">
        <v>126.6</v>
      </c>
      <c r="AD64" s="1">
        <v>117.4</v>
      </c>
      <c r="AE64" s="1"/>
      <c r="AF64" s="1">
        <f t="shared" si="12"/>
        <v>66.480000000000032</v>
      </c>
      <c r="AG64" s="7">
        <v>12</v>
      </c>
      <c r="AH64" s="9">
        <f t="shared" si="13"/>
        <v>14</v>
      </c>
      <c r="AI64" s="1">
        <f t="shared" si="14"/>
        <v>50.4</v>
      </c>
      <c r="AJ64" s="1">
        <v>14</v>
      </c>
      <c r="AK64" s="1">
        <v>70</v>
      </c>
      <c r="AL64" s="9">
        <f t="shared" si="15"/>
        <v>0.2</v>
      </c>
      <c r="AM64" s="1">
        <f t="shared" si="6"/>
        <v>26.220000000000002</v>
      </c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159</v>
      </c>
      <c r="B65" s="1" t="s">
        <v>42</v>
      </c>
      <c r="C65" s="1">
        <v>900</v>
      </c>
      <c r="D65" s="1">
        <v>28</v>
      </c>
      <c r="E65" s="1">
        <v>451</v>
      </c>
      <c r="F65" s="1">
        <v>453</v>
      </c>
      <c r="G65" s="7">
        <v>0.3</v>
      </c>
      <c r="H65" s="1">
        <v>180</v>
      </c>
      <c r="I65" s="1" t="s">
        <v>160</v>
      </c>
      <c r="J65" s="1"/>
      <c r="K65" s="1">
        <v>502</v>
      </c>
      <c r="L65" s="1">
        <f t="shared" si="17"/>
        <v>-51</v>
      </c>
      <c r="M65" s="1"/>
      <c r="N65" s="1"/>
      <c r="O65" s="1">
        <v>0</v>
      </c>
      <c r="P65" s="1">
        <f t="shared" si="18"/>
        <v>90.2</v>
      </c>
      <c r="Q65" s="5">
        <f>13*P65-O65-F65</f>
        <v>719.60000000000014</v>
      </c>
      <c r="R65" s="5">
        <f t="shared" si="11"/>
        <v>784</v>
      </c>
      <c r="S65" s="1">
        <f t="shared" si="19"/>
        <v>13.713968957871396</v>
      </c>
      <c r="T65" s="1">
        <f t="shared" si="20"/>
        <v>5.0221729490022176</v>
      </c>
      <c r="U65" s="1">
        <v>17.600000000000001</v>
      </c>
      <c r="V65" s="1">
        <v>47.2</v>
      </c>
      <c r="W65" s="1">
        <v>88.6</v>
      </c>
      <c r="X65" s="1">
        <v>57.8</v>
      </c>
      <c r="Y65" s="1">
        <v>60.2</v>
      </c>
      <c r="Z65" s="1">
        <v>75.2</v>
      </c>
      <c r="AA65" s="1">
        <v>63.2</v>
      </c>
      <c r="AB65" s="1">
        <v>57.8</v>
      </c>
      <c r="AC65" s="1">
        <v>129.6</v>
      </c>
      <c r="AD65" s="1">
        <v>107.4</v>
      </c>
      <c r="AE65" s="1"/>
      <c r="AF65" s="1">
        <f t="shared" si="12"/>
        <v>215.88000000000002</v>
      </c>
      <c r="AG65" s="7">
        <v>14</v>
      </c>
      <c r="AH65" s="9">
        <f t="shared" si="13"/>
        <v>56</v>
      </c>
      <c r="AI65" s="1">
        <f t="shared" si="14"/>
        <v>235.2</v>
      </c>
      <c r="AJ65" s="1">
        <v>14</v>
      </c>
      <c r="AK65" s="1">
        <v>70</v>
      </c>
      <c r="AL65" s="9">
        <f t="shared" si="15"/>
        <v>0.8</v>
      </c>
      <c r="AM65" s="1">
        <f t="shared" si="6"/>
        <v>27.06</v>
      </c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161</v>
      </c>
      <c r="B66" s="1" t="s">
        <v>42</v>
      </c>
      <c r="C66" s="1">
        <v>325</v>
      </c>
      <c r="D66" s="1">
        <v>3</v>
      </c>
      <c r="E66" s="1">
        <v>117</v>
      </c>
      <c r="F66" s="1">
        <v>211</v>
      </c>
      <c r="G66" s="7">
        <v>0.22</v>
      </c>
      <c r="H66" s="1"/>
      <c r="I66" s="1" t="s">
        <v>162</v>
      </c>
      <c r="J66" s="1"/>
      <c r="K66" s="1">
        <v>117</v>
      </c>
      <c r="L66" s="1">
        <f t="shared" si="17"/>
        <v>0</v>
      </c>
      <c r="M66" s="1"/>
      <c r="N66" s="1"/>
      <c r="O66" s="1">
        <v>0</v>
      </c>
      <c r="P66" s="1">
        <f t="shared" si="18"/>
        <v>23.4</v>
      </c>
      <c r="Q66" s="5">
        <f t="shared" si="16"/>
        <v>116.59999999999997</v>
      </c>
      <c r="R66" s="5">
        <f t="shared" si="11"/>
        <v>84</v>
      </c>
      <c r="S66" s="1">
        <f t="shared" si="19"/>
        <v>12.606837606837608</v>
      </c>
      <c r="T66" s="1">
        <f t="shared" si="20"/>
        <v>9.017094017094017</v>
      </c>
      <c r="U66" s="1">
        <v>13</v>
      </c>
      <c r="V66" s="1">
        <v>5.6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 t="s">
        <v>163</v>
      </c>
      <c r="AF66" s="1">
        <f t="shared" si="12"/>
        <v>25.651999999999994</v>
      </c>
      <c r="AG66" s="7">
        <v>6</v>
      </c>
      <c r="AH66" s="9">
        <f t="shared" si="13"/>
        <v>14</v>
      </c>
      <c r="AI66" s="1">
        <f t="shared" si="14"/>
        <v>18.48</v>
      </c>
      <c r="AJ66" s="1">
        <v>14</v>
      </c>
      <c r="AK66" s="1">
        <v>140</v>
      </c>
      <c r="AL66" s="9">
        <f t="shared" si="15"/>
        <v>0.1</v>
      </c>
      <c r="AM66" s="1">
        <f t="shared" si="6"/>
        <v>5.1479999999999997</v>
      </c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164</v>
      </c>
      <c r="B67" s="1" t="s">
        <v>42</v>
      </c>
      <c r="C67" s="1">
        <v>1782</v>
      </c>
      <c r="D67" s="1">
        <v>213</v>
      </c>
      <c r="E67" s="1">
        <v>1882</v>
      </c>
      <c r="F67" s="1">
        <v>-27</v>
      </c>
      <c r="G67" s="7">
        <v>0.25</v>
      </c>
      <c r="H67" s="1">
        <v>180</v>
      </c>
      <c r="I67" s="1" t="s">
        <v>67</v>
      </c>
      <c r="J67" s="1"/>
      <c r="K67" s="1">
        <v>2024</v>
      </c>
      <c r="L67" s="1">
        <f t="shared" si="17"/>
        <v>-142</v>
      </c>
      <c r="M67" s="1"/>
      <c r="N67" s="1"/>
      <c r="O67" s="1">
        <v>3360</v>
      </c>
      <c r="P67" s="1">
        <f t="shared" si="18"/>
        <v>376.4</v>
      </c>
      <c r="Q67" s="5">
        <f t="shared" si="16"/>
        <v>1936.5999999999995</v>
      </c>
      <c r="R67" s="5">
        <f t="shared" si="11"/>
        <v>2016</v>
      </c>
      <c r="S67" s="1">
        <f t="shared" si="19"/>
        <v>14.210945802337939</v>
      </c>
      <c r="T67" s="1">
        <f t="shared" si="20"/>
        <v>8.8549415515409144</v>
      </c>
      <c r="U67" s="1">
        <v>523.4</v>
      </c>
      <c r="V67" s="1">
        <v>215.2</v>
      </c>
      <c r="W67" s="1">
        <v>414.6</v>
      </c>
      <c r="X67" s="1">
        <v>386</v>
      </c>
      <c r="Y67" s="1">
        <v>316.60000000000002</v>
      </c>
      <c r="Z67" s="1">
        <v>308.8</v>
      </c>
      <c r="AA67" s="1">
        <v>388.2</v>
      </c>
      <c r="AB67" s="1">
        <v>212</v>
      </c>
      <c r="AC67" s="1">
        <v>317.60000000000002</v>
      </c>
      <c r="AD67" s="1">
        <v>359.4</v>
      </c>
      <c r="AE67" s="1"/>
      <c r="AF67" s="1">
        <f t="shared" si="12"/>
        <v>484.14999999999986</v>
      </c>
      <c r="AG67" s="7">
        <v>12</v>
      </c>
      <c r="AH67" s="9">
        <f t="shared" si="13"/>
        <v>168</v>
      </c>
      <c r="AI67" s="1">
        <f t="shared" si="14"/>
        <v>504</v>
      </c>
      <c r="AJ67" s="1">
        <v>14</v>
      </c>
      <c r="AK67" s="1">
        <v>70</v>
      </c>
      <c r="AL67" s="9">
        <f t="shared" si="15"/>
        <v>2.4</v>
      </c>
      <c r="AM67" s="1">
        <f t="shared" si="6"/>
        <v>94.1</v>
      </c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50</v>
      </c>
      <c r="B68" s="1" t="s">
        <v>42</v>
      </c>
      <c r="C68" s="1">
        <v>1106</v>
      </c>
      <c r="D68" s="1">
        <v>3213</v>
      </c>
      <c r="E68" s="1">
        <v>1746</v>
      </c>
      <c r="F68" s="19">
        <f>2495+F9</f>
        <v>2691</v>
      </c>
      <c r="G68" s="7">
        <v>0.25</v>
      </c>
      <c r="H68" s="1">
        <v>180</v>
      </c>
      <c r="I68" s="1" t="s">
        <v>165</v>
      </c>
      <c r="J68" s="1"/>
      <c r="K68" s="1">
        <v>1857</v>
      </c>
      <c r="L68" s="1">
        <f t="shared" si="17"/>
        <v>-111</v>
      </c>
      <c r="M68" s="1"/>
      <c r="N68" s="1"/>
      <c r="O68" s="1">
        <v>1512</v>
      </c>
      <c r="P68" s="1">
        <f t="shared" si="18"/>
        <v>349.2</v>
      </c>
      <c r="Q68" s="5">
        <f t="shared" si="16"/>
        <v>685.80000000000018</v>
      </c>
      <c r="R68" s="5">
        <f t="shared" si="11"/>
        <v>672</v>
      </c>
      <c r="S68" s="1">
        <f t="shared" si="19"/>
        <v>13.960481099656358</v>
      </c>
      <c r="T68" s="1">
        <f t="shared" si="20"/>
        <v>12.036082474226804</v>
      </c>
      <c r="U68" s="1">
        <v>458.2</v>
      </c>
      <c r="V68" s="1">
        <v>353.8</v>
      </c>
      <c r="W68" s="1">
        <v>395.6</v>
      </c>
      <c r="X68" s="1">
        <v>293.8</v>
      </c>
      <c r="Y68" s="1">
        <v>252</v>
      </c>
      <c r="Z68" s="1">
        <v>255.2</v>
      </c>
      <c r="AA68" s="1">
        <v>275.8</v>
      </c>
      <c r="AB68" s="1">
        <v>183.8</v>
      </c>
      <c r="AC68" s="1">
        <v>281.8</v>
      </c>
      <c r="AD68" s="1">
        <v>287.39999999999998</v>
      </c>
      <c r="AE68" s="1"/>
      <c r="AF68" s="1">
        <f t="shared" si="12"/>
        <v>171.45000000000005</v>
      </c>
      <c r="AG68" s="7">
        <v>12</v>
      </c>
      <c r="AH68" s="9">
        <f t="shared" si="13"/>
        <v>56</v>
      </c>
      <c r="AI68" s="1">
        <f t="shared" si="14"/>
        <v>168</v>
      </c>
      <c r="AJ68" s="1">
        <v>14</v>
      </c>
      <c r="AK68" s="1">
        <v>70</v>
      </c>
      <c r="AL68" s="9">
        <f t="shared" si="15"/>
        <v>0.8</v>
      </c>
      <c r="AM68" s="1">
        <f t="shared" si="6"/>
        <v>87.3</v>
      </c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166</v>
      </c>
      <c r="B69" s="1" t="s">
        <v>42</v>
      </c>
      <c r="C69" s="1">
        <v>436</v>
      </c>
      <c r="D69" s="1">
        <v>21</v>
      </c>
      <c r="E69" s="1">
        <v>303</v>
      </c>
      <c r="F69" s="1">
        <v>144</v>
      </c>
      <c r="G69" s="7">
        <v>0.2</v>
      </c>
      <c r="H69" s="1">
        <v>365</v>
      </c>
      <c r="I69" s="1" t="s">
        <v>167</v>
      </c>
      <c r="J69" s="1"/>
      <c r="K69" s="1">
        <v>361</v>
      </c>
      <c r="L69" s="1">
        <f t="shared" si="17"/>
        <v>-58</v>
      </c>
      <c r="M69" s="1"/>
      <c r="N69" s="1"/>
      <c r="O69" s="1">
        <v>756</v>
      </c>
      <c r="P69" s="1">
        <f t="shared" si="18"/>
        <v>60.6</v>
      </c>
      <c r="Q69" s="5"/>
      <c r="R69" s="5">
        <f t="shared" si="11"/>
        <v>0</v>
      </c>
      <c r="S69" s="1">
        <f t="shared" si="19"/>
        <v>14.85148514851485</v>
      </c>
      <c r="T69" s="1">
        <f t="shared" si="20"/>
        <v>14.85148514851485</v>
      </c>
      <c r="U69" s="1">
        <v>111.4</v>
      </c>
      <c r="V69" s="1">
        <v>49.8</v>
      </c>
      <c r="W69" s="1">
        <v>72</v>
      </c>
      <c r="X69" s="1">
        <v>84.8</v>
      </c>
      <c r="Y69" s="1">
        <v>83.6</v>
      </c>
      <c r="Z69" s="1">
        <v>80.8</v>
      </c>
      <c r="AA69" s="1">
        <v>90.2</v>
      </c>
      <c r="AB69" s="1">
        <v>11.6</v>
      </c>
      <c r="AC69" s="1">
        <v>86</v>
      </c>
      <c r="AD69" s="1">
        <v>68</v>
      </c>
      <c r="AE69" s="1"/>
      <c r="AF69" s="1">
        <f t="shared" si="12"/>
        <v>0</v>
      </c>
      <c r="AG69" s="7">
        <v>6</v>
      </c>
      <c r="AH69" s="9">
        <f t="shared" si="13"/>
        <v>0</v>
      </c>
      <c r="AI69" s="1">
        <f t="shared" si="14"/>
        <v>0</v>
      </c>
      <c r="AJ69" s="1">
        <v>14</v>
      </c>
      <c r="AK69" s="1">
        <v>140</v>
      </c>
      <c r="AL69" s="9">
        <f t="shared" si="15"/>
        <v>0</v>
      </c>
      <c r="AM69" s="1">
        <f t="shared" si="6"/>
        <v>12.120000000000001</v>
      </c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168</v>
      </c>
      <c r="B70" s="1" t="s">
        <v>42</v>
      </c>
      <c r="C70" s="1">
        <v>-20</v>
      </c>
      <c r="D70" s="1">
        <v>1940</v>
      </c>
      <c r="E70" s="1">
        <v>292</v>
      </c>
      <c r="F70" s="1">
        <v>1613</v>
      </c>
      <c r="G70" s="7">
        <v>0.23</v>
      </c>
      <c r="H70" s="1">
        <v>180</v>
      </c>
      <c r="I70" s="1" t="s">
        <v>169</v>
      </c>
      <c r="J70" s="1"/>
      <c r="K70" s="1">
        <v>411</v>
      </c>
      <c r="L70" s="1">
        <f t="shared" ref="L70:L73" si="21">E70-K70</f>
        <v>-119</v>
      </c>
      <c r="M70" s="1"/>
      <c r="N70" s="1"/>
      <c r="O70" s="1">
        <v>0</v>
      </c>
      <c r="P70" s="1">
        <f t="shared" si="18"/>
        <v>58.4</v>
      </c>
      <c r="Q70" s="5"/>
      <c r="R70" s="5">
        <f t="shared" si="11"/>
        <v>0</v>
      </c>
      <c r="S70" s="1">
        <f t="shared" ref="S70:S73" si="22">(F70+O70+R70)/P70</f>
        <v>27.61986301369863</v>
      </c>
      <c r="T70" s="1">
        <f t="shared" si="20"/>
        <v>27.61986301369863</v>
      </c>
      <c r="U70" s="1">
        <v>141.80000000000001</v>
      </c>
      <c r="V70" s="1">
        <v>152</v>
      </c>
      <c r="W70" s="1">
        <v>103.2</v>
      </c>
      <c r="X70" s="1">
        <v>106.6</v>
      </c>
      <c r="Y70" s="1">
        <v>102.4</v>
      </c>
      <c r="Z70" s="1">
        <v>83.6</v>
      </c>
      <c r="AA70" s="1">
        <v>134.4</v>
      </c>
      <c r="AB70" s="1">
        <v>32.6</v>
      </c>
      <c r="AC70" s="1">
        <v>116.8</v>
      </c>
      <c r="AD70" s="1">
        <v>112</v>
      </c>
      <c r="AE70" s="1"/>
      <c r="AF70" s="1">
        <f t="shared" si="12"/>
        <v>0</v>
      </c>
      <c r="AG70" s="7">
        <v>6</v>
      </c>
      <c r="AH70" s="9">
        <f t="shared" si="13"/>
        <v>0</v>
      </c>
      <c r="AI70" s="1">
        <f t="shared" si="14"/>
        <v>0</v>
      </c>
      <c r="AJ70" s="1">
        <v>14</v>
      </c>
      <c r="AK70" s="1">
        <v>140</v>
      </c>
      <c r="AL70" s="9">
        <f t="shared" si="15"/>
        <v>0</v>
      </c>
      <c r="AM70" s="1">
        <f t="shared" si="6"/>
        <v>13.432</v>
      </c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170</v>
      </c>
      <c r="B71" s="1" t="s">
        <v>42</v>
      </c>
      <c r="C71" s="1">
        <v>600</v>
      </c>
      <c r="D71" s="1">
        <v>14</v>
      </c>
      <c r="E71" s="1">
        <v>242</v>
      </c>
      <c r="F71" s="1">
        <v>367</v>
      </c>
      <c r="G71" s="7">
        <v>0.23</v>
      </c>
      <c r="H71" s="1"/>
      <c r="I71" s="1" t="s">
        <v>162</v>
      </c>
      <c r="J71" s="1"/>
      <c r="K71" s="1">
        <v>254</v>
      </c>
      <c r="L71" s="1">
        <f t="shared" si="21"/>
        <v>-12</v>
      </c>
      <c r="M71" s="1"/>
      <c r="N71" s="1"/>
      <c r="O71" s="1">
        <v>0</v>
      </c>
      <c r="P71" s="1">
        <f t="shared" si="18"/>
        <v>48.4</v>
      </c>
      <c r="Q71" s="5">
        <f t="shared" si="16"/>
        <v>310.60000000000002</v>
      </c>
      <c r="R71" s="5">
        <f t="shared" si="11"/>
        <v>336</v>
      </c>
      <c r="S71" s="1">
        <f t="shared" si="22"/>
        <v>14.524793388429753</v>
      </c>
      <c r="T71" s="1">
        <f t="shared" si="20"/>
        <v>7.5826446280991737</v>
      </c>
      <c r="U71" s="1">
        <v>34.6</v>
      </c>
      <c r="V71" s="1">
        <v>12.4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163</v>
      </c>
      <c r="AF71" s="1">
        <f t="shared" si="12"/>
        <v>71.438000000000002</v>
      </c>
      <c r="AG71" s="7">
        <v>6</v>
      </c>
      <c r="AH71" s="9">
        <f t="shared" si="13"/>
        <v>56</v>
      </c>
      <c r="AI71" s="1">
        <f t="shared" si="14"/>
        <v>77.28</v>
      </c>
      <c r="AJ71" s="1">
        <v>14</v>
      </c>
      <c r="AK71" s="1">
        <v>140</v>
      </c>
      <c r="AL71" s="9">
        <f t="shared" si="15"/>
        <v>0.4</v>
      </c>
      <c r="AM71" s="1">
        <f t="shared" ref="AM71:AM73" si="23">P71*G71</f>
        <v>11.132</v>
      </c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171</v>
      </c>
      <c r="B72" s="1" t="s">
        <v>82</v>
      </c>
      <c r="C72" s="1">
        <v>27</v>
      </c>
      <c r="D72" s="1">
        <v>37.799999999999997</v>
      </c>
      <c r="E72" s="1">
        <v>16.2</v>
      </c>
      <c r="F72" s="1">
        <v>48.6</v>
      </c>
      <c r="G72" s="7">
        <v>1</v>
      </c>
      <c r="H72" s="1">
        <v>180</v>
      </c>
      <c r="I72" s="1" t="s">
        <v>172</v>
      </c>
      <c r="J72" s="1"/>
      <c r="K72" s="1">
        <v>16.2</v>
      </c>
      <c r="L72" s="1">
        <f t="shared" si="21"/>
        <v>0</v>
      </c>
      <c r="M72" s="1"/>
      <c r="N72" s="1"/>
      <c r="O72" s="1">
        <v>0</v>
      </c>
      <c r="P72" s="1">
        <f t="shared" si="18"/>
        <v>3.2399999999999998</v>
      </c>
      <c r="Q72" s="5"/>
      <c r="R72" s="5">
        <f t="shared" si="11"/>
        <v>0</v>
      </c>
      <c r="S72" s="1">
        <f t="shared" si="22"/>
        <v>15.000000000000002</v>
      </c>
      <c r="T72" s="1">
        <f t="shared" si="20"/>
        <v>15.000000000000002</v>
      </c>
      <c r="U72" s="1">
        <v>2.7</v>
      </c>
      <c r="V72" s="1">
        <v>4.8600000000000003</v>
      </c>
      <c r="W72" s="1">
        <v>4.8600000000000003</v>
      </c>
      <c r="X72" s="1">
        <v>4.8600000000000003</v>
      </c>
      <c r="Y72" s="1">
        <v>5.94</v>
      </c>
      <c r="Z72" s="1">
        <v>3.24</v>
      </c>
      <c r="AA72" s="1">
        <v>8.64</v>
      </c>
      <c r="AB72" s="1">
        <v>2.16</v>
      </c>
      <c r="AC72" s="1">
        <v>7.56</v>
      </c>
      <c r="AD72" s="1">
        <v>7.56</v>
      </c>
      <c r="AE72" s="1"/>
      <c r="AF72" s="1">
        <f t="shared" si="12"/>
        <v>0</v>
      </c>
      <c r="AG72" s="7">
        <v>2.7</v>
      </c>
      <c r="AH72" s="9">
        <f t="shared" si="13"/>
        <v>0</v>
      </c>
      <c r="AI72" s="1">
        <f t="shared" si="14"/>
        <v>0</v>
      </c>
      <c r="AJ72" s="1">
        <v>14</v>
      </c>
      <c r="AK72" s="1">
        <v>126</v>
      </c>
      <c r="AL72" s="9">
        <f t="shared" si="15"/>
        <v>0</v>
      </c>
      <c r="AM72" s="1">
        <f t="shared" si="23"/>
        <v>3.2399999999999998</v>
      </c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173</v>
      </c>
      <c r="B73" s="1" t="s">
        <v>82</v>
      </c>
      <c r="C73" s="1">
        <v>165</v>
      </c>
      <c r="D73" s="1">
        <v>1230</v>
      </c>
      <c r="E73" s="1">
        <v>385</v>
      </c>
      <c r="F73" s="1">
        <v>995</v>
      </c>
      <c r="G73" s="7">
        <v>1</v>
      </c>
      <c r="H73" s="1">
        <v>180</v>
      </c>
      <c r="I73" s="1" t="s">
        <v>174</v>
      </c>
      <c r="J73" s="1"/>
      <c r="K73" s="1">
        <v>450.11099999999999</v>
      </c>
      <c r="L73" s="1">
        <f t="shared" si="21"/>
        <v>-65.11099999999999</v>
      </c>
      <c r="M73" s="1"/>
      <c r="N73" s="1"/>
      <c r="O73" s="1">
        <v>720</v>
      </c>
      <c r="P73" s="1">
        <f t="shared" si="18"/>
        <v>77</v>
      </c>
      <c r="Q73" s="5"/>
      <c r="R73" s="5">
        <f t="shared" si="11"/>
        <v>0</v>
      </c>
      <c r="S73" s="1">
        <f t="shared" si="22"/>
        <v>22.272727272727273</v>
      </c>
      <c r="T73" s="1">
        <f t="shared" si="20"/>
        <v>22.272727272727273</v>
      </c>
      <c r="U73" s="1">
        <v>56</v>
      </c>
      <c r="V73" s="1">
        <v>77</v>
      </c>
      <c r="W73" s="1">
        <v>62</v>
      </c>
      <c r="X73" s="1">
        <v>54</v>
      </c>
      <c r="Y73" s="1">
        <v>54</v>
      </c>
      <c r="Z73" s="1">
        <v>63</v>
      </c>
      <c r="AA73" s="1">
        <v>87</v>
      </c>
      <c r="AB73" s="1">
        <v>20</v>
      </c>
      <c r="AC73" s="1">
        <v>87</v>
      </c>
      <c r="AD73" s="1">
        <v>60</v>
      </c>
      <c r="AE73" s="1"/>
      <c r="AF73" s="1">
        <f t="shared" si="12"/>
        <v>0</v>
      </c>
      <c r="AG73" s="7">
        <v>5</v>
      </c>
      <c r="AH73" s="9">
        <f t="shared" si="13"/>
        <v>0</v>
      </c>
      <c r="AI73" s="1">
        <f t="shared" si="14"/>
        <v>0</v>
      </c>
      <c r="AJ73" s="1">
        <v>12</v>
      </c>
      <c r="AK73" s="1">
        <v>84</v>
      </c>
      <c r="AL73" s="9">
        <f t="shared" si="15"/>
        <v>0</v>
      </c>
      <c r="AM73" s="1">
        <f t="shared" si="23"/>
        <v>77</v>
      </c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2026-09-10T09:55:20Z</dcterms:created>
  <dcterms:modified xsi:type="dcterms:W3CDTF">2026-09-10T10:32:05Z</dcterms:modified>
</cp:coreProperties>
</file>