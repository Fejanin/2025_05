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41219744-8254-4E97-BD1D-8ED4DF716A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Sheet!$A$3:$AL$91</definedName>
  </definedNames>
  <calcPr calcId="191029"/>
</workbook>
</file>

<file path=xl/calcChain.xml><?xml version="1.0" encoding="utf-8"?>
<calcChain xmlns="http://schemas.openxmlformats.org/spreadsheetml/2006/main">
  <c r="AF86" i="1" l="1"/>
  <c r="AF85" i="1"/>
  <c r="AH62" i="1"/>
  <c r="AL62" i="1" s="1"/>
  <c r="AH47" i="1"/>
  <c r="AI47" i="1" s="1"/>
  <c r="AH41" i="1"/>
  <c r="AL41" i="1" s="1"/>
  <c r="AH11" i="1"/>
  <c r="AL11" i="1" s="1"/>
  <c r="P91" i="1"/>
  <c r="T91" i="1" s="1"/>
  <c r="L91" i="1"/>
  <c r="F90" i="1"/>
  <c r="E90" i="1"/>
  <c r="P90" i="1" s="1"/>
  <c r="P89" i="1"/>
  <c r="T89" i="1" s="1"/>
  <c r="L89" i="1"/>
  <c r="P88" i="1"/>
  <c r="T88" i="1" s="1"/>
  <c r="L88" i="1"/>
  <c r="P87" i="1"/>
  <c r="T87" i="1" s="1"/>
  <c r="L87" i="1"/>
  <c r="P86" i="1"/>
  <c r="T86" i="1" s="1"/>
  <c r="L86" i="1"/>
  <c r="AH85" i="1"/>
  <c r="AL85" i="1" s="1"/>
  <c r="F85" i="1"/>
  <c r="E85" i="1"/>
  <c r="P85" i="1" s="1"/>
  <c r="F84" i="1"/>
  <c r="E84" i="1"/>
  <c r="P84" i="1" s="1"/>
  <c r="P83" i="1"/>
  <c r="T83" i="1" s="1"/>
  <c r="L83" i="1"/>
  <c r="F82" i="1"/>
  <c r="E82" i="1"/>
  <c r="P82" i="1" s="1"/>
  <c r="P81" i="1"/>
  <c r="T81" i="1" s="1"/>
  <c r="L81" i="1"/>
  <c r="P80" i="1"/>
  <c r="T80" i="1" s="1"/>
  <c r="L80" i="1"/>
  <c r="P79" i="1"/>
  <c r="T79" i="1" s="1"/>
  <c r="L79" i="1"/>
  <c r="P78" i="1"/>
  <c r="T78" i="1" s="1"/>
  <c r="L78" i="1"/>
  <c r="P77" i="1"/>
  <c r="T77" i="1" s="1"/>
  <c r="L77" i="1"/>
  <c r="F76" i="1"/>
  <c r="E76" i="1"/>
  <c r="P76" i="1" s="1"/>
  <c r="F75" i="1"/>
  <c r="E75" i="1"/>
  <c r="P75" i="1" s="1"/>
  <c r="P74" i="1"/>
  <c r="T74" i="1" s="1"/>
  <c r="L74" i="1"/>
  <c r="P73" i="1"/>
  <c r="S73" i="1" s="1"/>
  <c r="L73" i="1"/>
  <c r="P72" i="1"/>
  <c r="T72" i="1" s="1"/>
  <c r="L72" i="1"/>
  <c r="P71" i="1"/>
  <c r="S71" i="1" s="1"/>
  <c r="L71" i="1"/>
  <c r="P70" i="1"/>
  <c r="T70" i="1" s="1"/>
  <c r="L70" i="1"/>
  <c r="P69" i="1"/>
  <c r="T69" i="1" s="1"/>
  <c r="L69" i="1"/>
  <c r="P68" i="1"/>
  <c r="S68" i="1" s="1"/>
  <c r="L68" i="1"/>
  <c r="P67" i="1"/>
  <c r="T67" i="1" s="1"/>
  <c r="L67" i="1"/>
  <c r="F66" i="1"/>
  <c r="E66" i="1"/>
  <c r="P66" i="1" s="1"/>
  <c r="Q66" i="1" s="1"/>
  <c r="P65" i="1"/>
  <c r="T65" i="1" s="1"/>
  <c r="L65" i="1"/>
  <c r="P64" i="1"/>
  <c r="T64" i="1" s="1"/>
  <c r="L64" i="1"/>
  <c r="P63" i="1"/>
  <c r="T63" i="1" s="1"/>
  <c r="L63" i="1"/>
  <c r="P62" i="1"/>
  <c r="T62" i="1" s="1"/>
  <c r="L62" i="1"/>
  <c r="P61" i="1"/>
  <c r="T61" i="1" s="1"/>
  <c r="L61" i="1"/>
  <c r="P60" i="1"/>
  <c r="T60" i="1" s="1"/>
  <c r="L60" i="1"/>
  <c r="P59" i="1"/>
  <c r="T59" i="1" s="1"/>
  <c r="L59" i="1"/>
  <c r="P58" i="1"/>
  <c r="T58" i="1" s="1"/>
  <c r="L58" i="1"/>
  <c r="P57" i="1"/>
  <c r="L57" i="1"/>
  <c r="F57" i="1"/>
  <c r="AH56" i="1"/>
  <c r="AL56" i="1" s="1"/>
  <c r="AF56" i="1"/>
  <c r="P56" i="1"/>
  <c r="T56" i="1" s="1"/>
  <c r="L56" i="1"/>
  <c r="P55" i="1"/>
  <c r="T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AF47" i="1"/>
  <c r="P47" i="1"/>
  <c r="T47" i="1" s="1"/>
  <c r="L47" i="1"/>
  <c r="R46" i="1"/>
  <c r="P46" i="1"/>
  <c r="T46" i="1" s="1"/>
  <c r="L46" i="1"/>
  <c r="F45" i="1"/>
  <c r="E45" i="1"/>
  <c r="P45" i="1" s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F40" i="1"/>
  <c r="E40" i="1"/>
  <c r="P40" i="1" s="1"/>
  <c r="P39" i="1"/>
  <c r="T39" i="1" s="1"/>
  <c r="L39" i="1"/>
  <c r="P38" i="1"/>
  <c r="T38" i="1" s="1"/>
  <c r="L38" i="1"/>
  <c r="F37" i="1"/>
  <c r="E37" i="1"/>
  <c r="P37" i="1" s="1"/>
  <c r="P36" i="1"/>
  <c r="T36" i="1" s="1"/>
  <c r="L36" i="1"/>
  <c r="F35" i="1"/>
  <c r="E35" i="1"/>
  <c r="P35" i="1" s="1"/>
  <c r="P34" i="1"/>
  <c r="T34" i="1" s="1"/>
  <c r="L34" i="1"/>
  <c r="P33" i="1"/>
  <c r="S33" i="1" s="1"/>
  <c r="L33" i="1"/>
  <c r="F32" i="1"/>
  <c r="E32" i="1"/>
  <c r="P32" i="1" s="1"/>
  <c r="F31" i="1"/>
  <c r="E31" i="1"/>
  <c r="P31" i="1" s="1"/>
  <c r="P30" i="1"/>
  <c r="T30" i="1" s="1"/>
  <c r="L30" i="1"/>
  <c r="P29" i="1"/>
  <c r="T29" i="1" s="1"/>
  <c r="L29" i="1"/>
  <c r="P28" i="1"/>
  <c r="T28" i="1" s="1"/>
  <c r="L28" i="1"/>
  <c r="P27" i="1"/>
  <c r="T27" i="1" s="1"/>
  <c r="L27" i="1"/>
  <c r="F26" i="1"/>
  <c r="E26" i="1"/>
  <c r="P26" i="1" s="1"/>
  <c r="F25" i="1"/>
  <c r="E25" i="1"/>
  <c r="P25" i="1" s="1"/>
  <c r="P24" i="1"/>
  <c r="T24" i="1" s="1"/>
  <c r="L24" i="1"/>
  <c r="P23" i="1"/>
  <c r="S23" i="1" s="1"/>
  <c r="L23" i="1"/>
  <c r="P22" i="1"/>
  <c r="T22" i="1" s="1"/>
  <c r="L22" i="1"/>
  <c r="F21" i="1"/>
  <c r="E21" i="1"/>
  <c r="P21" i="1" s="1"/>
  <c r="P20" i="1"/>
  <c r="S20" i="1" s="1"/>
  <c r="L20" i="1"/>
  <c r="P19" i="1"/>
  <c r="T19" i="1" s="1"/>
  <c r="L19" i="1"/>
  <c r="E18" i="1"/>
  <c r="P17" i="1"/>
  <c r="S17" i="1" s="1"/>
  <c r="L17" i="1"/>
  <c r="P16" i="1"/>
  <c r="T16" i="1" s="1"/>
  <c r="L16" i="1"/>
  <c r="P15" i="1"/>
  <c r="T15" i="1" s="1"/>
  <c r="L15" i="1"/>
  <c r="P14" i="1"/>
  <c r="T14" i="1" s="1"/>
  <c r="L14" i="1"/>
  <c r="F13" i="1"/>
  <c r="E13" i="1"/>
  <c r="L13" i="1" s="1"/>
  <c r="P12" i="1"/>
  <c r="T12" i="1" s="1"/>
  <c r="L12" i="1"/>
  <c r="P11" i="1"/>
  <c r="T11" i="1" s="1"/>
  <c r="L11" i="1"/>
  <c r="P10" i="1"/>
  <c r="T10" i="1" s="1"/>
  <c r="L10" i="1"/>
  <c r="P9" i="1"/>
  <c r="T9" i="1" s="1"/>
  <c r="L9" i="1"/>
  <c r="P8" i="1"/>
  <c r="S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0" i="1" l="1"/>
  <c r="Q42" i="1"/>
  <c r="Q61" i="1"/>
  <c r="Q74" i="1"/>
  <c r="Q31" i="1"/>
  <c r="AH31" i="1" s="1"/>
  <c r="AI31" i="1" s="1"/>
  <c r="Q84" i="1"/>
  <c r="AF84" i="1" s="1"/>
  <c r="Q21" i="1"/>
  <c r="AF21" i="1" s="1"/>
  <c r="Q63" i="1"/>
  <c r="Q80" i="1"/>
  <c r="T40" i="1"/>
  <c r="Q26" i="1"/>
  <c r="AH26" i="1" s="1"/>
  <c r="AL26" i="1" s="1"/>
  <c r="T25" i="1"/>
  <c r="Q37" i="1"/>
  <c r="AH37" i="1" s="1"/>
  <c r="AL37" i="1" s="1"/>
  <c r="Q75" i="1"/>
  <c r="AH75" i="1" s="1"/>
  <c r="AI75" i="1" s="1"/>
  <c r="Q57" i="1"/>
  <c r="AH57" i="1" s="1"/>
  <c r="AL57" i="1" s="1"/>
  <c r="Q88" i="1"/>
  <c r="AF88" i="1" s="1"/>
  <c r="AH10" i="1"/>
  <c r="AI10" i="1" s="1"/>
  <c r="AF10" i="1"/>
  <c r="AF82" i="1"/>
  <c r="AH82" i="1"/>
  <c r="R82" i="1" s="1"/>
  <c r="S82" i="1" s="1"/>
  <c r="AH90" i="1"/>
  <c r="AL90" i="1" s="1"/>
  <c r="AF90" i="1"/>
  <c r="AH35" i="1"/>
  <c r="AL35" i="1" s="1"/>
  <c r="AF35" i="1"/>
  <c r="AH45" i="1"/>
  <c r="AL45" i="1" s="1"/>
  <c r="AF45" i="1"/>
  <c r="AH66" i="1"/>
  <c r="AI66" i="1" s="1"/>
  <c r="AF66" i="1"/>
  <c r="AH76" i="1"/>
  <c r="AL76" i="1" s="1"/>
  <c r="AF76" i="1"/>
  <c r="AH21" i="1"/>
  <c r="AI21" i="1" s="1"/>
  <c r="AH32" i="1"/>
  <c r="AL32" i="1" s="1"/>
  <c r="AF32" i="1"/>
  <c r="Q43" i="1"/>
  <c r="AH86" i="1"/>
  <c r="R86" i="1" s="1"/>
  <c r="S86" i="1" s="1"/>
  <c r="Q48" i="1"/>
  <c r="AF41" i="1"/>
  <c r="Q28" i="1"/>
  <c r="Q81" i="1"/>
  <c r="Q53" i="1"/>
  <c r="Q58" i="1"/>
  <c r="Q87" i="1"/>
  <c r="AH87" i="1" s="1"/>
  <c r="AL87" i="1" s="1"/>
  <c r="Q89" i="1"/>
  <c r="AF11" i="1"/>
  <c r="R85" i="1"/>
  <c r="S85" i="1" s="1"/>
  <c r="AF62" i="1"/>
  <c r="S7" i="1"/>
  <c r="T20" i="1"/>
  <c r="T71" i="1"/>
  <c r="S77" i="1"/>
  <c r="T33" i="1"/>
  <c r="S39" i="1"/>
  <c r="L35" i="1"/>
  <c r="L66" i="1"/>
  <c r="E5" i="1"/>
  <c r="T57" i="1"/>
  <c r="T75" i="1"/>
  <c r="T23" i="1"/>
  <c r="L32" i="1"/>
  <c r="F5" i="1"/>
  <c r="S69" i="1"/>
  <c r="T76" i="1"/>
  <c r="T8" i="1"/>
  <c r="S46" i="1"/>
  <c r="R47" i="1"/>
  <c r="S47" i="1" s="1"/>
  <c r="S15" i="1"/>
  <c r="R56" i="1"/>
  <c r="S56" i="1" s="1"/>
  <c r="S91" i="1"/>
  <c r="L18" i="1"/>
  <c r="P18" i="1"/>
  <c r="L75" i="1"/>
  <c r="S79" i="1"/>
  <c r="AI85" i="1"/>
  <c r="S70" i="1"/>
  <c r="T37" i="1"/>
  <c r="L37" i="1"/>
  <c r="T31" i="1"/>
  <c r="R41" i="1"/>
  <c r="S41" i="1" s="1"/>
  <c r="T66" i="1"/>
  <c r="S14" i="1"/>
  <c r="AI41" i="1"/>
  <c r="T21" i="1"/>
  <c r="L21" i="1"/>
  <c r="L25" i="1"/>
  <c r="AI56" i="1"/>
  <c r="T32" i="1"/>
  <c r="T26" i="1"/>
  <c r="T90" i="1"/>
  <c r="T35" i="1"/>
  <c r="T84" i="1"/>
  <c r="T85" i="1"/>
  <c r="T82" i="1"/>
  <c r="S6" i="1"/>
  <c r="T17" i="1"/>
  <c r="AL47" i="1"/>
  <c r="T45" i="1"/>
  <c r="T68" i="1"/>
  <c r="T73" i="1"/>
  <c r="L85" i="1"/>
  <c r="L26" i="1"/>
  <c r="L76" i="1"/>
  <c r="S16" i="1"/>
  <c r="P13" i="1"/>
  <c r="R11" i="1"/>
  <c r="AI11" i="1"/>
  <c r="L90" i="1"/>
  <c r="S9" i="1"/>
  <c r="S24" i="1"/>
  <c r="R62" i="1"/>
  <c r="S62" i="1" s="1"/>
  <c r="L40" i="1"/>
  <c r="L82" i="1"/>
  <c r="L84" i="1"/>
  <c r="S12" i="1"/>
  <c r="L31" i="1"/>
  <c r="AI62" i="1"/>
  <c r="S67" i="1"/>
  <c r="S72" i="1"/>
  <c r="L45" i="1"/>
  <c r="AH84" i="1" l="1"/>
  <c r="R84" i="1" s="1"/>
  <c r="S84" i="1" s="1"/>
  <c r="R10" i="1"/>
  <c r="S10" i="1" s="1"/>
  <c r="AF37" i="1"/>
  <c r="AF31" i="1"/>
  <c r="AL84" i="1"/>
  <c r="AI84" i="1"/>
  <c r="AF57" i="1"/>
  <c r="AL10" i="1"/>
  <c r="R37" i="1"/>
  <c r="S37" i="1" s="1"/>
  <c r="AF26" i="1"/>
  <c r="AF75" i="1"/>
  <c r="R21" i="1"/>
  <c r="S21" i="1" s="1"/>
  <c r="AL66" i="1"/>
  <c r="R75" i="1"/>
  <c r="S75" i="1" s="1"/>
  <c r="AI26" i="1"/>
  <c r="AL31" i="1"/>
  <c r="AI90" i="1"/>
  <c r="AI35" i="1"/>
  <c r="AH80" i="1"/>
  <c r="AF80" i="1"/>
  <c r="AL21" i="1"/>
  <c r="R35" i="1"/>
  <c r="S35" i="1" s="1"/>
  <c r="AH63" i="1"/>
  <c r="AF63" i="1"/>
  <c r="R90" i="1"/>
  <c r="S90" i="1" s="1"/>
  <c r="AH88" i="1"/>
  <c r="AF42" i="1"/>
  <c r="AH42" i="1"/>
  <c r="AI32" i="1"/>
  <c r="R66" i="1"/>
  <c r="S66" i="1" s="1"/>
  <c r="AI37" i="1"/>
  <c r="R32" i="1"/>
  <c r="S32" i="1" s="1"/>
  <c r="AI82" i="1"/>
  <c r="AI45" i="1"/>
  <c r="AI76" i="1"/>
  <c r="R76" i="1"/>
  <c r="S76" i="1" s="1"/>
  <c r="R45" i="1"/>
  <c r="S45" i="1" s="1"/>
  <c r="AH25" i="1"/>
  <c r="AF25" i="1"/>
  <c r="AH36" i="1"/>
  <c r="AF36" i="1"/>
  <c r="AH74" i="1"/>
  <c r="AF74" i="1"/>
  <c r="AF34" i="1"/>
  <c r="AH34" i="1"/>
  <c r="AH22" i="1"/>
  <c r="AF22" i="1"/>
  <c r="R87" i="1"/>
  <c r="S87" i="1" s="1"/>
  <c r="AF55" i="1"/>
  <c r="AH55" i="1"/>
  <c r="AF65" i="1"/>
  <c r="AH65" i="1"/>
  <c r="AH83" i="1"/>
  <c r="AF83" i="1"/>
  <c r="AH44" i="1"/>
  <c r="AF44" i="1"/>
  <c r="R57" i="1"/>
  <c r="S57" i="1" s="1"/>
  <c r="AH54" i="1"/>
  <c r="AF54" i="1"/>
  <c r="AH19" i="1"/>
  <c r="AF19" i="1"/>
  <c r="T18" i="1"/>
  <c r="AH53" i="1"/>
  <c r="AF53" i="1"/>
  <c r="AH30" i="1"/>
  <c r="AF30" i="1"/>
  <c r="AH64" i="1"/>
  <c r="AF64" i="1"/>
  <c r="AF87" i="1"/>
  <c r="AH81" i="1"/>
  <c r="AF81" i="1"/>
  <c r="AF43" i="1"/>
  <c r="AH43" i="1"/>
  <c r="AH58" i="1"/>
  <c r="AF58" i="1"/>
  <c r="AI57" i="1"/>
  <c r="AH52" i="1"/>
  <c r="AF52" i="1"/>
  <c r="AI87" i="1"/>
  <c r="AH29" i="1"/>
  <c r="AF29" i="1"/>
  <c r="AL86" i="1"/>
  <c r="AH51" i="1"/>
  <c r="AF51" i="1"/>
  <c r="AF28" i="1"/>
  <c r="AH28" i="1"/>
  <c r="AH61" i="1"/>
  <c r="AF61" i="1"/>
  <c r="AH78" i="1"/>
  <c r="AF78" i="1"/>
  <c r="AF48" i="1"/>
  <c r="AH48" i="1"/>
  <c r="R26" i="1"/>
  <c r="S26" i="1" s="1"/>
  <c r="AH40" i="1"/>
  <c r="AF40" i="1"/>
  <c r="AF50" i="1"/>
  <c r="AH50" i="1"/>
  <c r="AH89" i="1"/>
  <c r="AF89" i="1"/>
  <c r="AH27" i="1"/>
  <c r="AF27" i="1"/>
  <c r="AH60" i="1"/>
  <c r="AF60" i="1"/>
  <c r="AI86" i="1"/>
  <c r="R31" i="1"/>
  <c r="S31" i="1" s="1"/>
  <c r="AF38" i="1"/>
  <c r="AH38" i="1"/>
  <c r="AH49" i="1"/>
  <c r="AF49" i="1"/>
  <c r="AL75" i="1"/>
  <c r="AL82" i="1"/>
  <c r="AH59" i="1"/>
  <c r="AF59" i="1"/>
  <c r="L5" i="1"/>
  <c r="T13" i="1"/>
  <c r="P5" i="1"/>
  <c r="S11" i="1"/>
  <c r="AI42" i="1" l="1"/>
  <c r="AL42" i="1"/>
  <c r="R42" i="1"/>
  <c r="S42" i="1" s="1"/>
  <c r="R63" i="1"/>
  <c r="S63" i="1" s="1"/>
  <c r="AI63" i="1"/>
  <c r="AL63" i="1"/>
  <c r="AL88" i="1"/>
  <c r="R88" i="1"/>
  <c r="S88" i="1" s="1"/>
  <c r="AI88" i="1"/>
  <c r="R80" i="1"/>
  <c r="S80" i="1" s="1"/>
  <c r="AL80" i="1"/>
  <c r="AI80" i="1"/>
  <c r="AI58" i="1"/>
  <c r="R58" i="1"/>
  <c r="S58" i="1" s="1"/>
  <c r="AL58" i="1"/>
  <c r="AL44" i="1"/>
  <c r="AI44" i="1"/>
  <c r="R44" i="1"/>
  <c r="S44" i="1" s="1"/>
  <c r="AL59" i="1"/>
  <c r="AI59" i="1"/>
  <c r="R59" i="1"/>
  <c r="S59" i="1" s="1"/>
  <c r="AL55" i="1"/>
  <c r="AI55" i="1"/>
  <c r="R55" i="1"/>
  <c r="S55" i="1" s="1"/>
  <c r="AL49" i="1"/>
  <c r="R49" i="1"/>
  <c r="S49" i="1" s="1"/>
  <c r="AI49" i="1"/>
  <c r="AL28" i="1"/>
  <c r="AI28" i="1"/>
  <c r="R28" i="1"/>
  <c r="S28" i="1" s="1"/>
  <c r="AI43" i="1"/>
  <c r="R43" i="1"/>
  <c r="S43" i="1" s="1"/>
  <c r="AL43" i="1"/>
  <c r="AL51" i="1"/>
  <c r="AI51" i="1"/>
  <c r="R51" i="1"/>
  <c r="S51" i="1" s="1"/>
  <c r="R22" i="1"/>
  <c r="S22" i="1" s="1"/>
  <c r="AI22" i="1"/>
  <c r="AL22" i="1"/>
  <c r="AL48" i="1"/>
  <c r="AI48" i="1"/>
  <c r="R48" i="1"/>
  <c r="S48" i="1" s="1"/>
  <c r="AL60" i="1"/>
  <c r="R60" i="1"/>
  <c r="S60" i="1" s="1"/>
  <c r="AI60" i="1"/>
  <c r="AL34" i="1"/>
  <c r="AI34" i="1"/>
  <c r="R34" i="1"/>
  <c r="S34" i="1" s="1"/>
  <c r="AL40" i="1"/>
  <c r="R40" i="1"/>
  <c r="S40" i="1" s="1"/>
  <c r="AI40" i="1"/>
  <c r="AI53" i="1"/>
  <c r="AL53" i="1"/>
  <c r="R53" i="1"/>
  <c r="S53" i="1" s="1"/>
  <c r="AL65" i="1"/>
  <c r="AI65" i="1"/>
  <c r="R65" i="1"/>
  <c r="S65" i="1" s="1"/>
  <c r="AI29" i="1"/>
  <c r="AL29" i="1"/>
  <c r="R29" i="1"/>
  <c r="S29" i="1" s="1"/>
  <c r="AF18" i="1"/>
  <c r="AH18" i="1"/>
  <c r="AH13" i="1"/>
  <c r="AH5" i="1" s="1"/>
  <c r="AF13" i="1"/>
  <c r="AF5" i="1" s="1"/>
  <c r="Q5" i="1"/>
  <c r="AI74" i="1"/>
  <c r="AL74" i="1"/>
  <c r="R74" i="1"/>
  <c r="S74" i="1" s="1"/>
  <c r="AL83" i="1"/>
  <c r="R83" i="1"/>
  <c r="S83" i="1" s="1"/>
  <c r="AI83" i="1"/>
  <c r="R61" i="1"/>
  <c r="S61" i="1" s="1"/>
  <c r="AL61" i="1"/>
  <c r="AI61" i="1"/>
  <c r="AL30" i="1"/>
  <c r="R30" i="1"/>
  <c r="S30" i="1" s="1"/>
  <c r="AI30" i="1"/>
  <c r="AL89" i="1"/>
  <c r="AI89" i="1"/>
  <c r="R89" i="1"/>
  <c r="S89" i="1" s="1"/>
  <c r="AI78" i="1"/>
  <c r="AL78" i="1"/>
  <c r="R78" i="1"/>
  <c r="S78" i="1" s="1"/>
  <c r="AI64" i="1"/>
  <c r="R64" i="1"/>
  <c r="S64" i="1" s="1"/>
  <c r="AL64" i="1"/>
  <c r="AI27" i="1"/>
  <c r="R27" i="1"/>
  <c r="S27" i="1" s="1"/>
  <c r="AL27" i="1"/>
  <c r="R50" i="1"/>
  <c r="S50" i="1" s="1"/>
  <c r="AL50" i="1"/>
  <c r="AI50" i="1"/>
  <c r="R52" i="1"/>
  <c r="S52" i="1" s="1"/>
  <c r="AI52" i="1"/>
  <c r="AL52" i="1"/>
  <c r="AL19" i="1"/>
  <c r="R19" i="1"/>
  <c r="S19" i="1" s="1"/>
  <c r="AI19" i="1"/>
  <c r="AL36" i="1"/>
  <c r="R36" i="1"/>
  <c r="S36" i="1" s="1"/>
  <c r="AI36" i="1"/>
  <c r="AL81" i="1"/>
  <c r="AI81" i="1"/>
  <c r="R81" i="1"/>
  <c r="S81" i="1" s="1"/>
  <c r="AL38" i="1"/>
  <c r="R38" i="1"/>
  <c r="S38" i="1" s="1"/>
  <c r="AI38" i="1"/>
  <c r="AI54" i="1"/>
  <c r="AL54" i="1"/>
  <c r="R54" i="1"/>
  <c r="S54" i="1" s="1"/>
  <c r="AI25" i="1"/>
  <c r="R25" i="1"/>
  <c r="S25" i="1" s="1"/>
  <c r="AL25" i="1"/>
  <c r="AL13" i="1" l="1"/>
  <c r="AI13" i="1"/>
  <c r="R13" i="1"/>
  <c r="AL18" i="1"/>
  <c r="AI18" i="1"/>
  <c r="R18" i="1"/>
  <c r="S18" i="1" s="1"/>
  <c r="AI5" i="1" l="1"/>
  <c r="AL5" i="1"/>
  <c r="S13" i="1"/>
  <c r="R5" i="1"/>
</calcChain>
</file>

<file path=xl/sharedStrings.xml><?xml version="1.0" encoding="utf-8"?>
<sst xmlns="http://schemas.openxmlformats.org/spreadsheetml/2006/main" count="345" uniqueCount="202">
  <si>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</si>
  <si>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</si>
  <si>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</si>
  <si>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</si>
  <si>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</si>
  <si>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</si>
  <si>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</si>
  <si>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</si>
  <si>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</si>
  <si>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</si>
  <si>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</si>
  <si>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</si>
  <si>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</si>
  <si>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</si>
  <si>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</si>
  <si>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</si>
  <si>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</si>
  <si>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</si>
  <si>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</si>
  <si>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</si>
  <si>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</si>
  <si>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</si>
  <si>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</si>
  <si>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</si>
  <si>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</si>
  <si>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</si>
  <si>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</si>
  <si>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</si>
  <si>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</si>
  <si>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26,10,</t>
  </si>
  <si>
    <t>29,10,</t>
  </si>
  <si>
    <t>22,10,</t>
  </si>
  <si>
    <t>20,10,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</si>
  <si>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</si>
  <si>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</si>
  <si>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</si>
  <si>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</si>
  <si>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</si>
  <si>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</si>
  <si>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</si>
  <si>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</si>
  <si>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ё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</si>
  <si>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</si>
  <si>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</si>
  <si>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</si>
  <si>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</si>
  <si>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</si>
  <si>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</si>
  <si>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</si>
  <si>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</si>
  <si>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</si>
  <si>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</si>
  <si>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</si>
  <si>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</si>
  <si>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Вареники Медвежье ушко Премиум с картофелем и лесными грибами клас. форма флоу-пак 0,6 кг  ПОКОМ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</si>
  <si>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</si>
  <si>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</si>
  <si>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</si>
  <si>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</si>
  <si>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Готовые бельмеши сочные с мясом ТМ Горячая штучка 0,3кг зам  ПОКОМ</t>
  </si>
  <si>
    <t>P004598</t>
  </si>
  <si>
    <t>нужно увеличить продажи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</si>
  <si>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</si>
  <si>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</si>
  <si>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</si>
  <si>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</si>
  <si>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</si>
  <si>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</si>
  <si>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</si>
  <si>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</si>
  <si>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</si>
  <si>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</si>
  <si>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</si>
  <si>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</si>
  <si>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</si>
  <si>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</si>
  <si>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</si>
  <si>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</si>
  <si>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</si>
  <si>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</si>
  <si>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ТМ Горячая штучка флоу-пак 0,48 кг XXL  Поком</t>
  </si>
  <si>
    <t>Готовые чебупели сочные с мясом 0,48 кг НОВАЯ ТМ Горячая штучка флоу-пак МЕГАпачка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</si>
  <si>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</si>
  <si>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</si>
  <si>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</si>
  <si>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</si>
  <si>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</si>
  <si>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</si>
  <si>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</si>
  <si>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</si>
  <si>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</si>
  <si>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</si>
  <si>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</si>
  <si>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1000шт перемещение в Крым (15,10,26)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</si>
  <si>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</si>
  <si>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</si>
  <si>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</si>
  <si>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</si>
  <si>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</si>
  <si>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</si>
  <si>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</si>
  <si>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</si>
  <si>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</si>
  <si>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Сливушки в темпуре ТМ Вязанка флоу-пак 0,23 кг  ПОКОМ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</si>
  <si>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</si>
  <si>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</si>
  <si>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</si>
  <si>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</si>
  <si>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</si>
  <si>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</si>
  <si>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</si>
  <si>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</si>
  <si>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</si>
  <si>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</si>
  <si>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</si>
  <si>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</si>
  <si>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</si>
  <si>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</si>
  <si>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</si>
  <si>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</si>
  <si>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</si>
  <si>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завод вывел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</si>
  <si>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</si>
  <si>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</si>
  <si>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</si>
  <si>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</si>
  <si>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</si>
  <si>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</si>
  <si>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</si>
  <si>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</si>
  <si>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</si>
  <si>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</si>
  <si>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</si>
  <si>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</si>
  <si>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</si>
  <si>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</si>
  <si>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</si>
  <si>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</si>
  <si>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</si>
  <si>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</si>
  <si>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</si>
  <si>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</si>
  <si>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</si>
  <si>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</si>
  <si>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</si>
  <si>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</si>
  <si>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</si>
  <si>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</si>
  <si>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</si>
  <si>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</si>
  <si>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</si>
  <si>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</si>
  <si>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</si>
  <si>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</si>
  <si>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</si>
  <si>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</si>
  <si>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</si>
  <si>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</si>
  <si>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</si>
  <si>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</si>
  <si>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</si>
  <si>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</si>
  <si>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</si>
  <si>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</si>
  <si>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 / 185кг в уценку (29,09,26)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</si>
  <si>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</si>
  <si>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</si>
  <si>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</si>
  <si>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</si>
  <si>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</si>
  <si>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ХБИ Чебупицца Пепперони ТМ Горячая штучка ТС Чебупицца 0.25кг зам  ПОКОМ</t>
  </si>
  <si>
    <t>Чебупицца Пепперони ТМ Горячая штучка ТС Чебупицца 0.25кг зам 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</si>
  <si>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</si>
  <si>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</si>
  <si>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</si>
  <si>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</si>
  <si>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</si>
  <si>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</si>
  <si>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</si>
  <si>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</si>
  <si>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</si>
  <si>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</si>
  <si>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</si>
  <si>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</si>
  <si>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</si>
  <si>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</si>
  <si>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</si>
  <si>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</si>
  <si>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</si>
  <si>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</si>
  <si>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</si>
  <si>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</si>
  <si>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</si>
  <si>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</si>
  <si>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</si>
  <si>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</si>
  <si>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</si>
  <si>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</si>
  <si>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</si>
  <si>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</si>
  <si>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</si>
  <si>
    <t>есть ли потребность??? / 65шт в уценку (28,10,26)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</si>
</sst>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4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4" fillId="0" borderId="1" xfId="1" applyNumberFormat="1" applyFont="1" applyFill="1"/>
    <xf numFmtId="164" fontId="1" fillId="5" borderId="1" xfId="1" applyNumberFormat="1" applyFill="1"/>
    <xf numFmtId="164" fontId="4" fillId="5" borderId="1" xfId="1" applyNumberFormat="1" applyFont="1" applyFill="1"/>
    <xf numFmtId="164" fontId="1" fillId="7" borderId="2" xfId="1" applyNumberFormat="1" applyFill="1" applyBorder="1"/>
    <xf numFmtId="164" fontId="1" fillId="8" borderId="2" xfId="1" applyNumberFormat="1" applyFill="1" applyBorder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5" customWidth="1"/>
    <col min="21" max="30" width="6" customWidth="1"/>
    <col min="31" max="31" width="39.1406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SUM(E6:E497)</f>
        <v>12874.099999999999</v>
      </c>
      <c r="F5" s="4">
        <f>SUM(F6:F497)</f>
        <v>16071.3</v>
      </c>
      <c r="G5" s="7"/>
      <c r="H5" s="1"/>
      <c r="I5" s="1"/>
      <c r="J5" s="1"/>
      <c r="K5" s="4">
        <f t="shared" ref="K5:R5" si="0">SUM(K6:K497)</f>
        <v>10757.3</v>
      </c>
      <c r="L5" s="4">
        <f t="shared" si="0"/>
        <v>2116.8000000000002</v>
      </c>
      <c r="M5" s="4">
        <f t="shared" si="0"/>
        <v>0</v>
      </c>
      <c r="N5" s="4">
        <f t="shared" si="0"/>
        <v>0</v>
      </c>
      <c r="O5" s="4">
        <f t="shared" si="0"/>
        <v>13740</v>
      </c>
      <c r="P5" s="4">
        <f t="shared" si="0"/>
        <v>2574.8199999999993</v>
      </c>
      <c r="Q5" s="4">
        <f t="shared" si="0"/>
        <v>9730.5399999999991</v>
      </c>
      <c r="R5" s="4">
        <f t="shared" si="0"/>
        <v>10042.4</v>
      </c>
      <c r="S5" s="1"/>
      <c r="T5" s="1"/>
      <c r="U5" s="4">
        <f t="shared" ref="U5:AD5" si="1">SUM(U6:U497)</f>
        <v>1447.4600000000003</v>
      </c>
      <c r="V5" s="4">
        <f t="shared" si="1"/>
        <v>1930.0400000000002</v>
      </c>
      <c r="W5" s="4">
        <f t="shared" si="1"/>
        <v>2574.3999999999996</v>
      </c>
      <c r="X5" s="4">
        <f t="shared" si="1"/>
        <v>1453.14</v>
      </c>
      <c r="Y5" s="4">
        <f t="shared" si="1"/>
        <v>1210.1599999999996</v>
      </c>
      <c r="Z5" s="4">
        <f t="shared" si="1"/>
        <v>1628.4600000000003</v>
      </c>
      <c r="AA5" s="4">
        <f t="shared" si="1"/>
        <v>1500.4399999999996</v>
      </c>
      <c r="AB5" s="4">
        <f t="shared" si="1"/>
        <v>1255.8999999999999</v>
      </c>
      <c r="AC5" s="4">
        <f t="shared" si="1"/>
        <v>1322.46</v>
      </c>
      <c r="AD5" s="4">
        <f t="shared" si="1"/>
        <v>1449.68</v>
      </c>
      <c r="AE5" s="1"/>
      <c r="AF5" s="4">
        <f>SUM(AF6:AF497)</f>
        <v>5064.0579999999991</v>
      </c>
      <c r="AG5" s="7"/>
      <c r="AH5" s="11">
        <f>SUM(AH6:AH497)</f>
        <v>1238</v>
      </c>
      <c r="AI5" s="4">
        <f>SUM(AI6:AI497)</f>
        <v>5231.16</v>
      </c>
      <c r="AJ5" s="1"/>
      <c r="AK5" s="1"/>
      <c r="AL5" s="11">
        <f>SUM(AL6:AL497)</f>
        <v>14.522222222222219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41</v>
      </c>
      <c r="B6" s="14" t="s">
        <v>42</v>
      </c>
      <c r="C6" s="14">
        <v>28</v>
      </c>
      <c r="D6" s="14">
        <v>100</v>
      </c>
      <c r="E6" s="19">
        <v>25</v>
      </c>
      <c r="F6" s="19">
        <v>96</v>
      </c>
      <c r="G6" s="15">
        <v>0</v>
      </c>
      <c r="H6" s="14"/>
      <c r="I6" s="14" t="s">
        <v>43</v>
      </c>
      <c r="J6" s="14" t="s">
        <v>44</v>
      </c>
      <c r="K6" s="14">
        <v>34</v>
      </c>
      <c r="L6" s="14">
        <f t="shared" ref="L6:L37" si="2">E6-K6</f>
        <v>-9</v>
      </c>
      <c r="M6" s="14"/>
      <c r="N6" s="14"/>
      <c r="O6" s="14"/>
      <c r="P6" s="14">
        <f t="shared" ref="P6:P37" si="3">E6/5</f>
        <v>5</v>
      </c>
      <c r="Q6" s="16"/>
      <c r="R6" s="16"/>
      <c r="S6" s="14">
        <f t="shared" ref="S6:S37" si="4">(F6+O6+R6)/P6</f>
        <v>19.2</v>
      </c>
      <c r="T6" s="14">
        <f t="shared" ref="T6:T37" si="5">(F6+O6)/P6</f>
        <v>19.2</v>
      </c>
      <c r="U6" s="14">
        <v>2.6</v>
      </c>
      <c r="V6" s="14">
        <v>0.6</v>
      </c>
      <c r="W6" s="14">
        <v>5.2</v>
      </c>
      <c r="X6" s="14">
        <v>6.4</v>
      </c>
      <c r="Y6" s="14">
        <v>3.6</v>
      </c>
      <c r="Z6" s="14">
        <v>6.6</v>
      </c>
      <c r="AA6" s="14">
        <v>9.6</v>
      </c>
      <c r="AB6" s="14">
        <v>13</v>
      </c>
      <c r="AC6" s="14">
        <v>15</v>
      </c>
      <c r="AD6" s="14">
        <v>8.6</v>
      </c>
      <c r="AE6" s="14"/>
      <c r="AF6" s="14"/>
      <c r="AG6" s="15"/>
      <c r="AH6" s="17"/>
      <c r="AI6" s="14"/>
      <c r="AJ6" s="14"/>
      <c r="AK6" s="14"/>
      <c r="AL6" s="17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45</v>
      </c>
      <c r="B7" s="14" t="s">
        <v>42</v>
      </c>
      <c r="C7" s="14">
        <v>79</v>
      </c>
      <c r="D7" s="14">
        <v>66</v>
      </c>
      <c r="E7" s="19">
        <v>28</v>
      </c>
      <c r="F7" s="19">
        <v>44</v>
      </c>
      <c r="G7" s="15">
        <v>0</v>
      </c>
      <c r="H7" s="14"/>
      <c r="I7" s="14" t="s">
        <v>43</v>
      </c>
      <c r="J7" s="14" t="s">
        <v>46</v>
      </c>
      <c r="K7" s="14">
        <v>28</v>
      </c>
      <c r="L7" s="14">
        <f t="shared" si="2"/>
        <v>0</v>
      </c>
      <c r="M7" s="14"/>
      <c r="N7" s="14"/>
      <c r="O7" s="14"/>
      <c r="P7" s="14">
        <f t="shared" si="3"/>
        <v>5.6</v>
      </c>
      <c r="Q7" s="16"/>
      <c r="R7" s="16"/>
      <c r="S7" s="14">
        <f t="shared" si="4"/>
        <v>7.8571428571428577</v>
      </c>
      <c r="T7" s="14">
        <f t="shared" si="5"/>
        <v>7.8571428571428577</v>
      </c>
      <c r="U7" s="14">
        <v>1.2</v>
      </c>
      <c r="V7" s="14">
        <v>1.2</v>
      </c>
      <c r="W7" s="14">
        <v>6.4</v>
      </c>
      <c r="X7" s="14">
        <v>9.1999999999999993</v>
      </c>
      <c r="Y7" s="14">
        <v>6</v>
      </c>
      <c r="Z7" s="14">
        <v>8.1999999999999993</v>
      </c>
      <c r="AA7" s="14">
        <v>11.6</v>
      </c>
      <c r="AB7" s="14">
        <v>10.199999999999999</v>
      </c>
      <c r="AC7" s="14">
        <v>14.2</v>
      </c>
      <c r="AD7" s="14">
        <v>1.8</v>
      </c>
      <c r="AE7" s="14"/>
      <c r="AF7" s="14"/>
      <c r="AG7" s="15"/>
      <c r="AH7" s="17"/>
      <c r="AI7" s="14"/>
      <c r="AJ7" s="14"/>
      <c r="AK7" s="14"/>
      <c r="AL7" s="17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4" t="s">
        <v>47</v>
      </c>
      <c r="B8" s="14" t="s">
        <v>42</v>
      </c>
      <c r="C8" s="14">
        <v>75</v>
      </c>
      <c r="D8" s="14"/>
      <c r="E8" s="14"/>
      <c r="F8" s="19">
        <v>75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4" t="e">
        <f t="shared" si="4"/>
        <v>#DIV/0!</v>
      </c>
      <c r="T8" s="14" t="e">
        <f t="shared" si="5"/>
        <v>#DIV/0!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/>
      <c r="AF8" s="14"/>
      <c r="AG8" s="15"/>
      <c r="AH8" s="17"/>
      <c r="AI8" s="14"/>
      <c r="AJ8" s="14"/>
      <c r="AK8" s="14"/>
      <c r="AL8" s="17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49</v>
      </c>
      <c r="B9" s="14" t="s">
        <v>42</v>
      </c>
      <c r="C9" s="14">
        <v>125</v>
      </c>
      <c r="D9" s="14"/>
      <c r="E9" s="14"/>
      <c r="F9" s="19">
        <v>125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4" t="e">
        <f t="shared" si="4"/>
        <v>#DIV/0!</v>
      </c>
      <c r="T9" s="14" t="e">
        <f t="shared" si="5"/>
        <v>#DIV/0!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/>
      <c r="AF9" s="14"/>
      <c r="AG9" s="15"/>
      <c r="AH9" s="17"/>
      <c r="AI9" s="14"/>
      <c r="AJ9" s="14"/>
      <c r="AK9" s="14"/>
      <c r="AL9" s="17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21" t="s">
        <v>51</v>
      </c>
      <c r="B10" s="1" t="s">
        <v>42</v>
      </c>
      <c r="C10" s="1">
        <v>137</v>
      </c>
      <c r="D10" s="1">
        <v>2</v>
      </c>
      <c r="E10" s="1">
        <v>24</v>
      </c>
      <c r="F10" s="1">
        <v>97</v>
      </c>
      <c r="G10" s="7">
        <v>0.22</v>
      </c>
      <c r="H10" s="1">
        <v>180</v>
      </c>
      <c r="I10" s="1" t="s">
        <v>52</v>
      </c>
      <c r="J10" s="1"/>
      <c r="K10" s="1">
        <v>24</v>
      </c>
      <c r="L10" s="1">
        <f t="shared" si="2"/>
        <v>0</v>
      </c>
      <c r="M10" s="1"/>
      <c r="N10" s="1"/>
      <c r="O10" s="1">
        <v>0</v>
      </c>
      <c r="P10" s="1">
        <f t="shared" si="3"/>
        <v>4.8</v>
      </c>
      <c r="Q10" s="5"/>
      <c r="R10" s="5">
        <f>AG10*AH10</f>
        <v>0</v>
      </c>
      <c r="S10" s="1">
        <f t="shared" si="4"/>
        <v>20.208333333333336</v>
      </c>
      <c r="T10" s="1">
        <f t="shared" si="5"/>
        <v>20.208333333333336</v>
      </c>
      <c r="U10" s="1">
        <v>3.8</v>
      </c>
      <c r="V10" s="1">
        <v>3.4</v>
      </c>
      <c r="W10" s="1">
        <v>2.2000000000000002</v>
      </c>
      <c r="X10" s="1">
        <v>1.8</v>
      </c>
      <c r="Y10" s="1">
        <v>2.4</v>
      </c>
      <c r="Z10" s="1">
        <v>5</v>
      </c>
      <c r="AA10" s="1">
        <v>5.8</v>
      </c>
      <c r="AB10" s="1">
        <v>1.8</v>
      </c>
      <c r="AC10" s="1">
        <v>2.4</v>
      </c>
      <c r="AD10" s="1">
        <v>6</v>
      </c>
      <c r="AE10" s="23" t="s">
        <v>61</v>
      </c>
      <c r="AF10" s="1">
        <f>G10*Q10</f>
        <v>0</v>
      </c>
      <c r="AG10" s="7">
        <v>12</v>
      </c>
      <c r="AH10" s="9">
        <f>MROUND(Q10, AG10*AJ10)/AG10</f>
        <v>0</v>
      </c>
      <c r="AI10" s="1">
        <f>AH10*AG10*G10</f>
        <v>0</v>
      </c>
      <c r="AJ10" s="1">
        <v>14</v>
      </c>
      <c r="AK10" s="1">
        <v>70</v>
      </c>
      <c r="AL10" s="9">
        <f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21" t="s">
        <v>54</v>
      </c>
      <c r="B11" s="1" t="s">
        <v>42</v>
      </c>
      <c r="C11" s="1"/>
      <c r="D11" s="1">
        <v>240</v>
      </c>
      <c r="E11" s="1">
        <v>18</v>
      </c>
      <c r="F11" s="1">
        <v>222</v>
      </c>
      <c r="G11" s="7">
        <v>0.6</v>
      </c>
      <c r="H11" s="1">
        <v>180</v>
      </c>
      <c r="I11" s="1" t="s">
        <v>55</v>
      </c>
      <c r="J11" s="1"/>
      <c r="K11" s="1">
        <v>18</v>
      </c>
      <c r="L11" s="1">
        <f t="shared" si="2"/>
        <v>0</v>
      </c>
      <c r="M11" s="1"/>
      <c r="N11" s="1"/>
      <c r="O11" s="1">
        <v>0</v>
      </c>
      <c r="P11" s="1">
        <f t="shared" si="3"/>
        <v>3.6</v>
      </c>
      <c r="Q11" s="5"/>
      <c r="R11" s="5">
        <f>AG11*AH11</f>
        <v>0</v>
      </c>
      <c r="S11" s="1">
        <f t="shared" si="4"/>
        <v>61.666666666666664</v>
      </c>
      <c r="T11" s="1">
        <f t="shared" si="5"/>
        <v>61.666666666666664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 t="s">
        <v>56</v>
      </c>
      <c r="AF11" s="1">
        <f>G11*Q11</f>
        <v>0</v>
      </c>
      <c r="AG11" s="7">
        <v>10</v>
      </c>
      <c r="AH11" s="9">
        <f>MROUND(Q11, AG11*AJ11)/AG11</f>
        <v>0</v>
      </c>
      <c r="AI11" s="1">
        <f>AH11*AG11*G11</f>
        <v>0</v>
      </c>
      <c r="AJ11" s="1">
        <v>12</v>
      </c>
      <c r="AK11" s="1">
        <v>84</v>
      </c>
      <c r="AL11" s="9">
        <f>AH11/AK11</f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4" t="s">
        <v>57</v>
      </c>
      <c r="B12" s="14" t="s">
        <v>42</v>
      </c>
      <c r="C12" s="14">
        <v>249</v>
      </c>
      <c r="D12" s="14">
        <v>1008</v>
      </c>
      <c r="E12" s="19">
        <v>318</v>
      </c>
      <c r="F12" s="19">
        <v>811</v>
      </c>
      <c r="G12" s="15">
        <v>0</v>
      </c>
      <c r="H12" s="14">
        <v>180</v>
      </c>
      <c r="I12" s="14" t="s">
        <v>58</v>
      </c>
      <c r="J12" s="14" t="s">
        <v>50</v>
      </c>
      <c r="K12" s="14">
        <v>308</v>
      </c>
      <c r="L12" s="14">
        <f t="shared" si="2"/>
        <v>10</v>
      </c>
      <c r="M12" s="14"/>
      <c r="N12" s="14"/>
      <c r="O12" s="14"/>
      <c r="P12" s="14">
        <f t="shared" si="3"/>
        <v>63.6</v>
      </c>
      <c r="Q12" s="16"/>
      <c r="R12" s="16"/>
      <c r="S12" s="14">
        <f t="shared" si="4"/>
        <v>12.751572327044025</v>
      </c>
      <c r="T12" s="14">
        <f t="shared" si="5"/>
        <v>12.751572327044025</v>
      </c>
      <c r="U12" s="14">
        <v>17.2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/>
      <c r="AF12" s="14"/>
      <c r="AG12" s="15"/>
      <c r="AH12" s="17"/>
      <c r="AI12" s="14"/>
      <c r="AJ12" s="14"/>
      <c r="AK12" s="14"/>
      <c r="AL12" s="17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21" t="s">
        <v>59</v>
      </c>
      <c r="B13" s="1" t="s">
        <v>42</v>
      </c>
      <c r="C13" s="1"/>
      <c r="D13" s="1"/>
      <c r="E13" s="19">
        <f>0+E69</f>
        <v>31</v>
      </c>
      <c r="F13" s="19">
        <f>0+F69</f>
        <v>278</v>
      </c>
      <c r="G13" s="7">
        <v>0.3</v>
      </c>
      <c r="H13" s="1">
        <v>180</v>
      </c>
      <c r="I13" s="1" t="s">
        <v>60</v>
      </c>
      <c r="J13" s="1"/>
      <c r="K13" s="1"/>
      <c r="L13" s="1">
        <f t="shared" si="2"/>
        <v>31</v>
      </c>
      <c r="M13" s="1"/>
      <c r="N13" s="1"/>
      <c r="O13" s="1">
        <v>0</v>
      </c>
      <c r="P13" s="1">
        <f t="shared" si="3"/>
        <v>6.2</v>
      </c>
      <c r="Q13" s="5"/>
      <c r="R13" s="5">
        <f>AG13*AH13</f>
        <v>0</v>
      </c>
      <c r="S13" s="1">
        <f t="shared" si="4"/>
        <v>44.838709677419352</v>
      </c>
      <c r="T13" s="1">
        <f t="shared" si="5"/>
        <v>44.838709677419352</v>
      </c>
      <c r="U13" s="1">
        <v>6.4</v>
      </c>
      <c r="V13" s="1">
        <v>18</v>
      </c>
      <c r="W13" s="1">
        <v>22.6</v>
      </c>
      <c r="X13" s="1">
        <v>14.2</v>
      </c>
      <c r="Y13" s="1">
        <v>1.8</v>
      </c>
      <c r="Z13" s="1">
        <v>15</v>
      </c>
      <c r="AA13" s="1">
        <v>16</v>
      </c>
      <c r="AB13" s="1">
        <v>11.8</v>
      </c>
      <c r="AC13" s="1">
        <v>11.2</v>
      </c>
      <c r="AD13" s="1">
        <v>22.8</v>
      </c>
      <c r="AE13" s="23" t="s">
        <v>61</v>
      </c>
      <c r="AF13" s="1">
        <f>G13*Q13</f>
        <v>0</v>
      </c>
      <c r="AG13" s="7">
        <v>12</v>
      </c>
      <c r="AH13" s="9">
        <f>MROUND(Q13, AG13*AJ13)/AG13</f>
        <v>0</v>
      </c>
      <c r="AI13" s="1">
        <f>AH13*AG13*G13</f>
        <v>0</v>
      </c>
      <c r="AJ13" s="1">
        <v>14</v>
      </c>
      <c r="AK13" s="1">
        <v>70</v>
      </c>
      <c r="AL13" s="9">
        <f>AH13/AK13</f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4" t="s">
        <v>62</v>
      </c>
      <c r="B14" s="14" t="s">
        <v>42</v>
      </c>
      <c r="C14" s="14">
        <v>128</v>
      </c>
      <c r="D14" s="14">
        <v>2</v>
      </c>
      <c r="E14" s="19">
        <v>93</v>
      </c>
      <c r="F14" s="19">
        <v>18</v>
      </c>
      <c r="G14" s="15">
        <v>0</v>
      </c>
      <c r="H14" s="14">
        <v>180</v>
      </c>
      <c r="I14" s="14" t="s">
        <v>58</v>
      </c>
      <c r="J14" s="14" t="s">
        <v>63</v>
      </c>
      <c r="K14" s="14">
        <v>91</v>
      </c>
      <c r="L14" s="14">
        <f t="shared" si="2"/>
        <v>2</v>
      </c>
      <c r="M14" s="14"/>
      <c r="N14" s="14"/>
      <c r="O14" s="14"/>
      <c r="P14" s="14">
        <f t="shared" si="3"/>
        <v>18.600000000000001</v>
      </c>
      <c r="Q14" s="16"/>
      <c r="R14" s="16"/>
      <c r="S14" s="14">
        <f t="shared" si="4"/>
        <v>0.96774193548387089</v>
      </c>
      <c r="T14" s="14">
        <f t="shared" si="5"/>
        <v>0.96774193548387089</v>
      </c>
      <c r="U14" s="14">
        <v>12.2</v>
      </c>
      <c r="V14" s="14">
        <v>10.4</v>
      </c>
      <c r="W14" s="14">
        <v>9.8000000000000007</v>
      </c>
      <c r="X14" s="14">
        <v>11.8</v>
      </c>
      <c r="Y14" s="14">
        <v>3.8</v>
      </c>
      <c r="Z14" s="14">
        <v>6</v>
      </c>
      <c r="AA14" s="14">
        <v>2.8</v>
      </c>
      <c r="AB14" s="14">
        <v>0</v>
      </c>
      <c r="AC14" s="14">
        <v>0</v>
      </c>
      <c r="AD14" s="14">
        <v>0</v>
      </c>
      <c r="AE14" s="14"/>
      <c r="AF14" s="14"/>
      <c r="AG14" s="15"/>
      <c r="AH14" s="17"/>
      <c r="AI14" s="14"/>
      <c r="AJ14" s="14"/>
      <c r="AK14" s="14"/>
      <c r="AL14" s="17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4" t="s">
        <v>64</v>
      </c>
      <c r="B15" s="14" t="s">
        <v>42</v>
      </c>
      <c r="C15" s="14">
        <v>159</v>
      </c>
      <c r="D15" s="14">
        <v>170</v>
      </c>
      <c r="E15" s="19">
        <v>76</v>
      </c>
      <c r="F15" s="19">
        <v>246</v>
      </c>
      <c r="G15" s="15">
        <v>0</v>
      </c>
      <c r="H15" s="14">
        <v>180</v>
      </c>
      <c r="I15" s="14" t="s">
        <v>58</v>
      </c>
      <c r="J15" s="14" t="s">
        <v>65</v>
      </c>
      <c r="K15" s="14">
        <v>79</v>
      </c>
      <c r="L15" s="14">
        <f t="shared" si="2"/>
        <v>-3</v>
      </c>
      <c r="M15" s="14"/>
      <c r="N15" s="14"/>
      <c r="O15" s="14"/>
      <c r="P15" s="14">
        <f t="shared" si="3"/>
        <v>15.2</v>
      </c>
      <c r="Q15" s="16"/>
      <c r="R15" s="16"/>
      <c r="S15" s="14">
        <f t="shared" si="4"/>
        <v>16.184210526315791</v>
      </c>
      <c r="T15" s="14">
        <f t="shared" si="5"/>
        <v>16.184210526315791</v>
      </c>
      <c r="U15" s="14">
        <v>11.4</v>
      </c>
      <c r="V15" s="14">
        <v>5.6</v>
      </c>
      <c r="W15" s="14">
        <v>5.2</v>
      </c>
      <c r="X15" s="14">
        <v>12</v>
      </c>
      <c r="Y15" s="14">
        <v>3.8</v>
      </c>
      <c r="Z15" s="14">
        <v>5.8</v>
      </c>
      <c r="AA15" s="14">
        <v>2.6</v>
      </c>
      <c r="AB15" s="14">
        <v>0</v>
      </c>
      <c r="AC15" s="14">
        <v>0</v>
      </c>
      <c r="AD15" s="14">
        <v>0</v>
      </c>
      <c r="AE15" s="14"/>
      <c r="AF15" s="14"/>
      <c r="AG15" s="15"/>
      <c r="AH15" s="17"/>
      <c r="AI15" s="14"/>
      <c r="AJ15" s="14"/>
      <c r="AK15" s="14"/>
      <c r="AL15" s="17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4" t="s">
        <v>66</v>
      </c>
      <c r="B16" s="14" t="s">
        <v>42</v>
      </c>
      <c r="C16" s="14">
        <v>57</v>
      </c>
      <c r="D16" s="14">
        <v>176</v>
      </c>
      <c r="E16" s="19">
        <v>236</v>
      </c>
      <c r="F16" s="19">
        <v>-3</v>
      </c>
      <c r="G16" s="15">
        <v>0</v>
      </c>
      <c r="H16" s="14">
        <v>180</v>
      </c>
      <c r="I16" s="14" t="s">
        <v>58</v>
      </c>
      <c r="J16" s="14" t="s">
        <v>67</v>
      </c>
      <c r="K16" s="14">
        <v>336</v>
      </c>
      <c r="L16" s="14">
        <f t="shared" si="2"/>
        <v>-100</v>
      </c>
      <c r="M16" s="14"/>
      <c r="N16" s="14"/>
      <c r="O16" s="14"/>
      <c r="P16" s="14">
        <f t="shared" si="3"/>
        <v>47.2</v>
      </c>
      <c r="Q16" s="16"/>
      <c r="R16" s="16"/>
      <c r="S16" s="14">
        <f t="shared" si="4"/>
        <v>-6.3559322033898302E-2</v>
      </c>
      <c r="T16" s="14">
        <f t="shared" si="5"/>
        <v>-6.3559322033898302E-2</v>
      </c>
      <c r="U16" s="14">
        <v>45.8</v>
      </c>
      <c r="V16" s="14">
        <v>29.8</v>
      </c>
      <c r="W16" s="14">
        <v>27.2</v>
      </c>
      <c r="X16" s="14">
        <v>21.8</v>
      </c>
      <c r="Y16" s="14">
        <v>14.6</v>
      </c>
      <c r="Z16" s="14">
        <v>18.8</v>
      </c>
      <c r="AA16" s="14">
        <v>14.6</v>
      </c>
      <c r="AB16" s="14">
        <v>11.4</v>
      </c>
      <c r="AC16" s="14">
        <v>0</v>
      </c>
      <c r="AD16" s="14">
        <v>0</v>
      </c>
      <c r="AE16" s="14"/>
      <c r="AF16" s="14"/>
      <c r="AG16" s="15"/>
      <c r="AH16" s="17"/>
      <c r="AI16" s="14"/>
      <c r="AJ16" s="14"/>
      <c r="AK16" s="14"/>
      <c r="AL16" s="17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4" t="s">
        <v>68</v>
      </c>
      <c r="B17" s="14" t="s">
        <v>42</v>
      </c>
      <c r="C17" s="14">
        <v>-5</v>
      </c>
      <c r="D17" s="14">
        <v>173</v>
      </c>
      <c r="E17" s="19">
        <v>33</v>
      </c>
      <c r="F17" s="19">
        <v>123</v>
      </c>
      <c r="G17" s="15">
        <v>0</v>
      </c>
      <c r="H17" s="14">
        <v>180</v>
      </c>
      <c r="I17" s="14" t="s">
        <v>58</v>
      </c>
      <c r="J17" s="14" t="s">
        <v>69</v>
      </c>
      <c r="K17" s="14">
        <v>33</v>
      </c>
      <c r="L17" s="14">
        <f t="shared" si="2"/>
        <v>0</v>
      </c>
      <c r="M17" s="14"/>
      <c r="N17" s="14"/>
      <c r="O17" s="14"/>
      <c r="P17" s="14">
        <f t="shared" si="3"/>
        <v>6.6</v>
      </c>
      <c r="Q17" s="16"/>
      <c r="R17" s="16"/>
      <c r="S17" s="14">
        <f t="shared" si="4"/>
        <v>18.636363636363637</v>
      </c>
      <c r="T17" s="14">
        <f t="shared" si="5"/>
        <v>18.636363636363637</v>
      </c>
      <c r="U17" s="14">
        <v>18.8</v>
      </c>
      <c r="V17" s="14">
        <v>19.399999999999999</v>
      </c>
      <c r="W17" s="14">
        <v>9.1999999999999993</v>
      </c>
      <c r="X17" s="14">
        <v>2.8</v>
      </c>
      <c r="Y17" s="14">
        <v>1</v>
      </c>
      <c r="Z17" s="14">
        <v>3.2</v>
      </c>
      <c r="AA17" s="14">
        <v>2.2000000000000002</v>
      </c>
      <c r="AB17" s="14">
        <v>0</v>
      </c>
      <c r="AC17" s="14">
        <v>0</v>
      </c>
      <c r="AD17" s="14">
        <v>0</v>
      </c>
      <c r="AE17" s="14"/>
      <c r="AF17" s="14"/>
      <c r="AG17" s="15"/>
      <c r="AH17" s="17"/>
      <c r="AI17" s="14"/>
      <c r="AJ17" s="14"/>
      <c r="AK17" s="14"/>
      <c r="AL17" s="17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21" t="s">
        <v>70</v>
      </c>
      <c r="B18" s="1" t="s">
        <v>42</v>
      </c>
      <c r="C18" s="1">
        <v>7</v>
      </c>
      <c r="D18" s="1">
        <v>172</v>
      </c>
      <c r="E18" s="19">
        <f>66+E70</f>
        <v>110</v>
      </c>
      <c r="F18" s="1">
        <v>106</v>
      </c>
      <c r="G18" s="7">
        <v>0.28000000000000003</v>
      </c>
      <c r="H18" s="1">
        <v>180</v>
      </c>
      <c r="I18" s="1" t="s">
        <v>71</v>
      </c>
      <c r="J18" s="1"/>
      <c r="K18" s="1">
        <v>68</v>
      </c>
      <c r="L18" s="1">
        <f t="shared" si="2"/>
        <v>42</v>
      </c>
      <c r="M18" s="1"/>
      <c r="N18" s="1"/>
      <c r="O18" s="1">
        <v>336</v>
      </c>
      <c r="P18" s="1">
        <f t="shared" si="3"/>
        <v>22</v>
      </c>
      <c r="Q18" s="5"/>
      <c r="R18" s="5">
        <f>AG18*AH18</f>
        <v>0</v>
      </c>
      <c r="S18" s="1">
        <f t="shared" si="4"/>
        <v>20.09090909090909</v>
      </c>
      <c r="T18" s="1">
        <f t="shared" si="5"/>
        <v>20.09090909090909</v>
      </c>
      <c r="U18" s="1">
        <v>31.2</v>
      </c>
      <c r="V18" s="1">
        <v>31.6</v>
      </c>
      <c r="W18" s="1">
        <v>25.6</v>
      </c>
      <c r="X18" s="1">
        <v>30.4</v>
      </c>
      <c r="Y18" s="1">
        <v>20</v>
      </c>
      <c r="Z18" s="1">
        <v>28.8</v>
      </c>
      <c r="AA18" s="1">
        <v>26</v>
      </c>
      <c r="AB18" s="1">
        <v>22.4</v>
      </c>
      <c r="AC18" s="1">
        <v>20.8</v>
      </c>
      <c r="AD18" s="1">
        <v>30.2</v>
      </c>
      <c r="AE18" s="1"/>
      <c r="AF18" s="1">
        <f>G18*Q18</f>
        <v>0</v>
      </c>
      <c r="AG18" s="7">
        <v>6</v>
      </c>
      <c r="AH18" s="9">
        <f>MROUND(Q18, AG18*AJ18)/AG18</f>
        <v>0</v>
      </c>
      <c r="AI18" s="1">
        <f>AH18*AG18*G18</f>
        <v>0</v>
      </c>
      <c r="AJ18" s="1">
        <v>14</v>
      </c>
      <c r="AK18" s="1">
        <v>140</v>
      </c>
      <c r="AL18" s="9">
        <f>AH18/AK18</f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21" t="s">
        <v>72</v>
      </c>
      <c r="B19" s="1" t="s">
        <v>42</v>
      </c>
      <c r="C19" s="1"/>
      <c r="D19" s="1">
        <v>343</v>
      </c>
      <c r="E19" s="1">
        <v>128</v>
      </c>
      <c r="F19" s="1">
        <v>126</v>
      </c>
      <c r="G19" s="7">
        <v>0.24</v>
      </c>
      <c r="H19" s="1">
        <v>180</v>
      </c>
      <c r="I19" s="1" t="s">
        <v>73</v>
      </c>
      <c r="J19" s="1"/>
      <c r="K19" s="1">
        <v>134</v>
      </c>
      <c r="L19" s="1">
        <f t="shared" si="2"/>
        <v>-6</v>
      </c>
      <c r="M19" s="1"/>
      <c r="N19" s="1"/>
      <c r="O19" s="1">
        <v>504</v>
      </c>
      <c r="P19" s="1">
        <f t="shared" si="3"/>
        <v>25.6</v>
      </c>
      <c r="Q19" s="5"/>
      <c r="R19" s="5">
        <f>AG19*AH19</f>
        <v>0</v>
      </c>
      <c r="S19" s="1">
        <f t="shared" si="4"/>
        <v>24.609375</v>
      </c>
      <c r="T19" s="1">
        <f t="shared" si="5"/>
        <v>24.609375</v>
      </c>
      <c r="U19" s="1">
        <v>29.6</v>
      </c>
      <c r="V19" s="1">
        <v>91</v>
      </c>
      <c r="W19" s="1">
        <v>75.599999999999994</v>
      </c>
      <c r="X19" s="1">
        <v>16.8</v>
      </c>
      <c r="Y19" s="1">
        <v>8.1999999999999993</v>
      </c>
      <c r="Z19" s="1">
        <v>18.2</v>
      </c>
      <c r="AA19" s="1">
        <v>21</v>
      </c>
      <c r="AB19" s="1">
        <v>19.600000000000001</v>
      </c>
      <c r="AC19" s="1">
        <v>14.2</v>
      </c>
      <c r="AD19" s="1">
        <v>30.8</v>
      </c>
      <c r="AE19" s="1"/>
      <c r="AF19" s="1">
        <f>G19*Q19</f>
        <v>0</v>
      </c>
      <c r="AG19" s="7">
        <v>12</v>
      </c>
      <c r="AH19" s="9">
        <f>MROUND(Q19, AG19*AJ19)/AG19</f>
        <v>0</v>
      </c>
      <c r="AI19" s="1">
        <f>AH19*AG19*G19</f>
        <v>0</v>
      </c>
      <c r="AJ19" s="1">
        <v>14</v>
      </c>
      <c r="AK19" s="1">
        <v>70</v>
      </c>
      <c r="AL19" s="9">
        <f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4" t="s">
        <v>74</v>
      </c>
      <c r="B20" s="14" t="s">
        <v>42</v>
      </c>
      <c r="C20" s="14">
        <v>62</v>
      </c>
      <c r="D20" s="14">
        <v>545</v>
      </c>
      <c r="E20" s="19">
        <v>232</v>
      </c>
      <c r="F20" s="19">
        <v>302</v>
      </c>
      <c r="G20" s="15">
        <v>0</v>
      </c>
      <c r="H20" s="14">
        <v>180</v>
      </c>
      <c r="I20" s="14" t="s">
        <v>58</v>
      </c>
      <c r="J20" s="14" t="s">
        <v>75</v>
      </c>
      <c r="K20" s="14">
        <v>316</v>
      </c>
      <c r="L20" s="14">
        <f t="shared" si="2"/>
        <v>-84</v>
      </c>
      <c r="M20" s="14"/>
      <c r="N20" s="14"/>
      <c r="O20" s="14"/>
      <c r="P20" s="14">
        <f t="shared" si="3"/>
        <v>46.4</v>
      </c>
      <c r="Q20" s="16"/>
      <c r="R20" s="16"/>
      <c r="S20" s="14">
        <f t="shared" si="4"/>
        <v>6.5086206896551726</v>
      </c>
      <c r="T20" s="14">
        <f t="shared" si="5"/>
        <v>6.5086206896551726</v>
      </c>
      <c r="U20" s="14">
        <v>13.8</v>
      </c>
      <c r="V20" s="14">
        <v>51.2</v>
      </c>
      <c r="W20" s="14">
        <v>59</v>
      </c>
      <c r="X20" s="14">
        <v>22.4</v>
      </c>
      <c r="Y20" s="14">
        <v>8.8000000000000007</v>
      </c>
      <c r="Z20" s="14">
        <v>12.6</v>
      </c>
      <c r="AA20" s="14">
        <v>16</v>
      </c>
      <c r="AB20" s="14">
        <v>9.1999999999999993</v>
      </c>
      <c r="AC20" s="14">
        <v>0.2</v>
      </c>
      <c r="AD20" s="14">
        <v>0</v>
      </c>
      <c r="AE20" s="14"/>
      <c r="AF20" s="14"/>
      <c r="AG20" s="15"/>
      <c r="AH20" s="17"/>
      <c r="AI20" s="14"/>
      <c r="AJ20" s="14"/>
      <c r="AK20" s="14"/>
      <c r="AL20" s="17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21" t="s">
        <v>75</v>
      </c>
      <c r="B21" s="1" t="s">
        <v>42</v>
      </c>
      <c r="C21" s="1"/>
      <c r="D21" s="1"/>
      <c r="E21" s="19">
        <f>0+E20</f>
        <v>232</v>
      </c>
      <c r="F21" s="19">
        <f>0+F20</f>
        <v>302</v>
      </c>
      <c r="G21" s="7">
        <v>0.24</v>
      </c>
      <c r="H21" s="1">
        <v>180</v>
      </c>
      <c r="I21" s="1" t="s">
        <v>76</v>
      </c>
      <c r="J21" s="1"/>
      <c r="K21" s="1"/>
      <c r="L21" s="1">
        <f t="shared" si="2"/>
        <v>232</v>
      </c>
      <c r="M21" s="1"/>
      <c r="N21" s="1"/>
      <c r="O21" s="1">
        <v>0</v>
      </c>
      <c r="P21" s="1">
        <f t="shared" si="3"/>
        <v>46.4</v>
      </c>
      <c r="Q21" s="5">
        <f t="shared" ref="Q21:Q22" si="6">14*P21-O21-F21</f>
        <v>347.6</v>
      </c>
      <c r="R21" s="5">
        <f>AG21*AH21</f>
        <v>336</v>
      </c>
      <c r="S21" s="1">
        <f t="shared" si="4"/>
        <v>13.75</v>
      </c>
      <c r="T21" s="1">
        <f t="shared" si="5"/>
        <v>6.5086206896551726</v>
      </c>
      <c r="U21" s="1">
        <v>13.8</v>
      </c>
      <c r="V21" s="1">
        <v>51.2</v>
      </c>
      <c r="W21" s="1">
        <v>60.2</v>
      </c>
      <c r="X21" s="1">
        <v>22.4</v>
      </c>
      <c r="Y21" s="1">
        <v>8.8000000000000007</v>
      </c>
      <c r="Z21" s="1">
        <v>12.6</v>
      </c>
      <c r="AA21" s="1">
        <v>16</v>
      </c>
      <c r="AB21" s="1">
        <v>16.8</v>
      </c>
      <c r="AC21" s="1">
        <v>23.8</v>
      </c>
      <c r="AD21" s="1">
        <v>46.2</v>
      </c>
      <c r="AE21" s="1"/>
      <c r="AF21" s="1">
        <f>G21*Q21</f>
        <v>83.424000000000007</v>
      </c>
      <c r="AG21" s="7">
        <v>12</v>
      </c>
      <c r="AH21" s="9">
        <f>MROUND(Q21, AG21*AJ21)/AG21</f>
        <v>28</v>
      </c>
      <c r="AI21" s="1">
        <f>AH21*AG21*G21</f>
        <v>80.64</v>
      </c>
      <c r="AJ21" s="1">
        <v>14</v>
      </c>
      <c r="AK21" s="1">
        <v>70</v>
      </c>
      <c r="AL21" s="9">
        <f>AH21/AK21</f>
        <v>0.4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21" t="s">
        <v>77</v>
      </c>
      <c r="B22" s="1" t="s">
        <v>42</v>
      </c>
      <c r="C22" s="1">
        <v>60</v>
      </c>
      <c r="D22" s="1">
        <v>1</v>
      </c>
      <c r="E22" s="1">
        <v>51</v>
      </c>
      <c r="F22" s="1"/>
      <c r="G22" s="7">
        <v>0.24</v>
      </c>
      <c r="H22" s="1">
        <v>180</v>
      </c>
      <c r="I22" s="1" t="s">
        <v>78</v>
      </c>
      <c r="J22" s="1"/>
      <c r="K22" s="1">
        <v>64</v>
      </c>
      <c r="L22" s="1">
        <f t="shared" si="2"/>
        <v>-13</v>
      </c>
      <c r="M22" s="1"/>
      <c r="N22" s="1"/>
      <c r="O22" s="1">
        <v>504</v>
      </c>
      <c r="P22" s="1">
        <f t="shared" si="3"/>
        <v>10.199999999999999</v>
      </c>
      <c r="Q22" s="5"/>
      <c r="R22" s="5">
        <f>AG22*AH22</f>
        <v>0</v>
      </c>
      <c r="S22" s="1">
        <f t="shared" si="4"/>
        <v>49.411764705882355</v>
      </c>
      <c r="T22" s="1">
        <f t="shared" si="5"/>
        <v>49.411764705882355</v>
      </c>
      <c r="U22" s="1">
        <v>33.200000000000003</v>
      </c>
      <c r="V22" s="1">
        <v>39.799999999999997</v>
      </c>
      <c r="W22" s="1">
        <v>33.6</v>
      </c>
      <c r="X22" s="1">
        <v>19.8</v>
      </c>
      <c r="Y22" s="1">
        <v>20.8</v>
      </c>
      <c r="Z22" s="1">
        <v>31.6</v>
      </c>
      <c r="AA22" s="1">
        <v>19</v>
      </c>
      <c r="AB22" s="1">
        <v>0</v>
      </c>
      <c r="AC22" s="1">
        <v>24.8</v>
      </c>
      <c r="AD22" s="1">
        <v>13.4</v>
      </c>
      <c r="AE22" s="1"/>
      <c r="AF22" s="1">
        <f>G22*Q22</f>
        <v>0</v>
      </c>
      <c r="AG22" s="7">
        <v>12</v>
      </c>
      <c r="AH22" s="9">
        <f>MROUND(Q22, AG22*AJ22)/AG22</f>
        <v>0</v>
      </c>
      <c r="AI22" s="1">
        <f>AH22*AG22*G22</f>
        <v>0</v>
      </c>
      <c r="AJ22" s="1">
        <v>14</v>
      </c>
      <c r="AK22" s="1">
        <v>70</v>
      </c>
      <c r="AL22" s="9">
        <f>AH22/AK22</f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4" t="s">
        <v>79</v>
      </c>
      <c r="B23" s="14" t="s">
        <v>42</v>
      </c>
      <c r="C23" s="14">
        <v>382</v>
      </c>
      <c r="D23" s="14">
        <v>23</v>
      </c>
      <c r="E23" s="19">
        <v>398</v>
      </c>
      <c r="F23" s="19">
        <v>4</v>
      </c>
      <c r="G23" s="15">
        <v>0</v>
      </c>
      <c r="H23" s="14">
        <v>180</v>
      </c>
      <c r="I23" s="14" t="s">
        <v>58</v>
      </c>
      <c r="J23" s="14" t="s">
        <v>80</v>
      </c>
      <c r="K23" s="14">
        <v>422</v>
      </c>
      <c r="L23" s="14">
        <f t="shared" si="2"/>
        <v>-24</v>
      </c>
      <c r="M23" s="14"/>
      <c r="N23" s="14"/>
      <c r="O23" s="14"/>
      <c r="P23" s="14">
        <f t="shared" si="3"/>
        <v>79.599999999999994</v>
      </c>
      <c r="Q23" s="16"/>
      <c r="R23" s="16"/>
      <c r="S23" s="14">
        <f t="shared" si="4"/>
        <v>5.0251256281407038E-2</v>
      </c>
      <c r="T23" s="14">
        <f t="shared" si="5"/>
        <v>5.0251256281407038E-2</v>
      </c>
      <c r="U23" s="14">
        <v>30.2</v>
      </c>
      <c r="V23" s="14">
        <v>64.2</v>
      </c>
      <c r="W23" s="14">
        <v>71.2</v>
      </c>
      <c r="X23" s="14">
        <v>21.4</v>
      </c>
      <c r="Y23" s="14">
        <v>4.2</v>
      </c>
      <c r="Z23" s="14">
        <v>3</v>
      </c>
      <c r="AA23" s="14">
        <v>0</v>
      </c>
      <c r="AB23" s="14">
        <v>0</v>
      </c>
      <c r="AC23" s="14">
        <v>0</v>
      </c>
      <c r="AD23" s="14">
        <v>0</v>
      </c>
      <c r="AE23" s="14"/>
      <c r="AF23" s="14"/>
      <c r="AG23" s="15"/>
      <c r="AH23" s="17"/>
      <c r="AI23" s="14"/>
      <c r="AJ23" s="14"/>
      <c r="AK23" s="14"/>
      <c r="AL23" s="17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4" t="s">
        <v>81</v>
      </c>
      <c r="B24" s="14" t="s">
        <v>42</v>
      </c>
      <c r="C24" s="14">
        <v>123</v>
      </c>
      <c r="D24" s="14">
        <v>448</v>
      </c>
      <c r="E24" s="19">
        <v>88</v>
      </c>
      <c r="F24" s="19">
        <v>451</v>
      </c>
      <c r="G24" s="15">
        <v>0</v>
      </c>
      <c r="H24" s="14">
        <v>180</v>
      </c>
      <c r="I24" s="14" t="s">
        <v>58</v>
      </c>
      <c r="J24" s="14" t="s">
        <v>80</v>
      </c>
      <c r="K24" s="14">
        <v>76</v>
      </c>
      <c r="L24" s="14">
        <f t="shared" si="2"/>
        <v>12</v>
      </c>
      <c r="M24" s="14"/>
      <c r="N24" s="14"/>
      <c r="O24" s="14"/>
      <c r="P24" s="14">
        <f t="shared" si="3"/>
        <v>17.600000000000001</v>
      </c>
      <c r="Q24" s="16"/>
      <c r="R24" s="16"/>
      <c r="S24" s="14">
        <f t="shared" si="4"/>
        <v>25.624999999999996</v>
      </c>
      <c r="T24" s="14">
        <f t="shared" si="5"/>
        <v>25.624999999999996</v>
      </c>
      <c r="U24" s="14">
        <v>13.8</v>
      </c>
      <c r="V24" s="14">
        <v>12.8</v>
      </c>
      <c r="W24" s="14">
        <v>9.1999999999999993</v>
      </c>
      <c r="X24" s="14">
        <v>10.4</v>
      </c>
      <c r="Y24" s="14">
        <v>6</v>
      </c>
      <c r="Z24" s="14">
        <v>8.4</v>
      </c>
      <c r="AA24" s="14">
        <v>3.6</v>
      </c>
      <c r="AB24" s="14">
        <v>0</v>
      </c>
      <c r="AC24" s="14">
        <v>0</v>
      </c>
      <c r="AD24" s="14">
        <v>0</v>
      </c>
      <c r="AE24" s="14"/>
      <c r="AF24" s="14"/>
      <c r="AG24" s="15"/>
      <c r="AH24" s="17"/>
      <c r="AI24" s="14"/>
      <c r="AJ24" s="14"/>
      <c r="AK24" s="14"/>
      <c r="AL24" s="17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21" t="s">
        <v>44</v>
      </c>
      <c r="B25" s="1" t="s">
        <v>42</v>
      </c>
      <c r="C25" s="1"/>
      <c r="D25" s="1"/>
      <c r="E25" s="19">
        <f>0+E6</f>
        <v>25</v>
      </c>
      <c r="F25" s="19">
        <f>0+F6</f>
        <v>96</v>
      </c>
      <c r="G25" s="7">
        <v>0.24</v>
      </c>
      <c r="H25" s="1">
        <v>180</v>
      </c>
      <c r="I25" s="1" t="s">
        <v>82</v>
      </c>
      <c r="J25" s="1"/>
      <c r="K25" s="1"/>
      <c r="L25" s="1">
        <f t="shared" si="2"/>
        <v>25</v>
      </c>
      <c r="M25" s="1"/>
      <c r="N25" s="1"/>
      <c r="O25" s="1">
        <v>168</v>
      </c>
      <c r="P25" s="1">
        <f t="shared" si="3"/>
        <v>5</v>
      </c>
      <c r="Q25" s="5"/>
      <c r="R25" s="5">
        <f t="shared" ref="R25:R32" si="7">AG25*AH25</f>
        <v>0</v>
      </c>
      <c r="S25" s="1">
        <f t="shared" si="4"/>
        <v>52.8</v>
      </c>
      <c r="T25" s="1">
        <f t="shared" si="5"/>
        <v>52.8</v>
      </c>
      <c r="U25" s="1">
        <v>3.2</v>
      </c>
      <c r="V25" s="1">
        <v>1.2</v>
      </c>
      <c r="W25" s="1">
        <v>7.2</v>
      </c>
      <c r="X25" s="1">
        <v>28.2</v>
      </c>
      <c r="Y25" s="1">
        <v>15.2</v>
      </c>
      <c r="Z25" s="1">
        <v>30.2</v>
      </c>
      <c r="AA25" s="1">
        <v>59.4</v>
      </c>
      <c r="AB25" s="1">
        <v>64</v>
      </c>
      <c r="AC25" s="1">
        <v>39.799999999999997</v>
      </c>
      <c r="AD25" s="1">
        <v>76.400000000000006</v>
      </c>
      <c r="AE25" s="1"/>
      <c r="AF25" s="1">
        <f t="shared" ref="AF25:AF32" si="8">G25*Q25</f>
        <v>0</v>
      </c>
      <c r="AG25" s="7">
        <v>12</v>
      </c>
      <c r="AH25" s="9">
        <f t="shared" ref="AH25:AH32" si="9">MROUND(Q25, AG25*AJ25)/AG25</f>
        <v>0</v>
      </c>
      <c r="AI25" s="1">
        <f t="shared" ref="AI25:AI32" si="10">AH25*AG25*G25</f>
        <v>0</v>
      </c>
      <c r="AJ25" s="1">
        <v>14</v>
      </c>
      <c r="AK25" s="1">
        <v>70</v>
      </c>
      <c r="AL25" s="9">
        <f t="shared" ref="AL25:AL32" si="11">AH25/AK25</f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21" t="s">
        <v>80</v>
      </c>
      <c r="B26" s="1" t="s">
        <v>42</v>
      </c>
      <c r="C26" s="1"/>
      <c r="D26" s="1"/>
      <c r="E26" s="19">
        <f>0+E23+E24</f>
        <v>486</v>
      </c>
      <c r="F26" s="19">
        <f>0+F23+F24</f>
        <v>455</v>
      </c>
      <c r="G26" s="7">
        <v>0.48</v>
      </c>
      <c r="H26" s="1">
        <v>180</v>
      </c>
      <c r="I26" s="1" t="s">
        <v>83</v>
      </c>
      <c r="J26" s="1"/>
      <c r="K26" s="1"/>
      <c r="L26" s="1">
        <f t="shared" si="2"/>
        <v>486</v>
      </c>
      <c r="M26" s="1"/>
      <c r="N26" s="1"/>
      <c r="O26" s="1">
        <v>336</v>
      </c>
      <c r="P26" s="1">
        <f t="shared" si="3"/>
        <v>97.2</v>
      </c>
      <c r="Q26" s="5">
        <f t="shared" ref="Q25:Q32" si="12">14*P26-O26-F26</f>
        <v>569.79999999999995</v>
      </c>
      <c r="R26" s="5">
        <f t="shared" si="7"/>
        <v>560</v>
      </c>
      <c r="S26" s="1">
        <f t="shared" si="4"/>
        <v>13.899176954732511</v>
      </c>
      <c r="T26" s="1">
        <f t="shared" si="5"/>
        <v>8.1378600823045257</v>
      </c>
      <c r="U26" s="1">
        <v>44</v>
      </c>
      <c r="V26" s="1">
        <v>77</v>
      </c>
      <c r="W26" s="1">
        <v>80.400000000000006</v>
      </c>
      <c r="X26" s="1">
        <v>31.8</v>
      </c>
      <c r="Y26" s="1">
        <v>10.199999999999999</v>
      </c>
      <c r="Z26" s="1">
        <v>11.4</v>
      </c>
      <c r="AA26" s="1">
        <v>3.6</v>
      </c>
      <c r="AB26" s="1">
        <v>10.6</v>
      </c>
      <c r="AC26" s="1">
        <v>30.4</v>
      </c>
      <c r="AD26" s="1">
        <v>12.4</v>
      </c>
      <c r="AE26" s="1"/>
      <c r="AF26" s="1">
        <f t="shared" si="8"/>
        <v>273.50399999999996</v>
      </c>
      <c r="AG26" s="7">
        <v>8</v>
      </c>
      <c r="AH26" s="9">
        <f t="shared" si="9"/>
        <v>70</v>
      </c>
      <c r="AI26" s="1">
        <f t="shared" si="10"/>
        <v>268.8</v>
      </c>
      <c r="AJ26" s="1">
        <v>14</v>
      </c>
      <c r="AK26" s="1">
        <v>70</v>
      </c>
      <c r="AL26" s="9">
        <f t="shared" si="11"/>
        <v>1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21" t="s">
        <v>84</v>
      </c>
      <c r="B27" s="1" t="s">
        <v>42</v>
      </c>
      <c r="C27" s="1"/>
      <c r="D27" s="1">
        <v>341</v>
      </c>
      <c r="E27" s="1">
        <v>18</v>
      </c>
      <c r="F27" s="1">
        <v>313</v>
      </c>
      <c r="G27" s="7">
        <v>0.09</v>
      </c>
      <c r="H27" s="1">
        <v>180</v>
      </c>
      <c r="I27" s="1" t="s">
        <v>85</v>
      </c>
      <c r="J27" s="1"/>
      <c r="K27" s="1">
        <v>23</v>
      </c>
      <c r="L27" s="1">
        <f t="shared" si="2"/>
        <v>-5</v>
      </c>
      <c r="M27" s="1"/>
      <c r="N27" s="1"/>
      <c r="O27" s="1">
        <v>0</v>
      </c>
      <c r="P27" s="1">
        <f t="shared" si="3"/>
        <v>3.6</v>
      </c>
      <c r="Q27" s="5"/>
      <c r="R27" s="5">
        <f t="shared" si="7"/>
        <v>0</v>
      </c>
      <c r="S27" s="1">
        <f t="shared" si="4"/>
        <v>86.944444444444443</v>
      </c>
      <c r="T27" s="1">
        <f t="shared" si="5"/>
        <v>86.944444444444443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 t="s">
        <v>56</v>
      </c>
      <c r="AF27" s="1">
        <f t="shared" si="8"/>
        <v>0</v>
      </c>
      <c r="AG27" s="7">
        <v>24</v>
      </c>
      <c r="AH27" s="9">
        <f t="shared" si="9"/>
        <v>0</v>
      </c>
      <c r="AI27" s="1">
        <f t="shared" si="10"/>
        <v>0</v>
      </c>
      <c r="AJ27" s="1">
        <v>14</v>
      </c>
      <c r="AK27" s="1">
        <v>126</v>
      </c>
      <c r="AL27" s="9">
        <f t="shared" si="11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21" t="s">
        <v>86</v>
      </c>
      <c r="B28" s="1" t="s">
        <v>42</v>
      </c>
      <c r="C28" s="1">
        <v>2</v>
      </c>
      <c r="D28" s="1"/>
      <c r="E28" s="1"/>
      <c r="F28" s="1"/>
      <c r="G28" s="7">
        <v>0.36</v>
      </c>
      <c r="H28" s="1">
        <v>180</v>
      </c>
      <c r="I28" s="1" t="s">
        <v>87</v>
      </c>
      <c r="J28" s="1"/>
      <c r="K28" s="1">
        <v>2</v>
      </c>
      <c r="L28" s="1">
        <f t="shared" si="2"/>
        <v>-2</v>
      </c>
      <c r="M28" s="1"/>
      <c r="N28" s="1"/>
      <c r="O28" s="1">
        <v>0</v>
      </c>
      <c r="P28" s="1">
        <f t="shared" si="3"/>
        <v>0</v>
      </c>
      <c r="Q28" s="25">
        <f t="shared" si="12"/>
        <v>0</v>
      </c>
      <c r="R28" s="25">
        <f t="shared" si="7"/>
        <v>0</v>
      </c>
      <c r="S28" s="1" t="e">
        <f t="shared" si="4"/>
        <v>#DIV/0!</v>
      </c>
      <c r="T28" s="1" t="e">
        <f t="shared" si="5"/>
        <v>#DIV/0!</v>
      </c>
      <c r="U28" s="1">
        <v>0</v>
      </c>
      <c r="V28" s="1">
        <v>0</v>
      </c>
      <c r="W28" s="1">
        <v>0</v>
      </c>
      <c r="X28" s="1">
        <v>7</v>
      </c>
      <c r="Y28" s="1">
        <v>10.6</v>
      </c>
      <c r="Z28" s="1">
        <v>18.2</v>
      </c>
      <c r="AA28" s="1">
        <v>14.2</v>
      </c>
      <c r="AB28" s="1">
        <v>21.2</v>
      </c>
      <c r="AC28" s="1">
        <v>13</v>
      </c>
      <c r="AD28" s="1">
        <v>29</v>
      </c>
      <c r="AE28" s="20" t="s">
        <v>88</v>
      </c>
      <c r="AF28" s="1">
        <f t="shared" si="8"/>
        <v>0</v>
      </c>
      <c r="AG28" s="7">
        <v>10</v>
      </c>
      <c r="AH28" s="9">
        <f t="shared" si="9"/>
        <v>0</v>
      </c>
      <c r="AI28" s="1">
        <f t="shared" si="10"/>
        <v>0</v>
      </c>
      <c r="AJ28" s="1">
        <v>14</v>
      </c>
      <c r="AK28" s="1">
        <v>70</v>
      </c>
      <c r="AL28" s="9">
        <f t="shared" si="11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21" t="s">
        <v>89</v>
      </c>
      <c r="B29" s="1" t="s">
        <v>42</v>
      </c>
      <c r="C29" s="1">
        <v>100</v>
      </c>
      <c r="D29" s="1"/>
      <c r="E29" s="1">
        <v>25</v>
      </c>
      <c r="F29" s="1">
        <v>71</v>
      </c>
      <c r="G29" s="7">
        <v>0.2</v>
      </c>
      <c r="H29" s="1">
        <v>180</v>
      </c>
      <c r="I29" s="1" t="s">
        <v>90</v>
      </c>
      <c r="J29" s="1"/>
      <c r="K29" s="1">
        <v>25</v>
      </c>
      <c r="L29" s="1">
        <f t="shared" si="2"/>
        <v>0</v>
      </c>
      <c r="M29" s="1"/>
      <c r="N29" s="1"/>
      <c r="O29" s="1">
        <v>0</v>
      </c>
      <c r="P29" s="1">
        <f t="shared" si="3"/>
        <v>5</v>
      </c>
      <c r="Q29" s="5"/>
      <c r="R29" s="5">
        <f t="shared" si="7"/>
        <v>0</v>
      </c>
      <c r="S29" s="1">
        <f t="shared" si="4"/>
        <v>14.2</v>
      </c>
      <c r="T29" s="1">
        <f t="shared" si="5"/>
        <v>14.2</v>
      </c>
      <c r="U29" s="1">
        <v>4</v>
      </c>
      <c r="V29" s="1">
        <v>1.8</v>
      </c>
      <c r="W29" s="1">
        <v>3</v>
      </c>
      <c r="X29" s="1">
        <v>5.8</v>
      </c>
      <c r="Y29" s="1">
        <v>1.6</v>
      </c>
      <c r="Z29" s="1">
        <v>0</v>
      </c>
      <c r="AA29" s="1">
        <v>3</v>
      </c>
      <c r="AB29" s="1">
        <v>3.2</v>
      </c>
      <c r="AC29" s="1">
        <v>3.2</v>
      </c>
      <c r="AD29" s="1">
        <v>3.6</v>
      </c>
      <c r="AE29" s="1"/>
      <c r="AF29" s="1">
        <f t="shared" si="8"/>
        <v>0</v>
      </c>
      <c r="AG29" s="7">
        <v>12</v>
      </c>
      <c r="AH29" s="9">
        <f t="shared" si="9"/>
        <v>0</v>
      </c>
      <c r="AI29" s="1">
        <f t="shared" si="10"/>
        <v>0</v>
      </c>
      <c r="AJ29" s="1">
        <v>14</v>
      </c>
      <c r="AK29" s="1">
        <v>70</v>
      </c>
      <c r="AL29" s="9">
        <f t="shared" si="11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21" t="s">
        <v>91</v>
      </c>
      <c r="B30" s="1" t="s">
        <v>42</v>
      </c>
      <c r="C30" s="1">
        <v>71</v>
      </c>
      <c r="D30" s="1">
        <v>36</v>
      </c>
      <c r="E30" s="1">
        <v>71</v>
      </c>
      <c r="F30" s="1">
        <v>12</v>
      </c>
      <c r="G30" s="7">
        <v>0.2</v>
      </c>
      <c r="H30" s="1">
        <v>180</v>
      </c>
      <c r="I30" s="1" t="s">
        <v>92</v>
      </c>
      <c r="J30" s="1"/>
      <c r="K30" s="1">
        <v>187</v>
      </c>
      <c r="L30" s="1">
        <f t="shared" si="2"/>
        <v>-116</v>
      </c>
      <c r="M30" s="1"/>
      <c r="N30" s="1"/>
      <c r="O30" s="1">
        <v>504</v>
      </c>
      <c r="P30" s="1">
        <f t="shared" si="3"/>
        <v>14.2</v>
      </c>
      <c r="Q30" s="5"/>
      <c r="R30" s="5">
        <f t="shared" si="7"/>
        <v>0</v>
      </c>
      <c r="S30" s="1">
        <f t="shared" si="4"/>
        <v>36.338028169014088</v>
      </c>
      <c r="T30" s="1">
        <f t="shared" si="5"/>
        <v>36.338028169014088</v>
      </c>
      <c r="U30" s="1">
        <v>40.6</v>
      </c>
      <c r="V30" s="1">
        <v>91.399999999999977</v>
      </c>
      <c r="W30" s="1">
        <v>69.199999999999989</v>
      </c>
      <c r="X30" s="1">
        <v>8.1999999999999993</v>
      </c>
      <c r="Y30" s="1">
        <v>12.6</v>
      </c>
      <c r="Z30" s="1">
        <v>23.2</v>
      </c>
      <c r="AA30" s="1">
        <v>22</v>
      </c>
      <c r="AB30" s="1">
        <v>6.8</v>
      </c>
      <c r="AC30" s="1">
        <v>14.2</v>
      </c>
      <c r="AD30" s="1">
        <v>36.6</v>
      </c>
      <c r="AE30" s="1" t="s">
        <v>93</v>
      </c>
      <c r="AF30" s="1">
        <f t="shared" si="8"/>
        <v>0</v>
      </c>
      <c r="AG30" s="7">
        <v>12</v>
      </c>
      <c r="AH30" s="9">
        <f t="shared" si="9"/>
        <v>0</v>
      </c>
      <c r="AI30" s="1">
        <f t="shared" si="10"/>
        <v>0</v>
      </c>
      <c r="AJ30" s="1">
        <v>14</v>
      </c>
      <c r="AK30" s="1">
        <v>70</v>
      </c>
      <c r="AL30" s="9">
        <f t="shared" si="11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21" t="s">
        <v>63</v>
      </c>
      <c r="B31" s="1" t="s">
        <v>42</v>
      </c>
      <c r="C31" s="1"/>
      <c r="D31" s="1"/>
      <c r="E31" s="19">
        <f>0+E14</f>
        <v>93</v>
      </c>
      <c r="F31" s="19">
        <f>0+F14</f>
        <v>18</v>
      </c>
      <c r="G31" s="7">
        <v>0.2</v>
      </c>
      <c r="H31" s="1">
        <v>180</v>
      </c>
      <c r="I31" s="1" t="s">
        <v>94</v>
      </c>
      <c r="J31" s="1"/>
      <c r="K31" s="1"/>
      <c r="L31" s="1">
        <f t="shared" si="2"/>
        <v>93</v>
      </c>
      <c r="M31" s="1"/>
      <c r="N31" s="1"/>
      <c r="O31" s="1">
        <v>168</v>
      </c>
      <c r="P31" s="1">
        <f t="shared" si="3"/>
        <v>18.600000000000001</v>
      </c>
      <c r="Q31" s="5">
        <f>15*P31-O31-F31</f>
        <v>93</v>
      </c>
      <c r="R31" s="5">
        <f t="shared" si="7"/>
        <v>168</v>
      </c>
      <c r="S31" s="1">
        <f t="shared" si="4"/>
        <v>19.032258064516128</v>
      </c>
      <c r="T31" s="1">
        <f t="shared" si="5"/>
        <v>10</v>
      </c>
      <c r="U31" s="1">
        <v>12.2</v>
      </c>
      <c r="V31" s="1">
        <v>10.4</v>
      </c>
      <c r="W31" s="1">
        <v>9.8000000000000007</v>
      </c>
      <c r="X31" s="1">
        <v>11.8</v>
      </c>
      <c r="Y31" s="1">
        <v>5.2</v>
      </c>
      <c r="Z31" s="1">
        <v>8.8000000000000007</v>
      </c>
      <c r="AA31" s="1">
        <v>10</v>
      </c>
      <c r="AB31" s="1">
        <v>10.4</v>
      </c>
      <c r="AC31" s="1">
        <v>13.4</v>
      </c>
      <c r="AD31" s="1">
        <v>9.4</v>
      </c>
      <c r="AE31" s="1"/>
      <c r="AF31" s="1">
        <f t="shared" si="8"/>
        <v>18.600000000000001</v>
      </c>
      <c r="AG31" s="7">
        <v>12</v>
      </c>
      <c r="AH31" s="9">
        <f t="shared" si="9"/>
        <v>14</v>
      </c>
      <c r="AI31" s="1">
        <f t="shared" si="10"/>
        <v>33.6</v>
      </c>
      <c r="AJ31" s="1">
        <v>14</v>
      </c>
      <c r="AK31" s="1">
        <v>70</v>
      </c>
      <c r="AL31" s="9">
        <f t="shared" si="11"/>
        <v>0.2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21" t="s">
        <v>95</v>
      </c>
      <c r="B32" s="1" t="s">
        <v>96</v>
      </c>
      <c r="C32" s="1">
        <v>199.8</v>
      </c>
      <c r="D32" s="1">
        <v>125.8</v>
      </c>
      <c r="E32" s="19">
        <f>57.3+E33</f>
        <v>75.8</v>
      </c>
      <c r="F32" s="19">
        <f>77.7+F33</f>
        <v>214.60000000000002</v>
      </c>
      <c r="G32" s="7">
        <v>1</v>
      </c>
      <c r="H32" s="1"/>
      <c r="I32" s="1" t="s">
        <v>97</v>
      </c>
      <c r="J32" s="1"/>
      <c r="K32" s="1">
        <v>56.5</v>
      </c>
      <c r="L32" s="1">
        <f t="shared" si="2"/>
        <v>19.299999999999997</v>
      </c>
      <c r="M32" s="1"/>
      <c r="N32" s="1"/>
      <c r="O32" s="1">
        <v>0</v>
      </c>
      <c r="P32" s="1">
        <f t="shared" si="3"/>
        <v>15.16</v>
      </c>
      <c r="Q32" s="5"/>
      <c r="R32" s="5">
        <f t="shared" si="7"/>
        <v>0</v>
      </c>
      <c r="S32" s="1">
        <f t="shared" si="4"/>
        <v>14.155672823218998</v>
      </c>
      <c r="T32" s="1">
        <f t="shared" si="5"/>
        <v>14.155672823218998</v>
      </c>
      <c r="U32" s="1">
        <v>11.84</v>
      </c>
      <c r="V32" s="1">
        <v>5.92</v>
      </c>
      <c r="W32" s="1">
        <v>12.58</v>
      </c>
      <c r="X32" s="1">
        <v>15.32</v>
      </c>
      <c r="Y32" s="1">
        <v>5.18</v>
      </c>
      <c r="Z32" s="1">
        <v>8.14</v>
      </c>
      <c r="AA32" s="1">
        <v>8.879999999999999</v>
      </c>
      <c r="AB32" s="1">
        <v>17.02</v>
      </c>
      <c r="AC32" s="1">
        <v>9.66</v>
      </c>
      <c r="AD32" s="1">
        <v>0</v>
      </c>
      <c r="AE32" s="1"/>
      <c r="AF32" s="1">
        <f t="shared" si="8"/>
        <v>0</v>
      </c>
      <c r="AG32" s="7">
        <v>3.7</v>
      </c>
      <c r="AH32" s="9">
        <f t="shared" si="9"/>
        <v>0</v>
      </c>
      <c r="AI32" s="1">
        <f t="shared" si="10"/>
        <v>0</v>
      </c>
      <c r="AJ32" s="1">
        <v>14</v>
      </c>
      <c r="AK32" s="1">
        <v>126</v>
      </c>
      <c r="AL32" s="9">
        <f t="shared" si="11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4" t="s">
        <v>98</v>
      </c>
      <c r="B33" s="14" t="s">
        <v>96</v>
      </c>
      <c r="C33" s="14">
        <v>-3.7</v>
      </c>
      <c r="D33" s="14">
        <v>162.80000000000001</v>
      </c>
      <c r="E33" s="19">
        <v>18.5</v>
      </c>
      <c r="F33" s="19">
        <v>136.9</v>
      </c>
      <c r="G33" s="15">
        <v>0</v>
      </c>
      <c r="H33" s="14">
        <v>180</v>
      </c>
      <c r="I33" s="14" t="s">
        <v>58</v>
      </c>
      <c r="J33" s="14" t="s">
        <v>95</v>
      </c>
      <c r="K33" s="14">
        <v>17.8</v>
      </c>
      <c r="L33" s="14">
        <f t="shared" si="2"/>
        <v>0.69999999999999929</v>
      </c>
      <c r="M33" s="14"/>
      <c r="N33" s="14"/>
      <c r="O33" s="14"/>
      <c r="P33" s="14">
        <f t="shared" si="3"/>
        <v>3.7</v>
      </c>
      <c r="Q33" s="16"/>
      <c r="R33" s="16"/>
      <c r="S33" s="14">
        <f t="shared" si="4"/>
        <v>37</v>
      </c>
      <c r="T33" s="14">
        <f t="shared" si="5"/>
        <v>37</v>
      </c>
      <c r="U33" s="14">
        <v>0</v>
      </c>
      <c r="V33" s="14">
        <v>0</v>
      </c>
      <c r="W33" s="14">
        <v>0</v>
      </c>
      <c r="X33" s="14">
        <v>0</v>
      </c>
      <c r="Y33" s="14">
        <v>1.48</v>
      </c>
      <c r="Z33" s="14">
        <v>5.92</v>
      </c>
      <c r="AA33" s="14">
        <v>8.879999999999999</v>
      </c>
      <c r="AB33" s="14">
        <v>6.6599999999999993</v>
      </c>
      <c r="AC33" s="14">
        <v>0.74</v>
      </c>
      <c r="AD33" s="14">
        <v>0</v>
      </c>
      <c r="AE33" s="14"/>
      <c r="AF33" s="14"/>
      <c r="AG33" s="15"/>
      <c r="AH33" s="17"/>
      <c r="AI33" s="14"/>
      <c r="AJ33" s="14"/>
      <c r="AK33" s="14"/>
      <c r="AL33" s="17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21" t="s">
        <v>99</v>
      </c>
      <c r="B34" s="1" t="s">
        <v>96</v>
      </c>
      <c r="C34" s="1">
        <v>175.5</v>
      </c>
      <c r="D34" s="1">
        <v>6.5</v>
      </c>
      <c r="E34" s="1">
        <v>33</v>
      </c>
      <c r="F34" s="1">
        <v>137.5</v>
      </c>
      <c r="G34" s="7">
        <v>1</v>
      </c>
      <c r="H34" s="1">
        <v>180</v>
      </c>
      <c r="I34" s="1" t="s">
        <v>100</v>
      </c>
      <c r="J34" s="1"/>
      <c r="K34" s="1">
        <v>33.5</v>
      </c>
      <c r="L34" s="1">
        <f t="shared" si="2"/>
        <v>-0.5</v>
      </c>
      <c r="M34" s="1"/>
      <c r="N34" s="1"/>
      <c r="O34" s="1">
        <v>132</v>
      </c>
      <c r="P34" s="1">
        <f t="shared" si="3"/>
        <v>6.6</v>
      </c>
      <c r="Q34" s="5"/>
      <c r="R34" s="5">
        <f>AG34*AH34</f>
        <v>0</v>
      </c>
      <c r="S34" s="1">
        <f t="shared" si="4"/>
        <v>40.833333333333336</v>
      </c>
      <c r="T34" s="1">
        <f t="shared" si="5"/>
        <v>40.833333333333336</v>
      </c>
      <c r="U34" s="1">
        <v>10.9</v>
      </c>
      <c r="V34" s="1">
        <v>8.6999999999999993</v>
      </c>
      <c r="W34" s="1">
        <v>3.3</v>
      </c>
      <c r="X34" s="1">
        <v>11.2</v>
      </c>
      <c r="Y34" s="1">
        <v>9.9</v>
      </c>
      <c r="Z34" s="1">
        <v>9.9</v>
      </c>
      <c r="AA34" s="1">
        <v>8.8000000000000007</v>
      </c>
      <c r="AB34" s="1">
        <v>5.5</v>
      </c>
      <c r="AC34" s="1">
        <v>7.7</v>
      </c>
      <c r="AD34" s="1">
        <v>5.5</v>
      </c>
      <c r="AE34" s="18" t="s">
        <v>53</v>
      </c>
      <c r="AF34" s="1">
        <f>G34*Q34</f>
        <v>0</v>
      </c>
      <c r="AG34" s="7">
        <v>5.5</v>
      </c>
      <c r="AH34" s="9">
        <f>MROUND(Q34, AG34*AJ34)/AG34</f>
        <v>0</v>
      </c>
      <c r="AI34" s="1">
        <f>AH34*AG34*G34</f>
        <v>0</v>
      </c>
      <c r="AJ34" s="1">
        <v>12</v>
      </c>
      <c r="AK34" s="1">
        <v>84</v>
      </c>
      <c r="AL34" s="9">
        <f>AH34/AK34</f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21" t="s">
        <v>101</v>
      </c>
      <c r="B35" s="1" t="s">
        <v>96</v>
      </c>
      <c r="C35" s="1"/>
      <c r="D35" s="1"/>
      <c r="E35" s="19">
        <f>0+E72</f>
        <v>54</v>
      </c>
      <c r="F35" s="19">
        <f>0+F72</f>
        <v>180</v>
      </c>
      <c r="G35" s="7">
        <v>1</v>
      </c>
      <c r="H35" s="1">
        <v>180</v>
      </c>
      <c r="I35" s="1" t="s">
        <v>102</v>
      </c>
      <c r="J35" s="1"/>
      <c r="K35" s="1"/>
      <c r="L35" s="1">
        <f t="shared" si="2"/>
        <v>54</v>
      </c>
      <c r="M35" s="1"/>
      <c r="N35" s="1"/>
      <c r="O35" s="1">
        <v>0</v>
      </c>
      <c r="P35" s="1">
        <f t="shared" si="3"/>
        <v>10.8</v>
      </c>
      <c r="Q35" s="5"/>
      <c r="R35" s="5">
        <f>AG35*AH35</f>
        <v>0</v>
      </c>
      <c r="S35" s="1">
        <f t="shared" si="4"/>
        <v>16.666666666666664</v>
      </c>
      <c r="T35" s="1">
        <f t="shared" si="5"/>
        <v>16.666666666666664</v>
      </c>
      <c r="U35" s="1">
        <v>6</v>
      </c>
      <c r="V35" s="1">
        <v>4.8</v>
      </c>
      <c r="W35" s="1">
        <v>10.199999999999999</v>
      </c>
      <c r="X35" s="1">
        <v>7.94</v>
      </c>
      <c r="Y35" s="1">
        <v>10.199999999999999</v>
      </c>
      <c r="Z35" s="1">
        <v>8.4</v>
      </c>
      <c r="AA35" s="1">
        <v>6.6</v>
      </c>
      <c r="AB35" s="1">
        <v>9.6</v>
      </c>
      <c r="AC35" s="1">
        <v>7.2</v>
      </c>
      <c r="AD35" s="1">
        <v>12</v>
      </c>
      <c r="AE35" s="1"/>
      <c r="AF35" s="1">
        <f>G35*Q35</f>
        <v>0</v>
      </c>
      <c r="AG35" s="7">
        <v>3</v>
      </c>
      <c r="AH35" s="9">
        <f>MROUND(Q35, AG35*AJ35)/AG35</f>
        <v>0</v>
      </c>
      <c r="AI35" s="1">
        <f>AH35*AG35*G35</f>
        <v>0</v>
      </c>
      <c r="AJ35" s="1">
        <v>14</v>
      </c>
      <c r="AK35" s="1">
        <v>126</v>
      </c>
      <c r="AL35" s="9">
        <f>AH35/AK35</f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21" t="s">
        <v>103</v>
      </c>
      <c r="B36" s="1" t="s">
        <v>42</v>
      </c>
      <c r="C36" s="1"/>
      <c r="D36" s="1">
        <v>336</v>
      </c>
      <c r="E36" s="1">
        <v>28</v>
      </c>
      <c r="F36" s="1">
        <v>293</v>
      </c>
      <c r="G36" s="7">
        <v>0.23</v>
      </c>
      <c r="H36" s="1">
        <v>180</v>
      </c>
      <c r="I36" s="1" t="s">
        <v>104</v>
      </c>
      <c r="J36" s="1"/>
      <c r="K36" s="1">
        <v>27</v>
      </c>
      <c r="L36" s="1">
        <f t="shared" si="2"/>
        <v>1</v>
      </c>
      <c r="M36" s="1"/>
      <c r="N36" s="1"/>
      <c r="O36" s="1">
        <v>0</v>
      </c>
      <c r="P36" s="1">
        <f t="shared" si="3"/>
        <v>5.6</v>
      </c>
      <c r="Q36" s="5"/>
      <c r="R36" s="5">
        <f>AG36*AH36</f>
        <v>0</v>
      </c>
      <c r="S36" s="1">
        <f t="shared" si="4"/>
        <v>52.321428571428577</v>
      </c>
      <c r="T36" s="1">
        <f t="shared" si="5"/>
        <v>52.321428571428577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 t="s">
        <v>56</v>
      </c>
      <c r="AF36" s="1">
        <f>G36*Q36</f>
        <v>0</v>
      </c>
      <c r="AG36" s="7">
        <v>12</v>
      </c>
      <c r="AH36" s="9">
        <f>MROUND(Q36, AG36*AJ36)/AG36</f>
        <v>0</v>
      </c>
      <c r="AI36" s="1">
        <f>AH36*AG36*G36</f>
        <v>0</v>
      </c>
      <c r="AJ36" s="1">
        <v>14</v>
      </c>
      <c r="AK36" s="1">
        <v>70</v>
      </c>
      <c r="AL36" s="9">
        <f>AH36/AK36</f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21" t="s">
        <v>46</v>
      </c>
      <c r="B37" s="1" t="s">
        <v>42</v>
      </c>
      <c r="C37" s="1"/>
      <c r="D37" s="1">
        <v>588</v>
      </c>
      <c r="E37" s="19">
        <f>242+E7</f>
        <v>270</v>
      </c>
      <c r="F37" s="19">
        <f>153+F7</f>
        <v>197</v>
      </c>
      <c r="G37" s="7">
        <v>0.25</v>
      </c>
      <c r="H37" s="1">
        <v>365</v>
      </c>
      <c r="I37" s="1" t="s">
        <v>105</v>
      </c>
      <c r="J37" s="1"/>
      <c r="K37" s="1">
        <v>236</v>
      </c>
      <c r="L37" s="1">
        <f t="shared" si="2"/>
        <v>34</v>
      </c>
      <c r="M37" s="1"/>
      <c r="N37" s="1"/>
      <c r="O37" s="1">
        <v>336</v>
      </c>
      <c r="P37" s="1">
        <f t="shared" si="3"/>
        <v>54</v>
      </c>
      <c r="Q37" s="5">
        <f t="shared" ref="Q34:Q38" si="13">14*P37-O37-F37</f>
        <v>223</v>
      </c>
      <c r="R37" s="5">
        <f>AG37*AH37</f>
        <v>252</v>
      </c>
      <c r="S37" s="1">
        <f t="shared" si="4"/>
        <v>14.537037037037036</v>
      </c>
      <c r="T37" s="1">
        <f t="shared" si="5"/>
        <v>9.8703703703703702</v>
      </c>
      <c r="U37" s="1">
        <v>1.8</v>
      </c>
      <c r="V37" s="1">
        <v>44.2</v>
      </c>
      <c r="W37" s="1">
        <v>72.400000000000006</v>
      </c>
      <c r="X37" s="1">
        <v>26.8</v>
      </c>
      <c r="Y37" s="1">
        <v>21.8</v>
      </c>
      <c r="Z37" s="1">
        <v>42.8</v>
      </c>
      <c r="AA37" s="1">
        <v>46.8</v>
      </c>
      <c r="AB37" s="1">
        <v>37</v>
      </c>
      <c r="AC37" s="1">
        <v>42.8</v>
      </c>
      <c r="AD37" s="1">
        <v>53.2</v>
      </c>
      <c r="AE37" s="1"/>
      <c r="AF37" s="1">
        <f>G37*Q37</f>
        <v>55.75</v>
      </c>
      <c r="AG37" s="7">
        <v>6</v>
      </c>
      <c r="AH37" s="9">
        <f>MROUND(Q37, AG37*AJ37)/AG37</f>
        <v>42</v>
      </c>
      <c r="AI37" s="1">
        <f>AH37*AG37*G37</f>
        <v>63</v>
      </c>
      <c r="AJ37" s="1">
        <v>14</v>
      </c>
      <c r="AK37" s="1">
        <v>140</v>
      </c>
      <c r="AL37" s="9">
        <f>AH37/AK37</f>
        <v>0.3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21" t="s">
        <v>106</v>
      </c>
      <c r="B38" s="1" t="s">
        <v>42</v>
      </c>
      <c r="C38" s="1">
        <v>209</v>
      </c>
      <c r="D38" s="1">
        <v>23</v>
      </c>
      <c r="E38" s="1">
        <v>77</v>
      </c>
      <c r="F38" s="1">
        <v>151</v>
      </c>
      <c r="G38" s="7">
        <v>0.25</v>
      </c>
      <c r="H38" s="1">
        <v>365</v>
      </c>
      <c r="I38" s="1" t="s">
        <v>107</v>
      </c>
      <c r="J38" s="1"/>
      <c r="K38" s="1">
        <v>78</v>
      </c>
      <c r="L38" s="1">
        <f t="shared" ref="L38:L69" si="14">E38-K38</f>
        <v>-1</v>
      </c>
      <c r="M38" s="1"/>
      <c r="N38" s="1"/>
      <c r="O38" s="1">
        <v>420</v>
      </c>
      <c r="P38" s="1">
        <f t="shared" ref="P38:P69" si="15">E38/5</f>
        <v>15.4</v>
      </c>
      <c r="Q38" s="5"/>
      <c r="R38" s="5">
        <f>AG38*AH38</f>
        <v>0</v>
      </c>
      <c r="S38" s="1">
        <f t="shared" ref="S38:S69" si="16">(F38+O38+R38)/P38</f>
        <v>37.077922077922075</v>
      </c>
      <c r="T38" s="1">
        <f t="shared" ref="T38:T69" si="17">(F38+O38)/P38</f>
        <v>37.077922077922075</v>
      </c>
      <c r="U38" s="1">
        <v>34.200000000000003</v>
      </c>
      <c r="V38" s="1">
        <v>29.4</v>
      </c>
      <c r="W38" s="1">
        <v>16.2</v>
      </c>
      <c r="X38" s="1">
        <v>24.8</v>
      </c>
      <c r="Y38" s="1">
        <v>8.4</v>
      </c>
      <c r="Z38" s="1">
        <v>12.2</v>
      </c>
      <c r="AA38" s="1">
        <v>11.8</v>
      </c>
      <c r="AB38" s="1">
        <v>9.1999999999999993</v>
      </c>
      <c r="AC38" s="1">
        <v>9.6</v>
      </c>
      <c r="AD38" s="1">
        <v>9.8000000000000007</v>
      </c>
      <c r="AE38" s="1"/>
      <c r="AF38" s="1">
        <f>G38*Q38</f>
        <v>0</v>
      </c>
      <c r="AG38" s="7">
        <v>6</v>
      </c>
      <c r="AH38" s="9">
        <f>MROUND(Q38, AG38*AJ38)/AG38</f>
        <v>0</v>
      </c>
      <c r="AI38" s="1">
        <f>AH38*AG38*G38</f>
        <v>0</v>
      </c>
      <c r="AJ38" s="1">
        <v>14</v>
      </c>
      <c r="AK38" s="1">
        <v>140</v>
      </c>
      <c r="AL38" s="9">
        <f>AH38/AK38</f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4" t="s">
        <v>108</v>
      </c>
      <c r="B39" s="14" t="s">
        <v>96</v>
      </c>
      <c r="C39" s="14">
        <v>199</v>
      </c>
      <c r="D39" s="14">
        <v>167</v>
      </c>
      <c r="E39" s="19">
        <v>348</v>
      </c>
      <c r="F39" s="19">
        <v>6</v>
      </c>
      <c r="G39" s="15">
        <v>0</v>
      </c>
      <c r="H39" s="14"/>
      <c r="I39" s="14" t="s">
        <v>58</v>
      </c>
      <c r="J39" s="14" t="s">
        <v>109</v>
      </c>
      <c r="K39" s="14">
        <v>337</v>
      </c>
      <c r="L39" s="14">
        <f t="shared" si="14"/>
        <v>11</v>
      </c>
      <c r="M39" s="14"/>
      <c r="N39" s="14"/>
      <c r="O39" s="14"/>
      <c r="P39" s="14">
        <f t="shared" si="15"/>
        <v>69.599999999999994</v>
      </c>
      <c r="Q39" s="16"/>
      <c r="R39" s="16"/>
      <c r="S39" s="14">
        <f t="shared" si="16"/>
        <v>8.6206896551724144E-2</v>
      </c>
      <c r="T39" s="14">
        <f t="shared" si="17"/>
        <v>8.6206896551724144E-2</v>
      </c>
      <c r="U39" s="14">
        <v>27.6</v>
      </c>
      <c r="V39" s="14">
        <v>26.2</v>
      </c>
      <c r="W39" s="14">
        <v>39.4</v>
      </c>
      <c r="X39" s="14">
        <v>22.8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/>
      <c r="AF39" s="14"/>
      <c r="AG39" s="15"/>
      <c r="AH39" s="17"/>
      <c r="AI39" s="14"/>
      <c r="AJ39" s="14"/>
      <c r="AK39" s="14"/>
      <c r="AL39" s="17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21" t="s">
        <v>109</v>
      </c>
      <c r="B40" s="1" t="s">
        <v>96</v>
      </c>
      <c r="C40" s="1"/>
      <c r="D40" s="1">
        <v>12</v>
      </c>
      <c r="E40" s="19">
        <f>0+E39</f>
        <v>348</v>
      </c>
      <c r="F40" s="19">
        <f>0+F39</f>
        <v>6</v>
      </c>
      <c r="G40" s="7">
        <v>1</v>
      </c>
      <c r="H40" s="1">
        <v>180</v>
      </c>
      <c r="I40" s="1" t="s">
        <v>110</v>
      </c>
      <c r="J40" s="1"/>
      <c r="K40" s="1"/>
      <c r="L40" s="1">
        <f t="shared" si="14"/>
        <v>348</v>
      </c>
      <c r="M40" s="1"/>
      <c r="N40" s="1"/>
      <c r="O40" s="1">
        <v>72</v>
      </c>
      <c r="P40" s="1">
        <f t="shared" si="15"/>
        <v>69.599999999999994</v>
      </c>
      <c r="Q40" s="5">
        <f>11*P40-O40-F40</f>
        <v>687.59999999999991</v>
      </c>
      <c r="R40" s="5">
        <f t="shared" ref="R40:R66" si="18">AG40*AH40</f>
        <v>720</v>
      </c>
      <c r="S40" s="1">
        <f t="shared" si="16"/>
        <v>11.465517241379311</v>
      </c>
      <c r="T40" s="1">
        <f t="shared" si="17"/>
        <v>1.1206896551724139</v>
      </c>
      <c r="U40" s="1">
        <v>27.6</v>
      </c>
      <c r="V40" s="1">
        <v>26.2</v>
      </c>
      <c r="W40" s="1">
        <v>39.4</v>
      </c>
      <c r="X40" s="1">
        <v>26.4</v>
      </c>
      <c r="Y40" s="1">
        <v>32.4</v>
      </c>
      <c r="Z40" s="1">
        <v>27.6</v>
      </c>
      <c r="AA40" s="1">
        <v>31.2</v>
      </c>
      <c r="AB40" s="1">
        <v>39.6</v>
      </c>
      <c r="AC40" s="1">
        <v>34.799999999999997</v>
      </c>
      <c r="AD40" s="1">
        <v>18.64</v>
      </c>
      <c r="AE40" s="1"/>
      <c r="AF40" s="1">
        <f t="shared" ref="AF40:AF45" si="19">G40*Q40</f>
        <v>687.59999999999991</v>
      </c>
      <c r="AG40" s="7">
        <v>6</v>
      </c>
      <c r="AH40" s="9">
        <f t="shared" ref="AH40:AH45" si="20">MROUND(Q40, AG40*AJ40)/AG40</f>
        <v>120</v>
      </c>
      <c r="AI40" s="1">
        <f t="shared" ref="AI40:AI45" si="21">AH40*AG40*G40</f>
        <v>720</v>
      </c>
      <c r="AJ40" s="1">
        <v>12</v>
      </c>
      <c r="AK40" s="1">
        <v>84</v>
      </c>
      <c r="AL40" s="9">
        <f t="shared" ref="AL40:AL45" si="22">AH40/AK40</f>
        <v>1.4285714285714286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21" t="s">
        <v>111</v>
      </c>
      <c r="B41" s="1" t="s">
        <v>42</v>
      </c>
      <c r="C41" s="1">
        <v>89</v>
      </c>
      <c r="D41" s="1"/>
      <c r="E41" s="1">
        <v>43</v>
      </c>
      <c r="F41" s="1">
        <v>34</v>
      </c>
      <c r="G41" s="7">
        <v>0.23</v>
      </c>
      <c r="H41" s="1">
        <v>180</v>
      </c>
      <c r="I41" s="1" t="s">
        <v>112</v>
      </c>
      <c r="J41" s="1"/>
      <c r="K41" s="1">
        <v>43</v>
      </c>
      <c r="L41" s="1">
        <f t="shared" si="14"/>
        <v>0</v>
      </c>
      <c r="M41" s="1"/>
      <c r="N41" s="1"/>
      <c r="O41" s="1">
        <v>168</v>
      </c>
      <c r="P41" s="1">
        <f t="shared" si="15"/>
        <v>8.6</v>
      </c>
      <c r="Q41" s="5"/>
      <c r="R41" s="5">
        <f t="shared" si="18"/>
        <v>0</v>
      </c>
      <c r="S41" s="1">
        <f t="shared" si="16"/>
        <v>23.488372093023258</v>
      </c>
      <c r="T41" s="1">
        <f t="shared" si="17"/>
        <v>23.488372093023258</v>
      </c>
      <c r="U41" s="1">
        <v>13.8</v>
      </c>
      <c r="V41" s="1">
        <v>15.4</v>
      </c>
      <c r="W41" s="1">
        <v>6.8</v>
      </c>
      <c r="X41" s="1">
        <v>7.2</v>
      </c>
      <c r="Y41" s="1">
        <v>8.1999999999999993</v>
      </c>
      <c r="Z41" s="1">
        <v>8</v>
      </c>
      <c r="AA41" s="1">
        <v>8.4</v>
      </c>
      <c r="AB41" s="1">
        <v>3.8</v>
      </c>
      <c r="AC41" s="1">
        <v>5.8</v>
      </c>
      <c r="AD41" s="1">
        <v>0</v>
      </c>
      <c r="AE41" s="1"/>
      <c r="AF41" s="1">
        <f t="shared" si="19"/>
        <v>0</v>
      </c>
      <c r="AG41" s="7">
        <v>12</v>
      </c>
      <c r="AH41" s="9">
        <f t="shared" si="20"/>
        <v>0</v>
      </c>
      <c r="AI41" s="1">
        <f t="shared" si="21"/>
        <v>0</v>
      </c>
      <c r="AJ41" s="1">
        <v>14</v>
      </c>
      <c r="AK41" s="1">
        <v>70</v>
      </c>
      <c r="AL41" s="9">
        <f t="shared" si="22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21" t="s">
        <v>113</v>
      </c>
      <c r="B42" s="1" t="s">
        <v>42</v>
      </c>
      <c r="C42" s="1">
        <v>388</v>
      </c>
      <c r="D42" s="1">
        <v>344</v>
      </c>
      <c r="E42" s="1">
        <v>513</v>
      </c>
      <c r="F42" s="1">
        <v>81</v>
      </c>
      <c r="G42" s="7">
        <v>0.25</v>
      </c>
      <c r="H42" s="1">
        <v>365</v>
      </c>
      <c r="I42" s="1" t="s">
        <v>114</v>
      </c>
      <c r="J42" s="1"/>
      <c r="K42" s="1">
        <v>511</v>
      </c>
      <c r="L42" s="1">
        <f t="shared" si="14"/>
        <v>2</v>
      </c>
      <c r="M42" s="1"/>
      <c r="N42" s="1"/>
      <c r="O42" s="1">
        <v>0</v>
      </c>
      <c r="P42" s="1">
        <f t="shared" si="15"/>
        <v>102.6</v>
      </c>
      <c r="Q42" s="5">
        <f>11*P42-O42-F42</f>
        <v>1047.5999999999999</v>
      </c>
      <c r="R42" s="5">
        <f t="shared" si="18"/>
        <v>1008</v>
      </c>
      <c r="S42" s="1">
        <f t="shared" si="16"/>
        <v>10.6140350877193</v>
      </c>
      <c r="T42" s="1">
        <f t="shared" si="17"/>
        <v>0.78947368421052633</v>
      </c>
      <c r="U42" s="1">
        <v>22.4</v>
      </c>
      <c r="V42" s="1">
        <v>9.1999999999999993</v>
      </c>
      <c r="W42" s="1">
        <v>36.200000000000003</v>
      </c>
      <c r="X42" s="1">
        <v>33.4</v>
      </c>
      <c r="Y42" s="1">
        <v>20.2</v>
      </c>
      <c r="Z42" s="1">
        <v>28</v>
      </c>
      <c r="AA42" s="1">
        <v>26.6</v>
      </c>
      <c r="AB42" s="1">
        <v>24.2</v>
      </c>
      <c r="AC42" s="1">
        <v>37</v>
      </c>
      <c r="AD42" s="1">
        <v>47.2</v>
      </c>
      <c r="AE42" s="1"/>
      <c r="AF42" s="1">
        <f t="shared" si="19"/>
        <v>261.89999999999998</v>
      </c>
      <c r="AG42" s="7">
        <v>12</v>
      </c>
      <c r="AH42" s="9">
        <f t="shared" si="20"/>
        <v>84</v>
      </c>
      <c r="AI42" s="1">
        <f t="shared" si="21"/>
        <v>252</v>
      </c>
      <c r="AJ42" s="1">
        <v>14</v>
      </c>
      <c r="AK42" s="1">
        <v>70</v>
      </c>
      <c r="AL42" s="9">
        <f t="shared" si="22"/>
        <v>1.2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21" t="s">
        <v>115</v>
      </c>
      <c r="B43" s="1" t="s">
        <v>42</v>
      </c>
      <c r="C43" s="1">
        <v>388</v>
      </c>
      <c r="D43" s="1">
        <v>374</v>
      </c>
      <c r="E43" s="1">
        <v>518</v>
      </c>
      <c r="F43" s="1">
        <v>59</v>
      </c>
      <c r="G43" s="7">
        <v>0.25</v>
      </c>
      <c r="H43" s="1">
        <v>365</v>
      </c>
      <c r="I43" s="1" t="s">
        <v>116</v>
      </c>
      <c r="J43" s="1"/>
      <c r="K43" s="1">
        <v>517</v>
      </c>
      <c r="L43" s="1">
        <f t="shared" si="14"/>
        <v>1</v>
      </c>
      <c r="M43" s="1"/>
      <c r="N43" s="1"/>
      <c r="O43" s="1">
        <v>504</v>
      </c>
      <c r="P43" s="1">
        <f t="shared" si="15"/>
        <v>103.6</v>
      </c>
      <c r="Q43" s="5">
        <f t="shared" ref="Q40:Q45" si="23">14*P43-O43-F43</f>
        <v>887.39999999999986</v>
      </c>
      <c r="R43" s="5">
        <f t="shared" si="18"/>
        <v>840</v>
      </c>
      <c r="S43" s="1">
        <f t="shared" si="16"/>
        <v>13.542471042471043</v>
      </c>
      <c r="T43" s="1">
        <f t="shared" si="17"/>
        <v>5.4343629343629347</v>
      </c>
      <c r="U43" s="1">
        <v>24.2</v>
      </c>
      <c r="V43" s="1">
        <v>22.6</v>
      </c>
      <c r="W43" s="1">
        <v>55</v>
      </c>
      <c r="X43" s="1">
        <v>41.8</v>
      </c>
      <c r="Y43" s="1">
        <v>33</v>
      </c>
      <c r="Z43" s="1">
        <v>41</v>
      </c>
      <c r="AA43" s="1">
        <v>38.200000000000003</v>
      </c>
      <c r="AB43" s="1">
        <v>36</v>
      </c>
      <c r="AC43" s="1">
        <v>48.4</v>
      </c>
      <c r="AD43" s="1">
        <v>49</v>
      </c>
      <c r="AE43" s="1"/>
      <c r="AF43" s="1">
        <f t="shared" si="19"/>
        <v>221.84999999999997</v>
      </c>
      <c r="AG43" s="7">
        <v>12</v>
      </c>
      <c r="AH43" s="9">
        <f t="shared" si="20"/>
        <v>70</v>
      </c>
      <c r="AI43" s="1">
        <f t="shared" si="21"/>
        <v>210</v>
      </c>
      <c r="AJ43" s="1">
        <v>14</v>
      </c>
      <c r="AK43" s="1">
        <v>70</v>
      </c>
      <c r="AL43" s="9">
        <f t="shared" si="22"/>
        <v>1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21" t="s">
        <v>117</v>
      </c>
      <c r="B44" s="1" t="s">
        <v>42</v>
      </c>
      <c r="C44" s="1">
        <v>38</v>
      </c>
      <c r="D44" s="1">
        <v>174</v>
      </c>
      <c r="E44" s="1">
        <v>208</v>
      </c>
      <c r="F44" s="1"/>
      <c r="G44" s="7">
        <v>0.25</v>
      </c>
      <c r="H44" s="1">
        <v>180</v>
      </c>
      <c r="I44" s="1" t="s">
        <v>118</v>
      </c>
      <c r="J44" s="1"/>
      <c r="K44" s="1">
        <v>333</v>
      </c>
      <c r="L44" s="1">
        <f t="shared" si="14"/>
        <v>-125</v>
      </c>
      <c r="M44" s="1"/>
      <c r="N44" s="1"/>
      <c r="O44" s="1">
        <v>840</v>
      </c>
      <c r="P44" s="1">
        <f t="shared" si="15"/>
        <v>41.6</v>
      </c>
      <c r="Q44" s="5"/>
      <c r="R44" s="5">
        <f t="shared" si="18"/>
        <v>0</v>
      </c>
      <c r="S44" s="1">
        <f t="shared" si="16"/>
        <v>20.19230769230769</v>
      </c>
      <c r="T44" s="1">
        <f t="shared" si="17"/>
        <v>20.19230769230769</v>
      </c>
      <c r="U44" s="1">
        <v>37.200000000000003</v>
      </c>
      <c r="V44" s="1">
        <v>55.8</v>
      </c>
      <c r="W44" s="1">
        <v>67.8</v>
      </c>
      <c r="X44" s="1">
        <v>29.4</v>
      </c>
      <c r="Y44" s="1">
        <v>16.2</v>
      </c>
      <c r="Z44" s="1">
        <v>29.6</v>
      </c>
      <c r="AA44" s="1">
        <v>32.200000000000003</v>
      </c>
      <c r="AB44" s="1">
        <v>29.4</v>
      </c>
      <c r="AC44" s="1">
        <v>31.8</v>
      </c>
      <c r="AD44" s="1">
        <v>60.4</v>
      </c>
      <c r="AE44" s="1"/>
      <c r="AF44" s="1">
        <f t="shared" si="19"/>
        <v>0</v>
      </c>
      <c r="AG44" s="7">
        <v>12</v>
      </c>
      <c r="AH44" s="9">
        <f t="shared" si="20"/>
        <v>0</v>
      </c>
      <c r="AI44" s="1">
        <f t="shared" si="21"/>
        <v>0</v>
      </c>
      <c r="AJ44" s="1">
        <v>14</v>
      </c>
      <c r="AK44" s="1">
        <v>70</v>
      </c>
      <c r="AL44" s="9">
        <f t="shared" si="22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21" t="s">
        <v>65</v>
      </c>
      <c r="B45" s="1" t="s">
        <v>42</v>
      </c>
      <c r="C45" s="1"/>
      <c r="D45" s="1"/>
      <c r="E45" s="19">
        <f>0+E15</f>
        <v>76</v>
      </c>
      <c r="F45" s="19">
        <f>0+F15</f>
        <v>246</v>
      </c>
      <c r="G45" s="7">
        <v>0.25</v>
      </c>
      <c r="H45" s="1">
        <v>180</v>
      </c>
      <c r="I45" s="1" t="s">
        <v>119</v>
      </c>
      <c r="J45" s="1"/>
      <c r="K45" s="1"/>
      <c r="L45" s="1">
        <f t="shared" si="14"/>
        <v>76</v>
      </c>
      <c r="M45" s="1"/>
      <c r="N45" s="1"/>
      <c r="O45" s="1">
        <v>0</v>
      </c>
      <c r="P45" s="1">
        <f t="shared" si="15"/>
        <v>15.2</v>
      </c>
      <c r="Q45" s="5"/>
      <c r="R45" s="5">
        <f t="shared" si="18"/>
        <v>0</v>
      </c>
      <c r="S45" s="1">
        <f t="shared" si="16"/>
        <v>16.184210526315791</v>
      </c>
      <c r="T45" s="1">
        <f t="shared" si="17"/>
        <v>16.184210526315791</v>
      </c>
      <c r="U45" s="1">
        <v>11.4</v>
      </c>
      <c r="V45" s="1">
        <v>5.6</v>
      </c>
      <c r="W45" s="1">
        <v>5.2</v>
      </c>
      <c r="X45" s="1">
        <v>12</v>
      </c>
      <c r="Y45" s="1">
        <v>5.6</v>
      </c>
      <c r="Z45" s="1">
        <v>9.4</v>
      </c>
      <c r="AA45" s="1">
        <v>7.8</v>
      </c>
      <c r="AB45" s="1">
        <v>9.1999999999999993</v>
      </c>
      <c r="AC45" s="1">
        <v>12</v>
      </c>
      <c r="AD45" s="1">
        <v>11.2</v>
      </c>
      <c r="AE45" s="1"/>
      <c r="AF45" s="1">
        <f t="shared" si="19"/>
        <v>0</v>
      </c>
      <c r="AG45" s="7">
        <v>12</v>
      </c>
      <c r="AH45" s="9">
        <f t="shared" si="20"/>
        <v>0</v>
      </c>
      <c r="AI45" s="1">
        <f t="shared" si="21"/>
        <v>0</v>
      </c>
      <c r="AJ45" s="1">
        <v>14</v>
      </c>
      <c r="AK45" s="1">
        <v>70</v>
      </c>
      <c r="AL45" s="9">
        <f t="shared" si="22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4" t="s">
        <v>120</v>
      </c>
      <c r="B46" s="14" t="s">
        <v>42</v>
      </c>
      <c r="C46" s="14">
        <v>7</v>
      </c>
      <c r="D46" s="14">
        <v>202</v>
      </c>
      <c r="E46" s="14">
        <v>62</v>
      </c>
      <c r="F46" s="14">
        <v>131</v>
      </c>
      <c r="G46" s="15">
        <v>0</v>
      </c>
      <c r="H46" s="14">
        <v>180</v>
      </c>
      <c r="I46" s="14" t="s">
        <v>121</v>
      </c>
      <c r="J46" s="14"/>
      <c r="K46" s="14">
        <v>71</v>
      </c>
      <c r="L46" s="14">
        <f t="shared" si="14"/>
        <v>-9</v>
      </c>
      <c r="M46" s="14"/>
      <c r="N46" s="14"/>
      <c r="O46" s="14">
        <v>384</v>
      </c>
      <c r="P46" s="14">
        <f t="shared" si="15"/>
        <v>12.4</v>
      </c>
      <c r="Q46" s="16"/>
      <c r="R46" s="16">
        <f t="shared" si="18"/>
        <v>0</v>
      </c>
      <c r="S46" s="14">
        <f t="shared" si="16"/>
        <v>41.532258064516128</v>
      </c>
      <c r="T46" s="14">
        <f t="shared" si="17"/>
        <v>41.532258064516128</v>
      </c>
      <c r="U46" s="14">
        <v>9.4</v>
      </c>
      <c r="V46" s="14">
        <v>26</v>
      </c>
      <c r="W46" s="14">
        <v>25.2</v>
      </c>
      <c r="X46" s="14">
        <v>10.199999999999999</v>
      </c>
      <c r="Y46" s="14">
        <v>13.8</v>
      </c>
      <c r="Z46" s="14">
        <v>20.6</v>
      </c>
      <c r="AA46" s="14">
        <v>19.2</v>
      </c>
      <c r="AB46" s="14">
        <v>9</v>
      </c>
      <c r="AC46" s="14">
        <v>10.4</v>
      </c>
      <c r="AD46" s="14">
        <v>7.2</v>
      </c>
      <c r="AE46" s="14"/>
      <c r="AF46" s="14"/>
      <c r="AG46" s="15">
        <v>8</v>
      </c>
      <c r="AH46" s="17"/>
      <c r="AI46" s="14"/>
      <c r="AJ46" s="14">
        <v>12</v>
      </c>
      <c r="AK46" s="14">
        <v>84</v>
      </c>
      <c r="AL46" s="17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21" t="s">
        <v>122</v>
      </c>
      <c r="B47" s="1" t="s">
        <v>42</v>
      </c>
      <c r="C47" s="1">
        <v>106</v>
      </c>
      <c r="D47" s="1">
        <v>202</v>
      </c>
      <c r="E47" s="1">
        <v>87</v>
      </c>
      <c r="F47" s="1">
        <v>207</v>
      </c>
      <c r="G47" s="7">
        <v>0.7</v>
      </c>
      <c r="H47" s="1">
        <v>180</v>
      </c>
      <c r="I47" s="1" t="s">
        <v>123</v>
      </c>
      <c r="J47" s="1"/>
      <c r="K47" s="1">
        <v>83</v>
      </c>
      <c r="L47" s="1">
        <f t="shared" si="14"/>
        <v>4</v>
      </c>
      <c r="M47" s="1"/>
      <c r="N47" s="1"/>
      <c r="O47" s="1">
        <v>192</v>
      </c>
      <c r="P47" s="1">
        <f t="shared" si="15"/>
        <v>17.399999999999999</v>
      </c>
      <c r="Q47" s="5"/>
      <c r="R47" s="5">
        <f t="shared" si="18"/>
        <v>0</v>
      </c>
      <c r="S47" s="1">
        <f t="shared" si="16"/>
        <v>22.931034482758623</v>
      </c>
      <c r="T47" s="1">
        <f t="shared" si="17"/>
        <v>22.931034482758623</v>
      </c>
      <c r="U47" s="1">
        <v>15.2</v>
      </c>
      <c r="V47" s="1">
        <v>0</v>
      </c>
      <c r="W47" s="1">
        <v>0</v>
      </c>
      <c r="X47" s="1">
        <v>9.4</v>
      </c>
      <c r="Y47" s="1">
        <v>10.8</v>
      </c>
      <c r="Z47" s="1">
        <v>4.8</v>
      </c>
      <c r="AA47" s="1">
        <v>7.4</v>
      </c>
      <c r="AB47" s="1">
        <v>10.6</v>
      </c>
      <c r="AC47" s="1">
        <v>10.199999999999999</v>
      </c>
      <c r="AD47" s="1">
        <v>7.8</v>
      </c>
      <c r="AE47" s="1"/>
      <c r="AF47" s="1">
        <f t="shared" ref="AF47:AF66" si="24">G47*Q47</f>
        <v>0</v>
      </c>
      <c r="AG47" s="7">
        <v>8</v>
      </c>
      <c r="AH47" s="9">
        <f t="shared" ref="AH47:AH66" si="25">MROUND(Q47, AG47*AJ47)/AG47</f>
        <v>0</v>
      </c>
      <c r="AI47" s="1">
        <f t="shared" ref="AI47:AI66" si="26">AH47*AG47*G47</f>
        <v>0</v>
      </c>
      <c r="AJ47" s="1">
        <v>12</v>
      </c>
      <c r="AK47" s="1">
        <v>84</v>
      </c>
      <c r="AL47" s="9">
        <f t="shared" ref="AL47:AL66" si="27">AH47/AK47</f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21" t="s">
        <v>124</v>
      </c>
      <c r="B48" s="1" t="s">
        <v>42</v>
      </c>
      <c r="C48" s="1"/>
      <c r="D48" s="1"/>
      <c r="E48" s="1"/>
      <c r="F48" s="1"/>
      <c r="G48" s="7">
        <v>0.7</v>
      </c>
      <c r="H48" s="1">
        <v>180</v>
      </c>
      <c r="I48" s="1" t="s">
        <v>125</v>
      </c>
      <c r="J48" s="1"/>
      <c r="K48" s="1"/>
      <c r="L48" s="1">
        <f t="shared" si="14"/>
        <v>0</v>
      </c>
      <c r="M48" s="1"/>
      <c r="N48" s="1"/>
      <c r="O48" s="1">
        <v>0</v>
      </c>
      <c r="P48" s="1">
        <f t="shared" si="15"/>
        <v>0</v>
      </c>
      <c r="Q48" s="25">
        <f t="shared" ref="Q47:Q66" si="28">14*P48-O48-F48</f>
        <v>0</v>
      </c>
      <c r="R48" s="25">
        <f t="shared" si="18"/>
        <v>0</v>
      </c>
      <c r="S48" s="1" t="e">
        <f t="shared" si="16"/>
        <v>#DIV/0!</v>
      </c>
      <c r="T48" s="1" t="e">
        <f t="shared" si="17"/>
        <v>#DIV/0!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0.6</v>
      </c>
      <c r="AC48" s="1">
        <v>0</v>
      </c>
      <c r="AD48" s="1">
        <v>0</v>
      </c>
      <c r="AE48" s="20" t="s">
        <v>88</v>
      </c>
      <c r="AF48" s="1">
        <f t="shared" si="24"/>
        <v>0</v>
      </c>
      <c r="AG48" s="7">
        <v>8</v>
      </c>
      <c r="AH48" s="9">
        <f t="shared" si="25"/>
        <v>0</v>
      </c>
      <c r="AI48" s="1">
        <f t="shared" si="26"/>
        <v>0</v>
      </c>
      <c r="AJ48" s="1">
        <v>12</v>
      </c>
      <c r="AK48" s="1">
        <v>84</v>
      </c>
      <c r="AL48" s="9">
        <f t="shared" si="27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21" t="s">
        <v>126</v>
      </c>
      <c r="B49" s="1" t="s">
        <v>42</v>
      </c>
      <c r="C49" s="1">
        <v>-1</v>
      </c>
      <c r="D49" s="1">
        <v>508</v>
      </c>
      <c r="E49" s="1">
        <v>93</v>
      </c>
      <c r="F49" s="1">
        <v>306</v>
      </c>
      <c r="G49" s="7">
        <v>0.7</v>
      </c>
      <c r="H49" s="1">
        <v>180</v>
      </c>
      <c r="I49" s="1" t="s">
        <v>127</v>
      </c>
      <c r="J49" s="1"/>
      <c r="K49" s="1">
        <v>144</v>
      </c>
      <c r="L49" s="1">
        <f t="shared" si="14"/>
        <v>-51</v>
      </c>
      <c r="M49" s="1"/>
      <c r="N49" s="1"/>
      <c r="O49" s="1">
        <v>600</v>
      </c>
      <c r="P49" s="1">
        <f t="shared" si="15"/>
        <v>18.600000000000001</v>
      </c>
      <c r="Q49" s="5"/>
      <c r="R49" s="5">
        <f t="shared" si="18"/>
        <v>0</v>
      </c>
      <c r="S49" s="1">
        <f t="shared" si="16"/>
        <v>48.709677419354833</v>
      </c>
      <c r="T49" s="1">
        <f t="shared" si="17"/>
        <v>48.709677419354833</v>
      </c>
      <c r="U49" s="1">
        <v>24.2</v>
      </c>
      <c r="V49" s="1">
        <v>27.2</v>
      </c>
      <c r="W49" s="1">
        <v>54.2</v>
      </c>
      <c r="X49" s="1">
        <v>22.4</v>
      </c>
      <c r="Y49" s="1">
        <v>15.4</v>
      </c>
      <c r="Z49" s="1">
        <v>31.2</v>
      </c>
      <c r="AA49" s="1">
        <v>30</v>
      </c>
      <c r="AB49" s="1">
        <v>17.399999999999999</v>
      </c>
      <c r="AC49" s="1">
        <v>15.4</v>
      </c>
      <c r="AD49" s="1">
        <v>27.8</v>
      </c>
      <c r="AE49" s="1"/>
      <c r="AF49" s="1">
        <f t="shared" si="24"/>
        <v>0</v>
      </c>
      <c r="AG49" s="7">
        <v>10</v>
      </c>
      <c r="AH49" s="9">
        <f t="shared" si="25"/>
        <v>0</v>
      </c>
      <c r="AI49" s="1">
        <f t="shared" si="26"/>
        <v>0</v>
      </c>
      <c r="AJ49" s="1">
        <v>12</v>
      </c>
      <c r="AK49" s="1">
        <v>84</v>
      </c>
      <c r="AL49" s="9">
        <f t="shared" si="27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21" t="s">
        <v>128</v>
      </c>
      <c r="B50" s="1" t="s">
        <v>42</v>
      </c>
      <c r="C50" s="1">
        <v>2</v>
      </c>
      <c r="D50" s="1">
        <v>123</v>
      </c>
      <c r="E50" s="1">
        <v>30</v>
      </c>
      <c r="F50" s="1">
        <v>83</v>
      </c>
      <c r="G50" s="7">
        <v>0.7</v>
      </c>
      <c r="H50" s="1">
        <v>180</v>
      </c>
      <c r="I50" s="1" t="s">
        <v>129</v>
      </c>
      <c r="J50" s="1"/>
      <c r="K50" s="1">
        <v>43</v>
      </c>
      <c r="L50" s="1">
        <f t="shared" si="14"/>
        <v>-13</v>
      </c>
      <c r="M50" s="1"/>
      <c r="N50" s="1"/>
      <c r="O50" s="1">
        <v>240</v>
      </c>
      <c r="P50" s="1">
        <f t="shared" si="15"/>
        <v>6</v>
      </c>
      <c r="Q50" s="5"/>
      <c r="R50" s="5">
        <f t="shared" si="18"/>
        <v>0</v>
      </c>
      <c r="S50" s="1">
        <f t="shared" si="16"/>
        <v>53.833333333333336</v>
      </c>
      <c r="T50" s="1">
        <f t="shared" si="17"/>
        <v>53.833333333333336</v>
      </c>
      <c r="U50" s="1">
        <v>8.1999999999999993</v>
      </c>
      <c r="V50" s="1">
        <v>16.399999999999999</v>
      </c>
      <c r="W50" s="1">
        <v>14</v>
      </c>
      <c r="X50" s="1">
        <v>4.5999999999999996</v>
      </c>
      <c r="Y50" s="1">
        <v>10</v>
      </c>
      <c r="Z50" s="1">
        <v>11</v>
      </c>
      <c r="AA50" s="1">
        <v>17.600000000000001</v>
      </c>
      <c r="AB50" s="1">
        <v>8.6</v>
      </c>
      <c r="AC50" s="1">
        <v>10.8</v>
      </c>
      <c r="AD50" s="1">
        <v>5.6</v>
      </c>
      <c r="AE50" s="1"/>
      <c r="AF50" s="1">
        <f t="shared" si="24"/>
        <v>0</v>
      </c>
      <c r="AG50" s="7">
        <v>10</v>
      </c>
      <c r="AH50" s="9">
        <f t="shared" si="25"/>
        <v>0</v>
      </c>
      <c r="AI50" s="1">
        <f t="shared" si="26"/>
        <v>0</v>
      </c>
      <c r="AJ50" s="1">
        <v>12</v>
      </c>
      <c r="AK50" s="1">
        <v>84</v>
      </c>
      <c r="AL50" s="9">
        <f t="shared" si="27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21" t="s">
        <v>130</v>
      </c>
      <c r="B51" s="1" t="s">
        <v>42</v>
      </c>
      <c r="C51" s="1">
        <v>-7</v>
      </c>
      <c r="D51" s="1">
        <v>487</v>
      </c>
      <c r="E51" s="1">
        <v>93</v>
      </c>
      <c r="F51" s="1">
        <v>290</v>
      </c>
      <c r="G51" s="7">
        <v>0.7</v>
      </c>
      <c r="H51" s="1">
        <v>180</v>
      </c>
      <c r="I51" s="1" t="s">
        <v>131</v>
      </c>
      <c r="J51" s="1"/>
      <c r="K51" s="1">
        <v>94</v>
      </c>
      <c r="L51" s="1">
        <f t="shared" si="14"/>
        <v>-1</v>
      </c>
      <c r="M51" s="1"/>
      <c r="N51" s="1"/>
      <c r="O51" s="1">
        <v>0</v>
      </c>
      <c r="P51" s="1">
        <f t="shared" si="15"/>
        <v>18.600000000000001</v>
      </c>
      <c r="Q51" s="5"/>
      <c r="R51" s="5">
        <f t="shared" si="18"/>
        <v>0</v>
      </c>
      <c r="S51" s="1">
        <f t="shared" si="16"/>
        <v>15.591397849462364</v>
      </c>
      <c r="T51" s="1">
        <f t="shared" si="17"/>
        <v>15.591397849462364</v>
      </c>
      <c r="U51" s="1">
        <v>0</v>
      </c>
      <c r="V51" s="1">
        <v>48.2</v>
      </c>
      <c r="W51" s="1">
        <v>71.599999999999994</v>
      </c>
      <c r="X51" s="1">
        <v>1.6</v>
      </c>
      <c r="Y51" s="1">
        <v>9.6</v>
      </c>
      <c r="Z51" s="1">
        <v>32.6</v>
      </c>
      <c r="AA51" s="1">
        <v>38.799999999999997</v>
      </c>
      <c r="AB51" s="1">
        <v>14.2</v>
      </c>
      <c r="AC51" s="1">
        <v>12.2</v>
      </c>
      <c r="AD51" s="1">
        <v>23</v>
      </c>
      <c r="AE51" s="1"/>
      <c r="AF51" s="1">
        <f t="shared" si="24"/>
        <v>0</v>
      </c>
      <c r="AG51" s="7">
        <v>10</v>
      </c>
      <c r="AH51" s="9">
        <f t="shared" si="25"/>
        <v>0</v>
      </c>
      <c r="AI51" s="1">
        <f t="shared" si="26"/>
        <v>0</v>
      </c>
      <c r="AJ51" s="1">
        <v>12</v>
      </c>
      <c r="AK51" s="1">
        <v>84</v>
      </c>
      <c r="AL51" s="9">
        <f t="shared" si="27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21" t="s">
        <v>132</v>
      </c>
      <c r="B52" s="1" t="s">
        <v>42</v>
      </c>
      <c r="C52" s="1">
        <v>2</v>
      </c>
      <c r="D52" s="1">
        <v>388</v>
      </c>
      <c r="E52" s="1">
        <v>18</v>
      </c>
      <c r="F52" s="1">
        <v>342</v>
      </c>
      <c r="G52" s="7">
        <v>0.7</v>
      </c>
      <c r="H52" s="1">
        <v>180</v>
      </c>
      <c r="I52" s="1" t="s">
        <v>133</v>
      </c>
      <c r="J52" s="1"/>
      <c r="K52" s="1">
        <v>21</v>
      </c>
      <c r="L52" s="1">
        <f t="shared" si="14"/>
        <v>-3</v>
      </c>
      <c r="M52" s="1"/>
      <c r="N52" s="1"/>
      <c r="O52" s="1">
        <v>0</v>
      </c>
      <c r="P52" s="1">
        <f t="shared" si="15"/>
        <v>3.6</v>
      </c>
      <c r="Q52" s="5"/>
      <c r="R52" s="5">
        <f t="shared" si="18"/>
        <v>0</v>
      </c>
      <c r="S52" s="1">
        <f t="shared" si="16"/>
        <v>95</v>
      </c>
      <c r="T52" s="1">
        <f t="shared" si="17"/>
        <v>95</v>
      </c>
      <c r="U52" s="1">
        <v>5.4</v>
      </c>
      <c r="V52" s="1">
        <v>12.6</v>
      </c>
      <c r="W52" s="1">
        <v>31</v>
      </c>
      <c r="X52" s="1">
        <v>9.4</v>
      </c>
      <c r="Y52" s="1">
        <v>3.6</v>
      </c>
      <c r="Z52" s="1">
        <v>14.2</v>
      </c>
      <c r="AA52" s="1">
        <v>19.8</v>
      </c>
      <c r="AB52" s="1">
        <v>13</v>
      </c>
      <c r="AC52" s="1">
        <v>8</v>
      </c>
      <c r="AD52" s="1">
        <v>20.399999999999999</v>
      </c>
      <c r="AE52" s="1"/>
      <c r="AF52" s="1">
        <f t="shared" si="24"/>
        <v>0</v>
      </c>
      <c r="AG52" s="7">
        <v>10</v>
      </c>
      <c r="AH52" s="9">
        <f t="shared" si="25"/>
        <v>0</v>
      </c>
      <c r="AI52" s="1">
        <f t="shared" si="26"/>
        <v>0</v>
      </c>
      <c r="AJ52" s="1">
        <v>12</v>
      </c>
      <c r="AK52" s="1">
        <v>84</v>
      </c>
      <c r="AL52" s="9">
        <f t="shared" si="27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21" t="s">
        <v>134</v>
      </c>
      <c r="B53" s="1" t="s">
        <v>96</v>
      </c>
      <c r="C53" s="1">
        <v>-55</v>
      </c>
      <c r="D53" s="1">
        <v>1080</v>
      </c>
      <c r="E53" s="1">
        <v>320</v>
      </c>
      <c r="F53" s="1">
        <v>675</v>
      </c>
      <c r="G53" s="7">
        <v>1</v>
      </c>
      <c r="H53" s="1">
        <v>180</v>
      </c>
      <c r="I53" s="1" t="s">
        <v>135</v>
      </c>
      <c r="J53" s="1"/>
      <c r="K53" s="1">
        <v>320</v>
      </c>
      <c r="L53" s="1">
        <f t="shared" si="14"/>
        <v>0</v>
      </c>
      <c r="M53" s="1"/>
      <c r="N53" s="1"/>
      <c r="O53" s="1">
        <v>0</v>
      </c>
      <c r="P53" s="1">
        <f t="shared" si="15"/>
        <v>64</v>
      </c>
      <c r="Q53" s="5">
        <f t="shared" si="28"/>
        <v>221</v>
      </c>
      <c r="R53" s="5">
        <f t="shared" si="18"/>
        <v>240</v>
      </c>
      <c r="S53" s="1">
        <f t="shared" si="16"/>
        <v>14.296875</v>
      </c>
      <c r="T53" s="1">
        <f t="shared" si="17"/>
        <v>10.546875</v>
      </c>
      <c r="U53" s="1">
        <v>41</v>
      </c>
      <c r="V53" s="1">
        <v>74</v>
      </c>
      <c r="W53" s="1">
        <v>105</v>
      </c>
      <c r="X53" s="1">
        <v>41</v>
      </c>
      <c r="Y53" s="1">
        <v>103</v>
      </c>
      <c r="Z53" s="1">
        <v>101</v>
      </c>
      <c r="AA53" s="1">
        <v>62</v>
      </c>
      <c r="AB53" s="1">
        <v>60</v>
      </c>
      <c r="AC53" s="1">
        <v>59</v>
      </c>
      <c r="AD53" s="1">
        <v>53</v>
      </c>
      <c r="AE53" s="1"/>
      <c r="AF53" s="1">
        <f t="shared" si="24"/>
        <v>221</v>
      </c>
      <c r="AG53" s="7">
        <v>5</v>
      </c>
      <c r="AH53" s="9">
        <f t="shared" si="25"/>
        <v>48</v>
      </c>
      <c r="AI53" s="1">
        <f t="shared" si="26"/>
        <v>240</v>
      </c>
      <c r="AJ53" s="1">
        <v>12</v>
      </c>
      <c r="AK53" s="1">
        <v>144</v>
      </c>
      <c r="AL53" s="9">
        <f t="shared" si="27"/>
        <v>0.33333333333333331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21" t="s">
        <v>136</v>
      </c>
      <c r="B54" s="1" t="s">
        <v>42</v>
      </c>
      <c r="C54" s="1"/>
      <c r="D54" s="1">
        <v>446</v>
      </c>
      <c r="E54" s="1">
        <v>46</v>
      </c>
      <c r="F54" s="1">
        <v>239</v>
      </c>
      <c r="G54" s="7">
        <v>0.4</v>
      </c>
      <c r="H54" s="1">
        <v>180</v>
      </c>
      <c r="I54" s="1" t="s">
        <v>137</v>
      </c>
      <c r="J54" s="1"/>
      <c r="K54" s="1">
        <v>46</v>
      </c>
      <c r="L54" s="1">
        <f t="shared" si="14"/>
        <v>0</v>
      </c>
      <c r="M54" s="1"/>
      <c r="N54" s="1"/>
      <c r="O54" s="1">
        <v>0</v>
      </c>
      <c r="P54" s="1">
        <f t="shared" si="15"/>
        <v>9.1999999999999993</v>
      </c>
      <c r="Q54" s="5"/>
      <c r="R54" s="5">
        <f t="shared" si="18"/>
        <v>0</v>
      </c>
      <c r="S54" s="1">
        <f t="shared" si="16"/>
        <v>25.978260869565219</v>
      </c>
      <c r="T54" s="1">
        <f t="shared" si="17"/>
        <v>25.978260869565219</v>
      </c>
      <c r="U54" s="1">
        <v>3.2</v>
      </c>
      <c r="V54" s="1">
        <v>17.399999999999999</v>
      </c>
      <c r="W54" s="1">
        <v>43</v>
      </c>
      <c r="X54" s="1">
        <v>12</v>
      </c>
      <c r="Y54" s="1">
        <v>9.8000000000000007</v>
      </c>
      <c r="Z54" s="1">
        <v>22.6</v>
      </c>
      <c r="AA54" s="1">
        <v>29</v>
      </c>
      <c r="AB54" s="1">
        <v>19</v>
      </c>
      <c r="AC54" s="1">
        <v>9.4</v>
      </c>
      <c r="AD54" s="1">
        <v>26.8</v>
      </c>
      <c r="AE54" s="1"/>
      <c r="AF54" s="1">
        <f t="shared" si="24"/>
        <v>0</v>
      </c>
      <c r="AG54" s="7">
        <v>16</v>
      </c>
      <c r="AH54" s="9">
        <f t="shared" si="25"/>
        <v>0</v>
      </c>
      <c r="AI54" s="1">
        <f t="shared" si="26"/>
        <v>0</v>
      </c>
      <c r="AJ54" s="1">
        <v>12</v>
      </c>
      <c r="AK54" s="1">
        <v>84</v>
      </c>
      <c r="AL54" s="9">
        <f t="shared" si="27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21" t="s">
        <v>138</v>
      </c>
      <c r="B55" s="1" t="s">
        <v>42</v>
      </c>
      <c r="C55" s="1">
        <v>203</v>
      </c>
      <c r="D55" s="1">
        <v>661</v>
      </c>
      <c r="E55" s="1">
        <v>343</v>
      </c>
      <c r="F55" s="1">
        <v>300</v>
      </c>
      <c r="G55" s="7">
        <v>0.7</v>
      </c>
      <c r="H55" s="1">
        <v>180</v>
      </c>
      <c r="I55" s="1" t="s">
        <v>139</v>
      </c>
      <c r="J55" s="1"/>
      <c r="K55" s="1">
        <v>490</v>
      </c>
      <c r="L55" s="1">
        <f t="shared" si="14"/>
        <v>-147</v>
      </c>
      <c r="M55" s="1"/>
      <c r="N55" s="1"/>
      <c r="O55" s="1">
        <v>840</v>
      </c>
      <c r="P55" s="1">
        <f t="shared" si="15"/>
        <v>68.599999999999994</v>
      </c>
      <c r="Q55" s="5"/>
      <c r="R55" s="5">
        <f t="shared" si="18"/>
        <v>0</v>
      </c>
      <c r="S55" s="1">
        <f t="shared" si="16"/>
        <v>16.618075801749274</v>
      </c>
      <c r="T55" s="1">
        <f t="shared" si="17"/>
        <v>16.618075801749274</v>
      </c>
      <c r="U55" s="1">
        <v>56.4</v>
      </c>
      <c r="V55" s="1">
        <v>12</v>
      </c>
      <c r="W55" s="1">
        <v>40.799999999999997</v>
      </c>
      <c r="X55" s="1">
        <v>32.200000000000003</v>
      </c>
      <c r="Y55" s="1">
        <v>23.4</v>
      </c>
      <c r="Z55" s="1">
        <v>28</v>
      </c>
      <c r="AA55" s="1">
        <v>47</v>
      </c>
      <c r="AB55" s="1">
        <v>34.6</v>
      </c>
      <c r="AC55" s="1">
        <v>25.4</v>
      </c>
      <c r="AD55" s="1">
        <v>49.4</v>
      </c>
      <c r="AE55" s="1"/>
      <c r="AF55" s="1">
        <f t="shared" si="24"/>
        <v>0</v>
      </c>
      <c r="AG55" s="7">
        <v>10</v>
      </c>
      <c r="AH55" s="9">
        <f t="shared" si="25"/>
        <v>0</v>
      </c>
      <c r="AI55" s="1">
        <f t="shared" si="26"/>
        <v>0</v>
      </c>
      <c r="AJ55" s="1">
        <v>12</v>
      </c>
      <c r="AK55" s="1">
        <v>84</v>
      </c>
      <c r="AL55" s="9">
        <f t="shared" si="27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21" t="s">
        <v>140</v>
      </c>
      <c r="B56" s="1" t="s">
        <v>42</v>
      </c>
      <c r="C56" s="1">
        <v>51</v>
      </c>
      <c r="D56" s="1">
        <v>581</v>
      </c>
      <c r="E56" s="1">
        <v>92</v>
      </c>
      <c r="F56" s="1">
        <v>413</v>
      </c>
      <c r="G56" s="7">
        <v>0.4</v>
      </c>
      <c r="H56" s="1">
        <v>180</v>
      </c>
      <c r="I56" s="1" t="s">
        <v>141</v>
      </c>
      <c r="J56" s="1"/>
      <c r="K56" s="1">
        <v>222</v>
      </c>
      <c r="L56" s="1">
        <f t="shared" si="14"/>
        <v>-130</v>
      </c>
      <c r="M56" s="1"/>
      <c r="N56" s="1"/>
      <c r="O56" s="1">
        <v>768</v>
      </c>
      <c r="P56" s="1">
        <f t="shared" si="15"/>
        <v>18.399999999999999</v>
      </c>
      <c r="Q56" s="5"/>
      <c r="R56" s="5">
        <f t="shared" si="18"/>
        <v>0</v>
      </c>
      <c r="S56" s="1">
        <f t="shared" si="16"/>
        <v>64.184782608695656</v>
      </c>
      <c r="T56" s="1">
        <f t="shared" si="17"/>
        <v>64.184782608695656</v>
      </c>
      <c r="U56" s="1">
        <v>31.6</v>
      </c>
      <c r="V56" s="1">
        <v>17.600000000000001</v>
      </c>
      <c r="W56" s="1">
        <v>45.4</v>
      </c>
      <c r="X56" s="1">
        <v>23.4</v>
      </c>
      <c r="Y56" s="1">
        <v>13.8</v>
      </c>
      <c r="Z56" s="1">
        <v>33.6</v>
      </c>
      <c r="AA56" s="1">
        <v>38.4</v>
      </c>
      <c r="AB56" s="1">
        <v>27.4</v>
      </c>
      <c r="AC56" s="1">
        <v>17.2</v>
      </c>
      <c r="AD56" s="1">
        <v>42.4</v>
      </c>
      <c r="AE56" s="1"/>
      <c r="AF56" s="1">
        <f t="shared" si="24"/>
        <v>0</v>
      </c>
      <c r="AG56" s="7">
        <v>16</v>
      </c>
      <c r="AH56" s="9">
        <f t="shared" si="25"/>
        <v>0</v>
      </c>
      <c r="AI56" s="1">
        <f t="shared" si="26"/>
        <v>0</v>
      </c>
      <c r="AJ56" s="1">
        <v>12</v>
      </c>
      <c r="AK56" s="1">
        <v>84</v>
      </c>
      <c r="AL56" s="9">
        <f t="shared" si="27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21" t="s">
        <v>48</v>
      </c>
      <c r="B57" s="1" t="s">
        <v>42</v>
      </c>
      <c r="C57" s="1">
        <v>776</v>
      </c>
      <c r="D57" s="1">
        <v>274</v>
      </c>
      <c r="E57" s="1">
        <v>846</v>
      </c>
      <c r="F57" s="19">
        <f>-3+F8</f>
        <v>72</v>
      </c>
      <c r="G57" s="7">
        <v>0.7</v>
      </c>
      <c r="H57" s="1">
        <v>180</v>
      </c>
      <c r="I57" s="1" t="s">
        <v>142</v>
      </c>
      <c r="J57" s="1"/>
      <c r="K57" s="1">
        <v>847</v>
      </c>
      <c r="L57" s="1">
        <f t="shared" si="14"/>
        <v>-1</v>
      </c>
      <c r="M57" s="1"/>
      <c r="N57" s="1"/>
      <c r="O57" s="1">
        <v>840</v>
      </c>
      <c r="P57" s="1">
        <f t="shared" si="15"/>
        <v>169.2</v>
      </c>
      <c r="Q57" s="5">
        <f t="shared" si="28"/>
        <v>1456.7999999999997</v>
      </c>
      <c r="R57" s="5">
        <f t="shared" si="18"/>
        <v>1440</v>
      </c>
      <c r="S57" s="1">
        <f t="shared" si="16"/>
        <v>13.900709219858157</v>
      </c>
      <c r="T57" s="1">
        <f t="shared" si="17"/>
        <v>5.3900709219858163</v>
      </c>
      <c r="U57" s="1">
        <v>48</v>
      </c>
      <c r="V57" s="1">
        <v>59.4</v>
      </c>
      <c r="W57" s="1">
        <v>120.8</v>
      </c>
      <c r="X57" s="1">
        <v>85.2</v>
      </c>
      <c r="Y57" s="1">
        <v>78</v>
      </c>
      <c r="Z57" s="1">
        <v>96</v>
      </c>
      <c r="AA57" s="1">
        <v>47.8</v>
      </c>
      <c r="AB57" s="1">
        <v>75.2</v>
      </c>
      <c r="AC57" s="1">
        <v>67.599999999999994</v>
      </c>
      <c r="AD57" s="1">
        <v>66</v>
      </c>
      <c r="AE57" s="1"/>
      <c r="AF57" s="1">
        <f t="shared" si="24"/>
        <v>1019.7599999999998</v>
      </c>
      <c r="AG57" s="7">
        <v>10</v>
      </c>
      <c r="AH57" s="9">
        <f t="shared" si="25"/>
        <v>144</v>
      </c>
      <c r="AI57" s="1">
        <f t="shared" si="26"/>
        <v>1007.9999999999999</v>
      </c>
      <c r="AJ57" s="1">
        <v>12</v>
      </c>
      <c r="AK57" s="1">
        <v>84</v>
      </c>
      <c r="AL57" s="9">
        <f t="shared" si="27"/>
        <v>1.7142857142857142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21" t="s">
        <v>143</v>
      </c>
      <c r="B58" s="1" t="s">
        <v>42</v>
      </c>
      <c r="C58" s="1">
        <v>400</v>
      </c>
      <c r="D58" s="1">
        <v>28</v>
      </c>
      <c r="E58" s="1">
        <v>194</v>
      </c>
      <c r="F58" s="1">
        <v>201</v>
      </c>
      <c r="G58" s="7">
        <v>0.7</v>
      </c>
      <c r="H58" s="1">
        <v>180</v>
      </c>
      <c r="I58" s="1" t="s">
        <v>144</v>
      </c>
      <c r="J58" s="1"/>
      <c r="K58" s="1">
        <v>209</v>
      </c>
      <c r="L58" s="1">
        <f t="shared" si="14"/>
        <v>-15</v>
      </c>
      <c r="M58" s="1"/>
      <c r="N58" s="1"/>
      <c r="O58" s="1">
        <v>0</v>
      </c>
      <c r="P58" s="1">
        <f t="shared" si="15"/>
        <v>38.799999999999997</v>
      </c>
      <c r="Q58" s="5">
        <f t="shared" si="28"/>
        <v>342.19999999999993</v>
      </c>
      <c r="R58" s="5">
        <f t="shared" si="18"/>
        <v>360</v>
      </c>
      <c r="S58" s="1">
        <f t="shared" si="16"/>
        <v>14.45876288659794</v>
      </c>
      <c r="T58" s="1">
        <f t="shared" si="17"/>
        <v>5.1804123711340209</v>
      </c>
      <c r="U58" s="1">
        <v>16</v>
      </c>
      <c r="V58" s="1">
        <v>7</v>
      </c>
      <c r="W58" s="1">
        <v>23.6</v>
      </c>
      <c r="X58" s="1">
        <v>31.4</v>
      </c>
      <c r="Y58" s="1">
        <v>17</v>
      </c>
      <c r="Z58" s="1">
        <v>22.8</v>
      </c>
      <c r="AA58" s="1">
        <v>25.2</v>
      </c>
      <c r="AB58" s="1">
        <v>22.6</v>
      </c>
      <c r="AC58" s="1">
        <v>10.8</v>
      </c>
      <c r="AD58" s="1">
        <v>16.2</v>
      </c>
      <c r="AE58" s="1"/>
      <c r="AF58" s="1">
        <f t="shared" si="24"/>
        <v>239.53999999999994</v>
      </c>
      <c r="AG58" s="7">
        <v>10</v>
      </c>
      <c r="AH58" s="9">
        <f t="shared" si="25"/>
        <v>36</v>
      </c>
      <c r="AI58" s="1">
        <f t="shared" si="26"/>
        <v>251.99999999999997</v>
      </c>
      <c r="AJ58" s="1">
        <v>12</v>
      </c>
      <c r="AK58" s="1">
        <v>84</v>
      </c>
      <c r="AL58" s="9">
        <f t="shared" si="27"/>
        <v>0.42857142857142855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21" t="s">
        <v>145</v>
      </c>
      <c r="B59" s="1" t="s">
        <v>42</v>
      </c>
      <c r="C59" s="1">
        <v>128</v>
      </c>
      <c r="D59" s="1">
        <v>336</v>
      </c>
      <c r="E59" s="1">
        <v>200</v>
      </c>
      <c r="F59" s="1">
        <v>222</v>
      </c>
      <c r="G59" s="7">
        <v>0.8</v>
      </c>
      <c r="H59" s="1">
        <v>180</v>
      </c>
      <c r="I59" s="1" t="s">
        <v>146</v>
      </c>
      <c r="J59" s="1"/>
      <c r="K59" s="1">
        <v>210</v>
      </c>
      <c r="L59" s="1">
        <f t="shared" si="14"/>
        <v>-10</v>
      </c>
      <c r="M59" s="1"/>
      <c r="N59" s="1"/>
      <c r="O59" s="1">
        <v>384</v>
      </c>
      <c r="P59" s="1">
        <f t="shared" si="15"/>
        <v>40</v>
      </c>
      <c r="Q59" s="5"/>
      <c r="R59" s="5">
        <f t="shared" si="18"/>
        <v>0</v>
      </c>
      <c r="S59" s="1">
        <f t="shared" si="16"/>
        <v>15.15</v>
      </c>
      <c r="T59" s="1">
        <f t="shared" si="17"/>
        <v>15.15</v>
      </c>
      <c r="U59" s="1">
        <v>44.4</v>
      </c>
      <c r="V59" s="1">
        <v>35</v>
      </c>
      <c r="W59" s="1">
        <v>35.6</v>
      </c>
      <c r="X59" s="1">
        <v>26.6</v>
      </c>
      <c r="Y59" s="1">
        <v>38.4</v>
      </c>
      <c r="Z59" s="1">
        <v>39</v>
      </c>
      <c r="AA59" s="1">
        <v>23</v>
      </c>
      <c r="AB59" s="1">
        <v>11.6</v>
      </c>
      <c r="AC59" s="1">
        <v>36.4</v>
      </c>
      <c r="AD59" s="1">
        <v>19.399999999999999</v>
      </c>
      <c r="AE59" s="1"/>
      <c r="AF59" s="1">
        <f t="shared" si="24"/>
        <v>0</v>
      </c>
      <c r="AG59" s="7">
        <v>8</v>
      </c>
      <c r="AH59" s="9">
        <f t="shared" si="25"/>
        <v>0</v>
      </c>
      <c r="AI59" s="1">
        <f t="shared" si="26"/>
        <v>0</v>
      </c>
      <c r="AJ59" s="1">
        <v>12</v>
      </c>
      <c r="AK59" s="1">
        <v>84</v>
      </c>
      <c r="AL59" s="9">
        <f t="shared" si="27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21" t="s">
        <v>147</v>
      </c>
      <c r="B60" s="1" t="s">
        <v>42</v>
      </c>
      <c r="C60" s="1">
        <v>192</v>
      </c>
      <c r="D60" s="1">
        <v>4</v>
      </c>
      <c r="E60" s="1">
        <v>18</v>
      </c>
      <c r="F60" s="1">
        <v>178</v>
      </c>
      <c r="G60" s="7">
        <v>0.4</v>
      </c>
      <c r="H60" s="1">
        <v>180</v>
      </c>
      <c r="I60" s="1" t="s">
        <v>148</v>
      </c>
      <c r="J60" s="1"/>
      <c r="K60" s="1">
        <v>18</v>
      </c>
      <c r="L60" s="1">
        <f t="shared" si="14"/>
        <v>0</v>
      </c>
      <c r="M60" s="1"/>
      <c r="N60" s="1"/>
      <c r="O60" s="1">
        <v>0</v>
      </c>
      <c r="P60" s="1">
        <f t="shared" si="15"/>
        <v>3.6</v>
      </c>
      <c r="Q60" s="5"/>
      <c r="R60" s="5">
        <f t="shared" si="18"/>
        <v>0</v>
      </c>
      <c r="S60" s="1">
        <f t="shared" si="16"/>
        <v>49.444444444444443</v>
      </c>
      <c r="T60" s="1">
        <f t="shared" si="17"/>
        <v>49.444444444444443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24" t="s">
        <v>200</v>
      </c>
      <c r="AF60" s="1">
        <f t="shared" si="24"/>
        <v>0</v>
      </c>
      <c r="AG60" s="7">
        <v>16</v>
      </c>
      <c r="AH60" s="9">
        <f t="shared" si="25"/>
        <v>0</v>
      </c>
      <c r="AI60" s="1">
        <f t="shared" si="26"/>
        <v>0</v>
      </c>
      <c r="AJ60" s="1">
        <v>12</v>
      </c>
      <c r="AK60" s="1">
        <v>84</v>
      </c>
      <c r="AL60" s="9">
        <f t="shared" si="27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21" t="s">
        <v>149</v>
      </c>
      <c r="B61" s="1" t="s">
        <v>42</v>
      </c>
      <c r="C61" s="1">
        <v>96</v>
      </c>
      <c r="D61" s="1">
        <v>4</v>
      </c>
      <c r="E61" s="1">
        <v>80</v>
      </c>
      <c r="F61" s="1">
        <v>12</v>
      </c>
      <c r="G61" s="7">
        <v>0.8</v>
      </c>
      <c r="H61" s="1">
        <v>180</v>
      </c>
      <c r="I61" s="1" t="s">
        <v>150</v>
      </c>
      <c r="J61" s="1"/>
      <c r="K61" s="1">
        <v>79</v>
      </c>
      <c r="L61" s="1">
        <f t="shared" si="14"/>
        <v>1</v>
      </c>
      <c r="M61" s="1"/>
      <c r="N61" s="1"/>
      <c r="O61" s="1">
        <v>0</v>
      </c>
      <c r="P61" s="1">
        <f t="shared" si="15"/>
        <v>16</v>
      </c>
      <c r="Q61" s="5">
        <f>11*P61-O61-F61</f>
        <v>164</v>
      </c>
      <c r="R61" s="5">
        <f t="shared" si="18"/>
        <v>192</v>
      </c>
      <c r="S61" s="1">
        <f t="shared" si="16"/>
        <v>12.75</v>
      </c>
      <c r="T61" s="1">
        <f t="shared" si="17"/>
        <v>0.75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 t="s">
        <v>56</v>
      </c>
      <c r="AF61" s="1">
        <f t="shared" si="24"/>
        <v>131.20000000000002</v>
      </c>
      <c r="AG61" s="7">
        <v>8</v>
      </c>
      <c r="AH61" s="9">
        <f t="shared" si="25"/>
        <v>24</v>
      </c>
      <c r="AI61" s="1">
        <f t="shared" si="26"/>
        <v>153.60000000000002</v>
      </c>
      <c r="AJ61" s="1">
        <v>12</v>
      </c>
      <c r="AK61" s="1">
        <v>84</v>
      </c>
      <c r="AL61" s="9">
        <f t="shared" si="27"/>
        <v>0.2857142857142857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21" t="s">
        <v>151</v>
      </c>
      <c r="B62" s="1" t="s">
        <v>42</v>
      </c>
      <c r="C62" s="1">
        <v>306</v>
      </c>
      <c r="D62" s="1">
        <v>36</v>
      </c>
      <c r="E62" s="1">
        <v>119</v>
      </c>
      <c r="F62" s="1">
        <v>167</v>
      </c>
      <c r="G62" s="7">
        <v>1</v>
      </c>
      <c r="H62" s="1">
        <v>180</v>
      </c>
      <c r="I62" s="1" t="s">
        <v>152</v>
      </c>
      <c r="J62" s="1"/>
      <c r="K62" s="1">
        <v>111</v>
      </c>
      <c r="L62" s="1">
        <f t="shared" si="14"/>
        <v>8</v>
      </c>
      <c r="M62" s="1"/>
      <c r="N62" s="1"/>
      <c r="O62" s="1">
        <v>420</v>
      </c>
      <c r="P62" s="1">
        <f t="shared" si="15"/>
        <v>23.8</v>
      </c>
      <c r="Q62" s="5"/>
      <c r="R62" s="5">
        <f t="shared" si="18"/>
        <v>0</v>
      </c>
      <c r="S62" s="1">
        <f t="shared" si="16"/>
        <v>24.663865546218485</v>
      </c>
      <c r="T62" s="1">
        <f t="shared" si="17"/>
        <v>24.663865546218485</v>
      </c>
      <c r="U62" s="1">
        <v>23.8</v>
      </c>
      <c r="V62" s="1">
        <v>6.2</v>
      </c>
      <c r="W62" s="1">
        <v>20.6</v>
      </c>
      <c r="X62" s="1">
        <v>27.8</v>
      </c>
      <c r="Y62" s="1">
        <v>14.2</v>
      </c>
      <c r="Z62" s="1">
        <v>18</v>
      </c>
      <c r="AA62" s="1">
        <v>17.399999999999999</v>
      </c>
      <c r="AB62" s="1">
        <v>22.8</v>
      </c>
      <c r="AC62" s="1">
        <v>34.4</v>
      </c>
      <c r="AD62" s="1">
        <v>22</v>
      </c>
      <c r="AE62" s="1"/>
      <c r="AF62" s="1">
        <f t="shared" si="24"/>
        <v>0</v>
      </c>
      <c r="AG62" s="7">
        <v>5</v>
      </c>
      <c r="AH62" s="9">
        <f t="shared" si="25"/>
        <v>0</v>
      </c>
      <c r="AI62" s="1">
        <f t="shared" si="26"/>
        <v>0</v>
      </c>
      <c r="AJ62" s="1">
        <v>12</v>
      </c>
      <c r="AK62" s="1">
        <v>84</v>
      </c>
      <c r="AL62" s="9">
        <f t="shared" si="27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21" t="s">
        <v>153</v>
      </c>
      <c r="B63" s="1" t="s">
        <v>42</v>
      </c>
      <c r="C63" s="1">
        <v>13</v>
      </c>
      <c r="D63" s="1">
        <v>229</v>
      </c>
      <c r="E63" s="1">
        <v>51</v>
      </c>
      <c r="F63" s="1">
        <v>105</v>
      </c>
      <c r="G63" s="7">
        <v>0.9</v>
      </c>
      <c r="H63" s="1">
        <v>180</v>
      </c>
      <c r="I63" s="1" t="s">
        <v>154</v>
      </c>
      <c r="J63" s="1"/>
      <c r="K63" s="1">
        <v>70</v>
      </c>
      <c r="L63" s="1">
        <f t="shared" si="14"/>
        <v>-19</v>
      </c>
      <c r="M63" s="1"/>
      <c r="N63" s="1"/>
      <c r="O63" s="1">
        <v>0</v>
      </c>
      <c r="P63" s="1">
        <f t="shared" si="15"/>
        <v>10.199999999999999</v>
      </c>
      <c r="Q63" s="5">
        <f>15*P63-O63-F63</f>
        <v>48</v>
      </c>
      <c r="R63" s="5">
        <f t="shared" si="18"/>
        <v>96</v>
      </c>
      <c r="S63" s="1">
        <f t="shared" si="16"/>
        <v>19.705882352941178</v>
      </c>
      <c r="T63" s="1">
        <f t="shared" si="17"/>
        <v>10.294117647058824</v>
      </c>
      <c r="U63" s="1">
        <v>4.8</v>
      </c>
      <c r="V63" s="1">
        <v>26.4</v>
      </c>
      <c r="W63" s="1">
        <v>38.799999999999997</v>
      </c>
      <c r="X63" s="1">
        <v>11.6</v>
      </c>
      <c r="Y63" s="1">
        <v>6.4</v>
      </c>
      <c r="Z63" s="1">
        <v>19.2</v>
      </c>
      <c r="AA63" s="1">
        <v>24.8</v>
      </c>
      <c r="AB63" s="1">
        <v>15</v>
      </c>
      <c r="AC63" s="1">
        <v>17.8</v>
      </c>
      <c r="AD63" s="1">
        <v>19.8</v>
      </c>
      <c r="AE63" s="1"/>
      <c r="AF63" s="1">
        <f t="shared" si="24"/>
        <v>43.2</v>
      </c>
      <c r="AG63" s="7">
        <v>8</v>
      </c>
      <c r="AH63" s="9">
        <f t="shared" si="25"/>
        <v>12</v>
      </c>
      <c r="AI63" s="1">
        <f t="shared" si="26"/>
        <v>86.4</v>
      </c>
      <c r="AJ63" s="1">
        <v>12</v>
      </c>
      <c r="AK63" s="1">
        <v>84</v>
      </c>
      <c r="AL63" s="9">
        <f t="shared" si="27"/>
        <v>0.14285714285714285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21" t="s">
        <v>155</v>
      </c>
      <c r="B64" s="1" t="s">
        <v>42</v>
      </c>
      <c r="C64" s="1">
        <v>-44</v>
      </c>
      <c r="D64" s="1">
        <v>455</v>
      </c>
      <c r="E64" s="1">
        <v>50</v>
      </c>
      <c r="F64" s="1">
        <v>321</v>
      </c>
      <c r="G64" s="7">
        <v>0.9</v>
      </c>
      <c r="H64" s="1">
        <v>180</v>
      </c>
      <c r="I64" s="1" t="s">
        <v>156</v>
      </c>
      <c r="J64" s="1"/>
      <c r="K64" s="1">
        <v>60</v>
      </c>
      <c r="L64" s="1">
        <f t="shared" si="14"/>
        <v>-10</v>
      </c>
      <c r="M64" s="1"/>
      <c r="N64" s="1"/>
      <c r="O64" s="1">
        <v>0</v>
      </c>
      <c r="P64" s="1">
        <f t="shared" si="15"/>
        <v>10</v>
      </c>
      <c r="Q64" s="5"/>
      <c r="R64" s="5">
        <f t="shared" si="18"/>
        <v>0</v>
      </c>
      <c r="S64" s="1">
        <f t="shared" si="16"/>
        <v>32.1</v>
      </c>
      <c r="T64" s="1">
        <f t="shared" si="17"/>
        <v>32.1</v>
      </c>
      <c r="U64" s="1">
        <v>0</v>
      </c>
      <c r="V64" s="1">
        <v>31.4</v>
      </c>
      <c r="W64" s="1">
        <v>49.2</v>
      </c>
      <c r="X64" s="1">
        <v>8.8000000000000007</v>
      </c>
      <c r="Y64" s="1">
        <v>5</v>
      </c>
      <c r="Z64" s="1">
        <v>20.6</v>
      </c>
      <c r="AA64" s="1">
        <v>23.8</v>
      </c>
      <c r="AB64" s="1">
        <v>8.4</v>
      </c>
      <c r="AC64" s="1">
        <v>7.2</v>
      </c>
      <c r="AD64" s="1">
        <v>19.600000000000001</v>
      </c>
      <c r="AE64" s="1"/>
      <c r="AF64" s="1">
        <f t="shared" si="24"/>
        <v>0</v>
      </c>
      <c r="AG64" s="7">
        <v>8</v>
      </c>
      <c r="AH64" s="9">
        <f t="shared" si="25"/>
        <v>0</v>
      </c>
      <c r="AI64" s="1">
        <f t="shared" si="26"/>
        <v>0</v>
      </c>
      <c r="AJ64" s="1">
        <v>12</v>
      </c>
      <c r="AK64" s="1">
        <v>84</v>
      </c>
      <c r="AL64" s="9">
        <f t="shared" si="27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21" t="s">
        <v>157</v>
      </c>
      <c r="B65" s="1" t="s">
        <v>96</v>
      </c>
      <c r="C65" s="1">
        <v>10</v>
      </c>
      <c r="D65" s="1">
        <v>180</v>
      </c>
      <c r="E65" s="1">
        <v>105</v>
      </c>
      <c r="F65" s="1">
        <v>70</v>
      </c>
      <c r="G65" s="7">
        <v>1</v>
      </c>
      <c r="H65" s="1">
        <v>180</v>
      </c>
      <c r="I65" s="1" t="s">
        <v>158</v>
      </c>
      <c r="J65" s="1"/>
      <c r="K65" s="1">
        <v>115</v>
      </c>
      <c r="L65" s="1">
        <f t="shared" si="14"/>
        <v>-10</v>
      </c>
      <c r="M65" s="1"/>
      <c r="N65" s="1"/>
      <c r="O65" s="1">
        <v>300</v>
      </c>
      <c r="P65" s="1">
        <f t="shared" si="15"/>
        <v>21</v>
      </c>
      <c r="Q65" s="5"/>
      <c r="R65" s="5">
        <f t="shared" si="18"/>
        <v>0</v>
      </c>
      <c r="S65" s="1">
        <f t="shared" si="16"/>
        <v>17.61904761904762</v>
      </c>
      <c r="T65" s="1">
        <f t="shared" si="17"/>
        <v>17.61904761904762</v>
      </c>
      <c r="U65" s="1">
        <v>9</v>
      </c>
      <c r="V65" s="1">
        <v>21</v>
      </c>
      <c r="W65" s="1">
        <v>34</v>
      </c>
      <c r="X65" s="1">
        <v>8</v>
      </c>
      <c r="Y65" s="1">
        <v>13</v>
      </c>
      <c r="Z65" s="1">
        <v>18</v>
      </c>
      <c r="AA65" s="1">
        <v>32</v>
      </c>
      <c r="AB65" s="1">
        <v>17</v>
      </c>
      <c r="AC65" s="1">
        <v>9</v>
      </c>
      <c r="AD65" s="1">
        <v>11</v>
      </c>
      <c r="AE65" s="1"/>
      <c r="AF65" s="1">
        <f t="shared" si="24"/>
        <v>0</v>
      </c>
      <c r="AG65" s="7">
        <v>5</v>
      </c>
      <c r="AH65" s="9">
        <f t="shared" si="25"/>
        <v>0</v>
      </c>
      <c r="AI65" s="1">
        <f t="shared" si="26"/>
        <v>0</v>
      </c>
      <c r="AJ65" s="1">
        <v>12</v>
      </c>
      <c r="AK65" s="1">
        <v>144</v>
      </c>
      <c r="AL65" s="9">
        <f t="shared" si="27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21" t="s">
        <v>159</v>
      </c>
      <c r="B66" s="1" t="s">
        <v>42</v>
      </c>
      <c r="C66" s="1"/>
      <c r="D66" s="1"/>
      <c r="E66" s="19">
        <f>0+E67</f>
        <v>600</v>
      </c>
      <c r="F66" s="19">
        <f>0+F67</f>
        <v>1</v>
      </c>
      <c r="G66" s="7">
        <v>1</v>
      </c>
      <c r="H66" s="1">
        <v>180</v>
      </c>
      <c r="I66" s="1" t="s">
        <v>160</v>
      </c>
      <c r="J66" s="1"/>
      <c r="K66" s="1"/>
      <c r="L66" s="1">
        <f t="shared" si="14"/>
        <v>600</v>
      </c>
      <c r="M66" s="1"/>
      <c r="N66" s="1"/>
      <c r="O66" s="1">
        <v>840</v>
      </c>
      <c r="P66" s="1">
        <f t="shared" si="15"/>
        <v>120</v>
      </c>
      <c r="Q66" s="5">
        <f t="shared" si="28"/>
        <v>839</v>
      </c>
      <c r="R66" s="5">
        <f t="shared" si="18"/>
        <v>840</v>
      </c>
      <c r="S66" s="1">
        <f t="shared" si="16"/>
        <v>14.008333333333333</v>
      </c>
      <c r="T66" s="1">
        <f t="shared" si="17"/>
        <v>7.0083333333333337</v>
      </c>
      <c r="U66" s="1">
        <v>59.2</v>
      </c>
      <c r="V66" s="1">
        <v>87.6</v>
      </c>
      <c r="W66" s="1">
        <v>129.80000000000001</v>
      </c>
      <c r="X66" s="1">
        <v>65.8</v>
      </c>
      <c r="Y66" s="1">
        <v>71</v>
      </c>
      <c r="Z66" s="1">
        <v>81.400000000000006</v>
      </c>
      <c r="AA66" s="1">
        <v>34.200000000000003</v>
      </c>
      <c r="AB66" s="1">
        <v>54.4</v>
      </c>
      <c r="AC66" s="1">
        <v>69.8</v>
      </c>
      <c r="AD66" s="1">
        <v>28.2</v>
      </c>
      <c r="AE66" s="1"/>
      <c r="AF66" s="1">
        <f t="shared" si="24"/>
        <v>839</v>
      </c>
      <c r="AG66" s="7">
        <v>5</v>
      </c>
      <c r="AH66" s="9">
        <f t="shared" si="25"/>
        <v>168</v>
      </c>
      <c r="AI66" s="1">
        <f t="shared" si="26"/>
        <v>840</v>
      </c>
      <c r="AJ66" s="1">
        <v>12</v>
      </c>
      <c r="AK66" s="1">
        <v>84</v>
      </c>
      <c r="AL66" s="9">
        <f t="shared" si="27"/>
        <v>2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4" t="s">
        <v>161</v>
      </c>
      <c r="B67" s="14" t="s">
        <v>42</v>
      </c>
      <c r="C67" s="14">
        <v>364</v>
      </c>
      <c r="D67" s="14">
        <v>264</v>
      </c>
      <c r="E67" s="19">
        <v>600</v>
      </c>
      <c r="F67" s="19">
        <v>1</v>
      </c>
      <c r="G67" s="15">
        <v>0</v>
      </c>
      <c r="H67" s="14">
        <v>180</v>
      </c>
      <c r="I67" s="14" t="s">
        <v>58</v>
      </c>
      <c r="J67" s="14" t="s">
        <v>159</v>
      </c>
      <c r="K67" s="14">
        <v>630</v>
      </c>
      <c r="L67" s="14">
        <f t="shared" si="14"/>
        <v>-30</v>
      </c>
      <c r="M67" s="14"/>
      <c r="N67" s="14"/>
      <c r="O67" s="14"/>
      <c r="P67" s="14">
        <f t="shared" si="15"/>
        <v>120</v>
      </c>
      <c r="Q67" s="16"/>
      <c r="R67" s="16"/>
      <c r="S67" s="14">
        <f t="shared" si="16"/>
        <v>8.3333333333333332E-3</v>
      </c>
      <c r="T67" s="14">
        <f t="shared" si="17"/>
        <v>8.3333333333333332E-3</v>
      </c>
      <c r="U67" s="14">
        <v>57.2</v>
      </c>
      <c r="V67" s="14">
        <v>85.6</v>
      </c>
      <c r="W67" s="14">
        <v>129.80000000000001</v>
      </c>
      <c r="X67" s="14">
        <v>65.8</v>
      </c>
      <c r="Y67" s="14">
        <v>71</v>
      </c>
      <c r="Z67" s="14">
        <v>81.400000000000006</v>
      </c>
      <c r="AA67" s="14">
        <v>33.799999999999997</v>
      </c>
      <c r="AB67" s="14">
        <v>0</v>
      </c>
      <c r="AC67" s="14">
        <v>0</v>
      </c>
      <c r="AD67" s="14">
        <v>0</v>
      </c>
      <c r="AE67" s="14"/>
      <c r="AF67" s="14"/>
      <c r="AG67" s="15"/>
      <c r="AH67" s="17"/>
      <c r="AI67" s="14"/>
      <c r="AJ67" s="14"/>
      <c r="AK67" s="14"/>
      <c r="AL67" s="17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4" t="s">
        <v>162</v>
      </c>
      <c r="B68" s="14" t="s">
        <v>96</v>
      </c>
      <c r="C68" s="14"/>
      <c r="D68" s="14"/>
      <c r="E68" s="14"/>
      <c r="F68" s="14"/>
      <c r="G68" s="15">
        <v>0</v>
      </c>
      <c r="H68" s="14">
        <v>180</v>
      </c>
      <c r="I68" s="14" t="s">
        <v>163</v>
      </c>
      <c r="J68" s="14"/>
      <c r="K68" s="14"/>
      <c r="L68" s="14">
        <f t="shared" si="14"/>
        <v>0</v>
      </c>
      <c r="M68" s="14"/>
      <c r="N68" s="14"/>
      <c r="O68" s="14"/>
      <c r="P68" s="14">
        <f t="shared" si="15"/>
        <v>0</v>
      </c>
      <c r="Q68" s="16"/>
      <c r="R68" s="16"/>
      <c r="S68" s="14" t="e">
        <f t="shared" si="16"/>
        <v>#DIV/0!</v>
      </c>
      <c r="T68" s="14" t="e">
        <f t="shared" si="17"/>
        <v>#DIV/0!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0.74</v>
      </c>
      <c r="AA68" s="14">
        <v>1.48</v>
      </c>
      <c r="AB68" s="14">
        <v>3.7</v>
      </c>
      <c r="AC68" s="14">
        <v>3.7</v>
      </c>
      <c r="AD68" s="14">
        <v>0</v>
      </c>
      <c r="AE68" s="14" t="s">
        <v>164</v>
      </c>
      <c r="AF68" s="14"/>
      <c r="AG68" s="15">
        <v>3.7</v>
      </c>
      <c r="AH68" s="17"/>
      <c r="AI68" s="14"/>
      <c r="AJ68" s="14">
        <v>14</v>
      </c>
      <c r="AK68" s="14">
        <v>126</v>
      </c>
      <c r="AL68" s="17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4" t="s">
        <v>165</v>
      </c>
      <c r="B69" s="14" t="s">
        <v>42</v>
      </c>
      <c r="C69" s="14">
        <v>147</v>
      </c>
      <c r="D69" s="14">
        <v>173</v>
      </c>
      <c r="E69" s="19">
        <v>31</v>
      </c>
      <c r="F69" s="19">
        <v>278</v>
      </c>
      <c r="G69" s="15">
        <v>0</v>
      </c>
      <c r="H69" s="14">
        <v>180</v>
      </c>
      <c r="I69" s="14" t="s">
        <v>58</v>
      </c>
      <c r="J69" s="14" t="s">
        <v>59</v>
      </c>
      <c r="K69" s="14">
        <v>33</v>
      </c>
      <c r="L69" s="14">
        <f t="shared" si="14"/>
        <v>-2</v>
      </c>
      <c r="M69" s="14"/>
      <c r="N69" s="14"/>
      <c r="O69" s="14"/>
      <c r="P69" s="14">
        <f t="shared" si="15"/>
        <v>6.2</v>
      </c>
      <c r="Q69" s="16"/>
      <c r="R69" s="16"/>
      <c r="S69" s="14">
        <f t="shared" si="16"/>
        <v>44.838709677419352</v>
      </c>
      <c r="T69" s="14">
        <f t="shared" si="17"/>
        <v>44.838709677419352</v>
      </c>
      <c r="U69" s="14">
        <v>4.2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/>
      <c r="AF69" s="14"/>
      <c r="AG69" s="15"/>
      <c r="AH69" s="17"/>
      <c r="AI69" s="14"/>
      <c r="AJ69" s="14"/>
      <c r="AK69" s="14"/>
      <c r="AL69" s="17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4" t="s">
        <v>166</v>
      </c>
      <c r="B70" s="14" t="s">
        <v>42</v>
      </c>
      <c r="C70" s="14">
        <v>294</v>
      </c>
      <c r="D70" s="14"/>
      <c r="E70" s="19">
        <v>44</v>
      </c>
      <c r="F70" s="14"/>
      <c r="G70" s="15">
        <v>0</v>
      </c>
      <c r="H70" s="14">
        <v>180</v>
      </c>
      <c r="I70" s="14" t="s">
        <v>58</v>
      </c>
      <c r="J70" s="14" t="s">
        <v>70</v>
      </c>
      <c r="K70" s="14">
        <v>40</v>
      </c>
      <c r="L70" s="14">
        <f t="shared" ref="L70:L101" si="29">E70-K70</f>
        <v>4</v>
      </c>
      <c r="M70" s="14"/>
      <c r="N70" s="14"/>
      <c r="O70" s="14"/>
      <c r="P70" s="14">
        <f t="shared" ref="P70:P91" si="30">E70/5</f>
        <v>8.8000000000000007</v>
      </c>
      <c r="Q70" s="16"/>
      <c r="R70" s="16"/>
      <c r="S70" s="14">
        <f t="shared" ref="S70:S101" si="31">(F70+O70+R70)/P70</f>
        <v>0</v>
      </c>
      <c r="T70" s="14">
        <f t="shared" ref="T70:T91" si="32">(F70+O70)/P70</f>
        <v>0</v>
      </c>
      <c r="U70" s="14">
        <v>8.4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/>
      <c r="AF70" s="14"/>
      <c r="AG70" s="15"/>
      <c r="AH70" s="17"/>
      <c r="AI70" s="14"/>
      <c r="AJ70" s="14"/>
      <c r="AK70" s="14"/>
      <c r="AL70" s="17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4" t="s">
        <v>167</v>
      </c>
      <c r="B71" s="14" t="s">
        <v>42</v>
      </c>
      <c r="C71" s="14">
        <v>163</v>
      </c>
      <c r="D71" s="14">
        <v>197</v>
      </c>
      <c r="E71" s="19">
        <v>48</v>
      </c>
      <c r="F71" s="19">
        <v>312</v>
      </c>
      <c r="G71" s="15">
        <v>0</v>
      </c>
      <c r="H71" s="14">
        <v>180</v>
      </c>
      <c r="I71" s="14" t="s">
        <v>58</v>
      </c>
      <c r="J71" s="14" t="s">
        <v>168</v>
      </c>
      <c r="K71" s="14">
        <v>49</v>
      </c>
      <c r="L71" s="14">
        <f t="shared" si="29"/>
        <v>-1</v>
      </c>
      <c r="M71" s="14"/>
      <c r="N71" s="14"/>
      <c r="O71" s="14"/>
      <c r="P71" s="14">
        <f t="shared" si="30"/>
        <v>9.6</v>
      </c>
      <c r="Q71" s="16"/>
      <c r="R71" s="16"/>
      <c r="S71" s="14">
        <f t="shared" si="31"/>
        <v>32.5</v>
      </c>
      <c r="T71" s="14">
        <f t="shared" si="32"/>
        <v>32.5</v>
      </c>
      <c r="U71" s="14">
        <v>5.4</v>
      </c>
      <c r="V71" s="14">
        <v>3.6</v>
      </c>
      <c r="W71" s="14">
        <v>1.2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/>
      <c r="AF71" s="14"/>
      <c r="AG71" s="15"/>
      <c r="AH71" s="17"/>
      <c r="AI71" s="14"/>
      <c r="AJ71" s="14"/>
      <c r="AK71" s="14"/>
      <c r="AL71" s="17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4" t="s">
        <v>169</v>
      </c>
      <c r="B72" s="14" t="s">
        <v>96</v>
      </c>
      <c r="C72" s="14">
        <v>98.3</v>
      </c>
      <c r="D72" s="14">
        <v>138.69999999999999</v>
      </c>
      <c r="E72" s="19">
        <v>54</v>
      </c>
      <c r="F72" s="19">
        <v>180</v>
      </c>
      <c r="G72" s="15">
        <v>0</v>
      </c>
      <c r="H72" s="14">
        <v>180</v>
      </c>
      <c r="I72" s="14" t="s">
        <v>58</v>
      </c>
      <c r="J72" s="14" t="s">
        <v>101</v>
      </c>
      <c r="K72" s="14">
        <v>55</v>
      </c>
      <c r="L72" s="14">
        <f t="shared" si="29"/>
        <v>-1</v>
      </c>
      <c r="M72" s="14"/>
      <c r="N72" s="14"/>
      <c r="O72" s="14"/>
      <c r="P72" s="14">
        <f t="shared" si="30"/>
        <v>10.8</v>
      </c>
      <c r="Q72" s="16"/>
      <c r="R72" s="16"/>
      <c r="S72" s="14">
        <f t="shared" si="31"/>
        <v>16.666666666666664</v>
      </c>
      <c r="T72" s="14">
        <f t="shared" si="32"/>
        <v>16.666666666666664</v>
      </c>
      <c r="U72" s="14">
        <v>5.4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/>
      <c r="AF72" s="14"/>
      <c r="AG72" s="15"/>
      <c r="AH72" s="17"/>
      <c r="AI72" s="14"/>
      <c r="AJ72" s="14"/>
      <c r="AK72" s="14"/>
      <c r="AL72" s="17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4" t="s">
        <v>170</v>
      </c>
      <c r="B73" s="14" t="s">
        <v>42</v>
      </c>
      <c r="C73" s="14"/>
      <c r="D73" s="14">
        <v>504</v>
      </c>
      <c r="E73" s="19">
        <v>32</v>
      </c>
      <c r="F73" s="19">
        <v>426</v>
      </c>
      <c r="G73" s="15">
        <v>0</v>
      </c>
      <c r="H73" s="14">
        <v>180</v>
      </c>
      <c r="I73" s="13" t="s">
        <v>58</v>
      </c>
      <c r="J73" s="14" t="s">
        <v>171</v>
      </c>
      <c r="K73" s="14">
        <v>31</v>
      </c>
      <c r="L73" s="14">
        <f t="shared" si="29"/>
        <v>1</v>
      </c>
      <c r="M73" s="14"/>
      <c r="N73" s="14"/>
      <c r="O73" s="14"/>
      <c r="P73" s="14">
        <f t="shared" si="30"/>
        <v>6.4</v>
      </c>
      <c r="Q73" s="16"/>
      <c r="R73" s="16"/>
      <c r="S73" s="14">
        <f t="shared" si="31"/>
        <v>66.5625</v>
      </c>
      <c r="T73" s="14">
        <f t="shared" si="32"/>
        <v>66.5625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/>
      <c r="AF73" s="14"/>
      <c r="AG73" s="15"/>
      <c r="AH73" s="17"/>
      <c r="AI73" s="14"/>
      <c r="AJ73" s="14"/>
      <c r="AK73" s="14"/>
      <c r="AL73" s="17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21" t="s">
        <v>172</v>
      </c>
      <c r="B74" s="1" t="s">
        <v>42</v>
      </c>
      <c r="C74" s="1"/>
      <c r="D74" s="1">
        <v>169</v>
      </c>
      <c r="E74" s="1">
        <v>104</v>
      </c>
      <c r="F74" s="1">
        <v>10</v>
      </c>
      <c r="G74" s="7">
        <v>0.23</v>
      </c>
      <c r="H74" s="1">
        <v>180</v>
      </c>
      <c r="I74" s="1" t="s">
        <v>173</v>
      </c>
      <c r="J74" s="1"/>
      <c r="K74" s="1">
        <v>104</v>
      </c>
      <c r="L74" s="1">
        <f t="shared" si="29"/>
        <v>0</v>
      </c>
      <c r="M74" s="1"/>
      <c r="N74" s="1"/>
      <c r="O74" s="1">
        <v>0</v>
      </c>
      <c r="P74" s="1">
        <f t="shared" si="30"/>
        <v>20.8</v>
      </c>
      <c r="Q74" s="5">
        <f>10*P74-O74-F74</f>
        <v>198</v>
      </c>
      <c r="R74" s="5">
        <f>AG74*AH74</f>
        <v>168</v>
      </c>
      <c r="S74" s="1">
        <f t="shared" si="31"/>
        <v>8.5576923076923066</v>
      </c>
      <c r="T74" s="1">
        <f t="shared" si="32"/>
        <v>0.48076923076923073</v>
      </c>
      <c r="U74" s="1">
        <v>0.2</v>
      </c>
      <c r="V74" s="1">
        <v>11.4</v>
      </c>
      <c r="W74" s="1">
        <v>15.4</v>
      </c>
      <c r="X74" s="1">
        <v>5.4</v>
      </c>
      <c r="Y74" s="1">
        <v>6.4</v>
      </c>
      <c r="Z74" s="1">
        <v>8</v>
      </c>
      <c r="AA74" s="1">
        <v>6.4</v>
      </c>
      <c r="AB74" s="1">
        <v>3</v>
      </c>
      <c r="AC74" s="1">
        <v>5.4</v>
      </c>
      <c r="AD74" s="1">
        <v>9</v>
      </c>
      <c r="AE74" s="1"/>
      <c r="AF74" s="1">
        <f>G74*Q74</f>
        <v>45.54</v>
      </c>
      <c r="AG74" s="7">
        <v>6</v>
      </c>
      <c r="AH74" s="9">
        <f>MROUND(Q74, AG74*AJ74)/AG74</f>
        <v>28</v>
      </c>
      <c r="AI74" s="1">
        <f>AH74*AG74*G74</f>
        <v>38.64</v>
      </c>
      <c r="AJ74" s="1">
        <v>14</v>
      </c>
      <c r="AK74" s="1">
        <v>140</v>
      </c>
      <c r="AL74" s="9">
        <f>AH74/AK74</f>
        <v>0.2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21" t="s">
        <v>67</v>
      </c>
      <c r="B75" s="1" t="s">
        <v>42</v>
      </c>
      <c r="C75" s="1"/>
      <c r="D75" s="1"/>
      <c r="E75" s="19">
        <f>0+E16</f>
        <v>236</v>
      </c>
      <c r="F75" s="19">
        <f>0+F16</f>
        <v>-3</v>
      </c>
      <c r="G75" s="7">
        <v>0.25</v>
      </c>
      <c r="H75" s="1">
        <v>180</v>
      </c>
      <c r="I75" s="1" t="s">
        <v>174</v>
      </c>
      <c r="J75" s="1"/>
      <c r="K75" s="1"/>
      <c r="L75" s="1">
        <f t="shared" si="29"/>
        <v>236</v>
      </c>
      <c r="M75" s="1"/>
      <c r="N75" s="1"/>
      <c r="O75" s="1">
        <v>504</v>
      </c>
      <c r="P75" s="1">
        <f t="shared" si="30"/>
        <v>47.2</v>
      </c>
      <c r="Q75" s="5">
        <f t="shared" ref="Q74:Q76" si="33">14*P75-O75-F75</f>
        <v>159.80000000000007</v>
      </c>
      <c r="R75" s="5">
        <f>AG75*AH75</f>
        <v>168</v>
      </c>
      <c r="S75" s="1">
        <f t="shared" si="31"/>
        <v>14.173728813559322</v>
      </c>
      <c r="T75" s="1">
        <f t="shared" si="32"/>
        <v>10.614406779661016</v>
      </c>
      <c r="U75" s="1">
        <v>45.8</v>
      </c>
      <c r="V75" s="1">
        <v>29.8</v>
      </c>
      <c r="W75" s="1">
        <v>27.2</v>
      </c>
      <c r="X75" s="1">
        <v>22.2</v>
      </c>
      <c r="Y75" s="1">
        <v>14.8</v>
      </c>
      <c r="Z75" s="1">
        <v>19</v>
      </c>
      <c r="AA75" s="1">
        <v>14.6</v>
      </c>
      <c r="AB75" s="1">
        <v>33.200000000000003</v>
      </c>
      <c r="AC75" s="1">
        <v>40.4</v>
      </c>
      <c r="AD75" s="1">
        <v>51.4</v>
      </c>
      <c r="AE75" s="1"/>
      <c r="AF75" s="1">
        <f>G75*Q75</f>
        <v>39.950000000000017</v>
      </c>
      <c r="AG75" s="7">
        <v>12</v>
      </c>
      <c r="AH75" s="9">
        <f>MROUND(Q75, AG75*AJ75)/AG75</f>
        <v>14</v>
      </c>
      <c r="AI75" s="1">
        <f>AH75*AG75*G75</f>
        <v>42</v>
      </c>
      <c r="AJ75" s="1">
        <v>14</v>
      </c>
      <c r="AK75" s="1">
        <v>70</v>
      </c>
      <c r="AL75" s="9">
        <f>AH75/AK75</f>
        <v>0.2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21" t="s">
        <v>69</v>
      </c>
      <c r="B76" s="1" t="s">
        <v>42</v>
      </c>
      <c r="C76" s="1"/>
      <c r="D76" s="1"/>
      <c r="E76" s="19">
        <f>0+E17</f>
        <v>33</v>
      </c>
      <c r="F76" s="19">
        <f>0+F17</f>
        <v>123</v>
      </c>
      <c r="G76" s="7">
        <v>0.25</v>
      </c>
      <c r="H76" s="1">
        <v>180</v>
      </c>
      <c r="I76" s="1" t="s">
        <v>175</v>
      </c>
      <c r="J76" s="1"/>
      <c r="K76" s="1"/>
      <c r="L76" s="1">
        <f t="shared" si="29"/>
        <v>33</v>
      </c>
      <c r="M76" s="1"/>
      <c r="N76" s="1"/>
      <c r="O76" s="1">
        <v>168</v>
      </c>
      <c r="P76" s="1">
        <f t="shared" si="30"/>
        <v>6.6</v>
      </c>
      <c r="Q76" s="5"/>
      <c r="R76" s="5">
        <f>AG76*AH76</f>
        <v>0</v>
      </c>
      <c r="S76" s="1">
        <f t="shared" si="31"/>
        <v>44.090909090909093</v>
      </c>
      <c r="T76" s="1">
        <f t="shared" si="32"/>
        <v>44.090909090909093</v>
      </c>
      <c r="U76" s="1">
        <v>18.8</v>
      </c>
      <c r="V76" s="1">
        <v>19.399999999999999</v>
      </c>
      <c r="W76" s="1">
        <v>10.6</v>
      </c>
      <c r="X76" s="1">
        <v>4</v>
      </c>
      <c r="Y76" s="1">
        <v>10.4</v>
      </c>
      <c r="Z76" s="1">
        <v>14</v>
      </c>
      <c r="AA76" s="1">
        <v>16</v>
      </c>
      <c r="AB76" s="1">
        <v>15.6</v>
      </c>
      <c r="AC76" s="1">
        <v>17.8</v>
      </c>
      <c r="AD76" s="1">
        <v>16.2</v>
      </c>
      <c r="AE76" s="1"/>
      <c r="AF76" s="1">
        <f>G76*Q76</f>
        <v>0</v>
      </c>
      <c r="AG76" s="7">
        <v>12</v>
      </c>
      <c r="AH76" s="9">
        <f>MROUND(Q76, AG76*AJ76)/AG76</f>
        <v>0</v>
      </c>
      <c r="AI76" s="1">
        <f>AH76*AG76*G76</f>
        <v>0</v>
      </c>
      <c r="AJ76" s="1">
        <v>14</v>
      </c>
      <c r="AK76" s="1">
        <v>70</v>
      </c>
      <c r="AL76" s="9">
        <f>AH76/AK76</f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4" t="s">
        <v>176</v>
      </c>
      <c r="B77" s="14" t="s">
        <v>42</v>
      </c>
      <c r="C77" s="14">
        <v>168</v>
      </c>
      <c r="D77" s="14"/>
      <c r="E77" s="14">
        <v>3</v>
      </c>
      <c r="F77" s="14">
        <v>-2</v>
      </c>
      <c r="G77" s="15">
        <v>0</v>
      </c>
      <c r="H77" s="14">
        <v>180</v>
      </c>
      <c r="I77" s="14" t="s">
        <v>177</v>
      </c>
      <c r="J77" s="14"/>
      <c r="K77" s="14">
        <v>3</v>
      </c>
      <c r="L77" s="14">
        <f t="shared" si="29"/>
        <v>0</v>
      </c>
      <c r="M77" s="14"/>
      <c r="N77" s="14"/>
      <c r="O77" s="14"/>
      <c r="P77" s="14">
        <f t="shared" si="30"/>
        <v>0.6</v>
      </c>
      <c r="Q77" s="16"/>
      <c r="R77" s="16"/>
      <c r="S77" s="14">
        <f t="shared" si="31"/>
        <v>-3.3333333333333335</v>
      </c>
      <c r="T77" s="14">
        <f t="shared" si="32"/>
        <v>-3.3333333333333335</v>
      </c>
      <c r="U77" s="14">
        <v>0</v>
      </c>
      <c r="V77" s="14">
        <v>0.4</v>
      </c>
      <c r="W77" s="14">
        <v>1.6</v>
      </c>
      <c r="X77" s="14">
        <v>1.2</v>
      </c>
      <c r="Y77" s="14">
        <v>1.2</v>
      </c>
      <c r="Z77" s="14">
        <v>0.8</v>
      </c>
      <c r="AA77" s="14">
        <v>0.2</v>
      </c>
      <c r="AB77" s="14">
        <v>2.6</v>
      </c>
      <c r="AC77" s="14">
        <v>1.2</v>
      </c>
      <c r="AD77" s="14">
        <v>0</v>
      </c>
      <c r="AE77" s="18" t="s">
        <v>53</v>
      </c>
      <c r="AF77" s="14"/>
      <c r="AG77" s="15">
        <v>6</v>
      </c>
      <c r="AH77" s="17"/>
      <c r="AI77" s="14"/>
      <c r="AJ77" s="14">
        <v>14</v>
      </c>
      <c r="AK77" s="14">
        <v>140</v>
      </c>
      <c r="AL77" s="17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21" t="s">
        <v>178</v>
      </c>
      <c r="B78" s="1" t="s">
        <v>42</v>
      </c>
      <c r="C78" s="1">
        <v>66</v>
      </c>
      <c r="D78" s="1"/>
      <c r="E78" s="1">
        <v>3</v>
      </c>
      <c r="F78" s="1">
        <v>-2</v>
      </c>
      <c r="G78" s="7">
        <v>0.18</v>
      </c>
      <c r="H78" s="1">
        <v>180</v>
      </c>
      <c r="I78" s="1" t="s">
        <v>179</v>
      </c>
      <c r="J78" s="1"/>
      <c r="K78" s="1">
        <v>3</v>
      </c>
      <c r="L78" s="1">
        <f t="shared" si="29"/>
        <v>0</v>
      </c>
      <c r="M78" s="1"/>
      <c r="N78" s="1"/>
      <c r="O78" s="1">
        <v>0</v>
      </c>
      <c r="P78" s="1">
        <f t="shared" si="30"/>
        <v>0.6</v>
      </c>
      <c r="Q78" s="26">
        <v>0</v>
      </c>
      <c r="R78" s="26">
        <f>AG78*AH78</f>
        <v>0</v>
      </c>
      <c r="S78" s="1">
        <f t="shared" si="31"/>
        <v>-3.3333333333333335</v>
      </c>
      <c r="T78" s="1">
        <f t="shared" si="32"/>
        <v>-3.3333333333333335</v>
      </c>
      <c r="U78" s="1">
        <v>0</v>
      </c>
      <c r="V78" s="1">
        <v>0</v>
      </c>
      <c r="W78" s="1">
        <v>1.8</v>
      </c>
      <c r="X78" s="1">
        <v>1</v>
      </c>
      <c r="Y78" s="1">
        <v>1.8</v>
      </c>
      <c r="Z78" s="1">
        <v>1</v>
      </c>
      <c r="AA78" s="1">
        <v>0.2</v>
      </c>
      <c r="AB78" s="1">
        <v>1.4</v>
      </c>
      <c r="AC78" s="1">
        <v>0</v>
      </c>
      <c r="AD78" s="1">
        <v>0</v>
      </c>
      <c r="AE78" s="27" t="s">
        <v>201</v>
      </c>
      <c r="AF78" s="1">
        <f>G78*Q78</f>
        <v>0</v>
      </c>
      <c r="AG78" s="7">
        <v>6</v>
      </c>
      <c r="AH78" s="9">
        <f>MROUND(Q78, AG78*AJ78)/AG78</f>
        <v>0</v>
      </c>
      <c r="AI78" s="1">
        <f>AH78*AG78*G78</f>
        <v>0</v>
      </c>
      <c r="AJ78" s="1">
        <v>14</v>
      </c>
      <c r="AK78" s="1">
        <v>140</v>
      </c>
      <c r="AL78" s="9">
        <f>AH78/AK78</f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4" t="s">
        <v>180</v>
      </c>
      <c r="B79" s="14" t="s">
        <v>42</v>
      </c>
      <c r="C79" s="14">
        <v>47</v>
      </c>
      <c r="D79" s="14"/>
      <c r="E79" s="14">
        <v>1</v>
      </c>
      <c r="F79" s="14"/>
      <c r="G79" s="15">
        <v>0</v>
      </c>
      <c r="H79" s="14">
        <v>180</v>
      </c>
      <c r="I79" s="14" t="s">
        <v>177</v>
      </c>
      <c r="J79" s="14"/>
      <c r="K79" s="14">
        <v>1</v>
      </c>
      <c r="L79" s="14">
        <f t="shared" si="29"/>
        <v>0</v>
      </c>
      <c r="M79" s="14"/>
      <c r="N79" s="14"/>
      <c r="O79" s="14"/>
      <c r="P79" s="14">
        <f t="shared" si="30"/>
        <v>0.2</v>
      </c>
      <c r="Q79" s="16"/>
      <c r="R79" s="16"/>
      <c r="S79" s="14">
        <f t="shared" si="31"/>
        <v>0</v>
      </c>
      <c r="T79" s="14">
        <f t="shared" si="32"/>
        <v>0</v>
      </c>
      <c r="U79" s="14">
        <v>0</v>
      </c>
      <c r="V79" s="14">
        <v>0</v>
      </c>
      <c r="W79" s="14">
        <v>1</v>
      </c>
      <c r="X79" s="14">
        <v>1.2</v>
      </c>
      <c r="Y79" s="14">
        <v>1.2</v>
      </c>
      <c r="Z79" s="14">
        <v>0.8</v>
      </c>
      <c r="AA79" s="14">
        <v>0</v>
      </c>
      <c r="AB79" s="14">
        <v>0.8</v>
      </c>
      <c r="AC79" s="14">
        <v>0</v>
      </c>
      <c r="AD79" s="14">
        <v>0</v>
      </c>
      <c r="AE79" s="18" t="s">
        <v>53</v>
      </c>
      <c r="AF79" s="14"/>
      <c r="AG79" s="15">
        <v>6</v>
      </c>
      <c r="AH79" s="17"/>
      <c r="AI79" s="14"/>
      <c r="AJ79" s="14">
        <v>14</v>
      </c>
      <c r="AK79" s="14">
        <v>140</v>
      </c>
      <c r="AL79" s="17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21" t="s">
        <v>181</v>
      </c>
      <c r="B80" s="1" t="s">
        <v>42</v>
      </c>
      <c r="C80" s="1">
        <v>568</v>
      </c>
      <c r="D80" s="1">
        <v>187</v>
      </c>
      <c r="E80" s="1">
        <v>203</v>
      </c>
      <c r="F80" s="1">
        <v>530</v>
      </c>
      <c r="G80" s="7">
        <v>0.3</v>
      </c>
      <c r="H80" s="1">
        <v>180</v>
      </c>
      <c r="I80" s="1" t="s">
        <v>182</v>
      </c>
      <c r="J80" s="1"/>
      <c r="K80" s="1">
        <v>208</v>
      </c>
      <c r="L80" s="1">
        <f t="shared" si="29"/>
        <v>-5</v>
      </c>
      <c r="M80" s="1"/>
      <c r="N80" s="1"/>
      <c r="O80" s="1">
        <v>0</v>
      </c>
      <c r="P80" s="1">
        <f t="shared" si="30"/>
        <v>40.6</v>
      </c>
      <c r="Q80" s="5">
        <f>16*P80-O80-F80</f>
        <v>119.60000000000002</v>
      </c>
      <c r="R80" s="5">
        <f t="shared" ref="R80:R90" si="34">AG80*AH80</f>
        <v>168</v>
      </c>
      <c r="S80" s="1">
        <f t="shared" si="31"/>
        <v>17.192118226600986</v>
      </c>
      <c r="T80" s="1">
        <f t="shared" si="32"/>
        <v>13.054187192118226</v>
      </c>
      <c r="U80" s="1">
        <v>19.8</v>
      </c>
      <c r="V80" s="1">
        <v>15.8</v>
      </c>
      <c r="W80" s="1">
        <v>34.200000000000003</v>
      </c>
      <c r="X80" s="1">
        <v>46.4</v>
      </c>
      <c r="Y80" s="1">
        <v>26</v>
      </c>
      <c r="Z80" s="1">
        <v>28</v>
      </c>
      <c r="AA80" s="1">
        <v>29.4</v>
      </c>
      <c r="AB80" s="1">
        <v>39.799999999999997</v>
      </c>
      <c r="AC80" s="1">
        <v>42.2</v>
      </c>
      <c r="AD80" s="1">
        <v>19</v>
      </c>
      <c r="AE80" s="1"/>
      <c r="AF80" s="1">
        <f t="shared" ref="AF80:AF90" si="35">G80*Q80</f>
        <v>35.880000000000003</v>
      </c>
      <c r="AG80" s="7">
        <v>12</v>
      </c>
      <c r="AH80" s="9">
        <f t="shared" ref="AH80:AH90" si="36">MROUND(Q80, AG80*AJ80)/AG80</f>
        <v>14</v>
      </c>
      <c r="AI80" s="1">
        <f t="shared" ref="AI80:AI90" si="37">AH80*AG80*G80</f>
        <v>50.4</v>
      </c>
      <c r="AJ80" s="1">
        <v>14</v>
      </c>
      <c r="AK80" s="1">
        <v>70</v>
      </c>
      <c r="AL80" s="9">
        <f t="shared" ref="AL80:AL90" si="38">AH80/AK80</f>
        <v>0.2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21" t="s">
        <v>183</v>
      </c>
      <c r="B81" s="1" t="s">
        <v>42</v>
      </c>
      <c r="C81" s="1">
        <v>244</v>
      </c>
      <c r="D81" s="1">
        <v>686</v>
      </c>
      <c r="E81" s="1">
        <v>456</v>
      </c>
      <c r="F81" s="1">
        <v>325</v>
      </c>
      <c r="G81" s="7">
        <v>0.3</v>
      </c>
      <c r="H81" s="1">
        <v>180</v>
      </c>
      <c r="I81" s="1" t="s">
        <v>184</v>
      </c>
      <c r="J81" s="1"/>
      <c r="K81" s="1">
        <v>475</v>
      </c>
      <c r="L81" s="1">
        <f t="shared" si="29"/>
        <v>-19</v>
      </c>
      <c r="M81" s="1"/>
      <c r="N81" s="1"/>
      <c r="O81" s="1">
        <v>0</v>
      </c>
      <c r="P81" s="1">
        <f t="shared" si="30"/>
        <v>91.2</v>
      </c>
      <c r="Q81" s="5">
        <f t="shared" ref="Q80:Q90" si="39">14*P81-O81-F81</f>
        <v>951.8</v>
      </c>
      <c r="R81" s="5">
        <f t="shared" si="34"/>
        <v>1008</v>
      </c>
      <c r="S81" s="1">
        <f t="shared" si="31"/>
        <v>14.616228070175438</v>
      </c>
      <c r="T81" s="1">
        <f t="shared" si="32"/>
        <v>3.5635964912280702</v>
      </c>
      <c r="U81" s="1">
        <v>21.2</v>
      </c>
      <c r="V81" s="1">
        <v>58.6</v>
      </c>
      <c r="W81" s="1">
        <v>79.8</v>
      </c>
      <c r="X81" s="1">
        <v>41.6</v>
      </c>
      <c r="Y81" s="1">
        <v>23.8</v>
      </c>
      <c r="Z81" s="1">
        <v>33.799999999999997</v>
      </c>
      <c r="AA81" s="1">
        <v>28</v>
      </c>
      <c r="AB81" s="1">
        <v>36.6</v>
      </c>
      <c r="AC81" s="1">
        <v>32.799999999999997</v>
      </c>
      <c r="AD81" s="1">
        <v>25.4</v>
      </c>
      <c r="AE81" s="1"/>
      <c r="AF81" s="1">
        <f t="shared" si="35"/>
        <v>285.53999999999996</v>
      </c>
      <c r="AG81" s="7">
        <v>12</v>
      </c>
      <c r="AH81" s="9">
        <f t="shared" si="36"/>
        <v>84</v>
      </c>
      <c r="AI81" s="1">
        <f t="shared" si="37"/>
        <v>302.39999999999998</v>
      </c>
      <c r="AJ81" s="1">
        <v>14</v>
      </c>
      <c r="AK81" s="1">
        <v>70</v>
      </c>
      <c r="AL81" s="9">
        <f t="shared" si="38"/>
        <v>1.2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21" t="s">
        <v>168</v>
      </c>
      <c r="B82" s="1" t="s">
        <v>42</v>
      </c>
      <c r="C82" s="1">
        <v>4</v>
      </c>
      <c r="D82" s="1"/>
      <c r="E82" s="19">
        <f>4+E71</f>
        <v>52</v>
      </c>
      <c r="F82" s="19">
        <f>0+F71</f>
        <v>312</v>
      </c>
      <c r="G82" s="7">
        <v>0.3</v>
      </c>
      <c r="H82" s="1">
        <v>180</v>
      </c>
      <c r="I82" s="1" t="s">
        <v>185</v>
      </c>
      <c r="J82" s="1"/>
      <c r="K82" s="1">
        <v>4</v>
      </c>
      <c r="L82" s="1">
        <f t="shared" si="29"/>
        <v>48</v>
      </c>
      <c r="M82" s="1"/>
      <c r="N82" s="1"/>
      <c r="O82" s="1">
        <v>0</v>
      </c>
      <c r="P82" s="1">
        <f t="shared" si="30"/>
        <v>10.4</v>
      </c>
      <c r="Q82" s="5"/>
      <c r="R82" s="5">
        <f t="shared" si="34"/>
        <v>0</v>
      </c>
      <c r="S82" s="1">
        <f t="shared" si="31"/>
        <v>30</v>
      </c>
      <c r="T82" s="1">
        <f t="shared" si="32"/>
        <v>30</v>
      </c>
      <c r="U82" s="1">
        <v>7</v>
      </c>
      <c r="V82" s="1">
        <v>5.8</v>
      </c>
      <c r="W82" s="1">
        <v>4.4000000000000004</v>
      </c>
      <c r="X82" s="1">
        <v>5.4</v>
      </c>
      <c r="Y82" s="1">
        <v>2.6</v>
      </c>
      <c r="Z82" s="1">
        <v>7</v>
      </c>
      <c r="AA82" s="1">
        <v>5.8</v>
      </c>
      <c r="AB82" s="1">
        <v>4.2</v>
      </c>
      <c r="AC82" s="1">
        <v>11.2</v>
      </c>
      <c r="AD82" s="1">
        <v>3.8</v>
      </c>
      <c r="AE82" s="23" t="s">
        <v>61</v>
      </c>
      <c r="AF82" s="1">
        <f t="shared" si="35"/>
        <v>0</v>
      </c>
      <c r="AG82" s="7">
        <v>14</v>
      </c>
      <c r="AH82" s="9">
        <f t="shared" si="36"/>
        <v>0</v>
      </c>
      <c r="AI82" s="1">
        <f t="shared" si="37"/>
        <v>0</v>
      </c>
      <c r="AJ82" s="1">
        <v>14</v>
      </c>
      <c r="AK82" s="1">
        <v>70</v>
      </c>
      <c r="AL82" s="9">
        <f t="shared" si="38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21" t="s">
        <v>186</v>
      </c>
      <c r="B83" s="1" t="s">
        <v>42</v>
      </c>
      <c r="C83" s="1">
        <v>7</v>
      </c>
      <c r="D83" s="1">
        <v>168</v>
      </c>
      <c r="E83" s="1">
        <v>17</v>
      </c>
      <c r="F83" s="1">
        <v>138</v>
      </c>
      <c r="G83" s="7">
        <v>0.22</v>
      </c>
      <c r="H83" s="1"/>
      <c r="I83" s="1" t="s">
        <v>187</v>
      </c>
      <c r="J83" s="1"/>
      <c r="K83" s="1">
        <v>15</v>
      </c>
      <c r="L83" s="1">
        <f t="shared" si="29"/>
        <v>2</v>
      </c>
      <c r="M83" s="1"/>
      <c r="N83" s="1"/>
      <c r="O83" s="1">
        <v>336</v>
      </c>
      <c r="P83" s="1">
        <f t="shared" si="30"/>
        <v>3.4</v>
      </c>
      <c r="Q83" s="5"/>
      <c r="R83" s="5">
        <f t="shared" si="34"/>
        <v>0</v>
      </c>
      <c r="S83" s="1">
        <f t="shared" si="31"/>
        <v>139.41176470588235</v>
      </c>
      <c r="T83" s="1">
        <f t="shared" si="32"/>
        <v>139.41176470588235</v>
      </c>
      <c r="U83" s="1">
        <v>13.2</v>
      </c>
      <c r="V83" s="1">
        <v>9</v>
      </c>
      <c r="W83" s="1">
        <v>9.1999999999999993</v>
      </c>
      <c r="X83" s="1">
        <v>6.4</v>
      </c>
      <c r="Y83" s="1">
        <v>8.4</v>
      </c>
      <c r="Z83" s="1">
        <v>9</v>
      </c>
      <c r="AA83" s="1">
        <v>7.8</v>
      </c>
      <c r="AB83" s="1">
        <v>11.8</v>
      </c>
      <c r="AC83" s="1">
        <v>13.6</v>
      </c>
      <c r="AD83" s="1">
        <v>16.8</v>
      </c>
      <c r="AE83" s="1"/>
      <c r="AF83" s="1">
        <f t="shared" si="35"/>
        <v>0</v>
      </c>
      <c r="AG83" s="7">
        <v>6</v>
      </c>
      <c r="AH83" s="9">
        <f t="shared" si="36"/>
        <v>0</v>
      </c>
      <c r="AI83" s="1">
        <f t="shared" si="37"/>
        <v>0</v>
      </c>
      <c r="AJ83" s="1">
        <v>14</v>
      </c>
      <c r="AK83" s="1">
        <v>140</v>
      </c>
      <c r="AL83" s="9">
        <f t="shared" si="38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22" t="s">
        <v>171</v>
      </c>
      <c r="B84" s="1" t="s">
        <v>42</v>
      </c>
      <c r="C84" s="1">
        <v>523</v>
      </c>
      <c r="D84" s="1">
        <v>72</v>
      </c>
      <c r="E84" s="19">
        <f>519+E73</f>
        <v>551</v>
      </c>
      <c r="F84" s="19">
        <f>0+F73</f>
        <v>426</v>
      </c>
      <c r="G84" s="7">
        <v>0.25</v>
      </c>
      <c r="H84" s="1">
        <v>180</v>
      </c>
      <c r="I84" s="1" t="s">
        <v>188</v>
      </c>
      <c r="J84" s="1"/>
      <c r="K84" s="1">
        <v>511</v>
      </c>
      <c r="L84" s="1">
        <f t="shared" si="29"/>
        <v>40</v>
      </c>
      <c r="M84" s="1"/>
      <c r="N84" s="1"/>
      <c r="O84" s="1">
        <v>336</v>
      </c>
      <c r="P84" s="1">
        <f t="shared" si="30"/>
        <v>110.2</v>
      </c>
      <c r="Q84" s="5">
        <f t="shared" si="39"/>
        <v>780.8</v>
      </c>
      <c r="R84" s="5">
        <f t="shared" si="34"/>
        <v>840</v>
      </c>
      <c r="S84" s="1">
        <f t="shared" si="31"/>
        <v>14.537205081669692</v>
      </c>
      <c r="T84" s="1">
        <f t="shared" si="32"/>
        <v>6.9147005444646092</v>
      </c>
      <c r="U84" s="1">
        <v>32.6</v>
      </c>
      <c r="V84" s="1">
        <v>58.2</v>
      </c>
      <c r="W84" s="1">
        <v>78.8</v>
      </c>
      <c r="X84" s="1">
        <v>51.8</v>
      </c>
      <c r="Y84" s="1">
        <v>30.4</v>
      </c>
      <c r="Z84" s="1">
        <v>48.8</v>
      </c>
      <c r="AA84" s="1">
        <v>63.6</v>
      </c>
      <c r="AB84" s="1">
        <v>49.8</v>
      </c>
      <c r="AC84" s="1">
        <v>57</v>
      </c>
      <c r="AD84" s="1">
        <v>76.8</v>
      </c>
      <c r="AE84" s="1"/>
      <c r="AF84" s="1">
        <f t="shared" si="35"/>
        <v>195.2</v>
      </c>
      <c r="AG84" s="7">
        <v>12</v>
      </c>
      <c r="AH84" s="9">
        <f t="shared" si="36"/>
        <v>70</v>
      </c>
      <c r="AI84" s="1">
        <f t="shared" si="37"/>
        <v>210</v>
      </c>
      <c r="AJ84" s="1">
        <v>14</v>
      </c>
      <c r="AK84" s="1">
        <v>70</v>
      </c>
      <c r="AL84" s="9">
        <f t="shared" si="38"/>
        <v>1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21" t="s">
        <v>50</v>
      </c>
      <c r="B85" s="1" t="s">
        <v>42</v>
      </c>
      <c r="C85" s="1"/>
      <c r="D85" s="1">
        <v>8</v>
      </c>
      <c r="E85" s="19">
        <f>8+E12</f>
        <v>326</v>
      </c>
      <c r="F85" s="19">
        <f>0+F9+F12</f>
        <v>936</v>
      </c>
      <c r="G85" s="7">
        <v>0.25</v>
      </c>
      <c r="H85" s="1">
        <v>180</v>
      </c>
      <c r="I85" s="1" t="s">
        <v>189</v>
      </c>
      <c r="J85" s="1"/>
      <c r="K85" s="1">
        <v>8</v>
      </c>
      <c r="L85" s="1">
        <f t="shared" si="29"/>
        <v>318</v>
      </c>
      <c r="M85" s="1"/>
      <c r="N85" s="1"/>
      <c r="O85" s="1">
        <v>336</v>
      </c>
      <c r="P85" s="1">
        <f t="shared" si="30"/>
        <v>65.2</v>
      </c>
      <c r="Q85" s="5"/>
      <c r="R85" s="5">
        <f t="shared" si="34"/>
        <v>0</v>
      </c>
      <c r="S85" s="1">
        <f t="shared" si="31"/>
        <v>19.509202453987729</v>
      </c>
      <c r="T85" s="1">
        <f t="shared" si="32"/>
        <v>19.509202453987729</v>
      </c>
      <c r="U85" s="1">
        <v>18.2</v>
      </c>
      <c r="V85" s="1">
        <v>55.4</v>
      </c>
      <c r="W85" s="1">
        <v>88</v>
      </c>
      <c r="X85" s="1">
        <v>49</v>
      </c>
      <c r="Y85" s="1">
        <v>40.799999999999997</v>
      </c>
      <c r="Z85" s="1">
        <v>59.4</v>
      </c>
      <c r="AA85" s="1">
        <v>61.2</v>
      </c>
      <c r="AB85" s="1">
        <v>62.2</v>
      </c>
      <c r="AC85" s="1">
        <v>56</v>
      </c>
      <c r="AD85" s="1">
        <v>62.8</v>
      </c>
      <c r="AE85" s="1"/>
      <c r="AF85" s="1">
        <f t="shared" si="35"/>
        <v>0</v>
      </c>
      <c r="AG85" s="7">
        <v>12</v>
      </c>
      <c r="AH85" s="9">
        <f t="shared" si="36"/>
        <v>0</v>
      </c>
      <c r="AI85" s="1">
        <f t="shared" si="37"/>
        <v>0</v>
      </c>
      <c r="AJ85" s="1">
        <v>14</v>
      </c>
      <c r="AK85" s="1">
        <v>70</v>
      </c>
      <c r="AL85" s="9">
        <f t="shared" si="38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21" t="s">
        <v>190</v>
      </c>
      <c r="B86" s="1" t="s">
        <v>42</v>
      </c>
      <c r="C86" s="1">
        <v>120</v>
      </c>
      <c r="D86" s="1">
        <v>6</v>
      </c>
      <c r="E86" s="1">
        <v>101</v>
      </c>
      <c r="F86" s="1">
        <v>10</v>
      </c>
      <c r="G86" s="7">
        <v>0.2</v>
      </c>
      <c r="H86" s="1">
        <v>365</v>
      </c>
      <c r="I86" s="1" t="s">
        <v>191</v>
      </c>
      <c r="J86" s="1"/>
      <c r="K86" s="1">
        <v>99</v>
      </c>
      <c r="L86" s="1">
        <f t="shared" si="29"/>
        <v>2</v>
      </c>
      <c r="M86" s="1"/>
      <c r="N86" s="1"/>
      <c r="O86" s="1">
        <v>336</v>
      </c>
      <c r="P86" s="1">
        <f t="shared" si="30"/>
        <v>20.2</v>
      </c>
      <c r="Q86" s="5"/>
      <c r="R86" s="5">
        <f t="shared" si="34"/>
        <v>0</v>
      </c>
      <c r="S86" s="1">
        <f t="shared" si="31"/>
        <v>17.128712871287128</v>
      </c>
      <c r="T86" s="1">
        <f t="shared" si="32"/>
        <v>17.128712871287128</v>
      </c>
      <c r="U86" s="1">
        <v>22.8</v>
      </c>
      <c r="V86" s="1">
        <v>17.2</v>
      </c>
      <c r="W86" s="1">
        <v>10</v>
      </c>
      <c r="X86" s="1">
        <v>13</v>
      </c>
      <c r="Y86" s="1">
        <v>8.1999999999999993</v>
      </c>
      <c r="Z86" s="1">
        <v>8.8000000000000007</v>
      </c>
      <c r="AA86" s="1">
        <v>7.6</v>
      </c>
      <c r="AB86" s="1">
        <v>8.6</v>
      </c>
      <c r="AC86" s="1">
        <v>11.4</v>
      </c>
      <c r="AD86" s="1">
        <v>14</v>
      </c>
      <c r="AE86" s="1"/>
      <c r="AF86" s="1">
        <f t="shared" si="35"/>
        <v>0</v>
      </c>
      <c r="AG86" s="7">
        <v>6</v>
      </c>
      <c r="AH86" s="9">
        <f t="shared" si="36"/>
        <v>0</v>
      </c>
      <c r="AI86" s="1">
        <f t="shared" si="37"/>
        <v>0</v>
      </c>
      <c r="AJ86" s="1">
        <v>14</v>
      </c>
      <c r="AK86" s="1">
        <v>140</v>
      </c>
      <c r="AL86" s="9">
        <f t="shared" si="38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21" t="s">
        <v>192</v>
      </c>
      <c r="B87" s="1" t="s">
        <v>42</v>
      </c>
      <c r="C87" s="1"/>
      <c r="D87" s="1">
        <v>336</v>
      </c>
      <c r="E87" s="1">
        <v>124</v>
      </c>
      <c r="F87" s="1">
        <v>108</v>
      </c>
      <c r="G87" s="7">
        <v>0.23</v>
      </c>
      <c r="H87" s="1">
        <v>180</v>
      </c>
      <c r="I87" s="1" t="s">
        <v>193</v>
      </c>
      <c r="J87" s="1"/>
      <c r="K87" s="1">
        <v>124</v>
      </c>
      <c r="L87" s="1">
        <f t="shared" si="29"/>
        <v>0</v>
      </c>
      <c r="M87" s="1"/>
      <c r="N87" s="1"/>
      <c r="O87" s="1">
        <v>84</v>
      </c>
      <c r="P87" s="1">
        <f t="shared" si="30"/>
        <v>24.8</v>
      </c>
      <c r="Q87" s="5">
        <f t="shared" si="39"/>
        <v>155.19999999999999</v>
      </c>
      <c r="R87" s="5">
        <f t="shared" si="34"/>
        <v>168</v>
      </c>
      <c r="S87" s="1">
        <f t="shared" si="31"/>
        <v>14.516129032258064</v>
      </c>
      <c r="T87" s="1">
        <f t="shared" si="32"/>
        <v>7.7419354838709671</v>
      </c>
      <c r="U87" s="1">
        <v>0.4</v>
      </c>
      <c r="V87" s="1">
        <v>21.8</v>
      </c>
      <c r="W87" s="1">
        <v>32.4</v>
      </c>
      <c r="X87" s="1">
        <v>0.8</v>
      </c>
      <c r="Y87" s="1">
        <v>7.6</v>
      </c>
      <c r="Z87" s="1">
        <v>14.8</v>
      </c>
      <c r="AA87" s="1">
        <v>15</v>
      </c>
      <c r="AB87" s="1">
        <v>5.6</v>
      </c>
      <c r="AC87" s="1">
        <v>10.199999999999999</v>
      </c>
      <c r="AD87" s="1">
        <v>12.6</v>
      </c>
      <c r="AE87" s="1"/>
      <c r="AF87" s="1">
        <f t="shared" si="35"/>
        <v>35.695999999999998</v>
      </c>
      <c r="AG87" s="7">
        <v>6</v>
      </c>
      <c r="AH87" s="9">
        <f t="shared" si="36"/>
        <v>28</v>
      </c>
      <c r="AI87" s="1">
        <f t="shared" si="37"/>
        <v>38.64</v>
      </c>
      <c r="AJ87" s="1">
        <v>14</v>
      </c>
      <c r="AK87" s="1">
        <v>140</v>
      </c>
      <c r="AL87" s="9">
        <f t="shared" si="38"/>
        <v>0.2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21" t="s">
        <v>194</v>
      </c>
      <c r="B88" s="1" t="s">
        <v>42</v>
      </c>
      <c r="C88" s="1">
        <v>379</v>
      </c>
      <c r="D88" s="1">
        <v>169</v>
      </c>
      <c r="E88" s="1">
        <v>176</v>
      </c>
      <c r="F88" s="1">
        <v>352</v>
      </c>
      <c r="G88" s="7">
        <v>0.23</v>
      </c>
      <c r="H88" s="1"/>
      <c r="I88" s="1" t="s">
        <v>187</v>
      </c>
      <c r="J88" s="1"/>
      <c r="K88" s="1">
        <v>170</v>
      </c>
      <c r="L88" s="1">
        <f t="shared" si="29"/>
        <v>6</v>
      </c>
      <c r="M88" s="1"/>
      <c r="N88" s="1"/>
      <c r="O88" s="1">
        <v>0</v>
      </c>
      <c r="P88" s="1">
        <f t="shared" si="30"/>
        <v>35.200000000000003</v>
      </c>
      <c r="Q88" s="5">
        <f t="shared" si="39"/>
        <v>140.80000000000007</v>
      </c>
      <c r="R88" s="5">
        <f t="shared" si="34"/>
        <v>168</v>
      </c>
      <c r="S88" s="1">
        <f t="shared" si="31"/>
        <v>14.772727272727272</v>
      </c>
      <c r="T88" s="1">
        <f t="shared" si="32"/>
        <v>10</v>
      </c>
      <c r="U88" s="1">
        <v>10.6</v>
      </c>
      <c r="V88" s="1">
        <v>4.8</v>
      </c>
      <c r="W88" s="1">
        <v>17.2</v>
      </c>
      <c r="X88" s="1">
        <v>27</v>
      </c>
      <c r="Y88" s="1">
        <v>12.8</v>
      </c>
      <c r="Z88" s="1">
        <v>18.399999999999999</v>
      </c>
      <c r="AA88" s="1">
        <v>27.2</v>
      </c>
      <c r="AB88" s="1">
        <v>30.2</v>
      </c>
      <c r="AC88" s="1">
        <v>27.2</v>
      </c>
      <c r="AD88" s="1">
        <v>12.4</v>
      </c>
      <c r="AE88" s="1"/>
      <c r="AF88" s="1">
        <f t="shared" si="35"/>
        <v>32.384000000000015</v>
      </c>
      <c r="AG88" s="7">
        <v>6</v>
      </c>
      <c r="AH88" s="9">
        <f t="shared" si="36"/>
        <v>28</v>
      </c>
      <c r="AI88" s="1">
        <f t="shared" si="37"/>
        <v>38.64</v>
      </c>
      <c r="AJ88" s="1">
        <v>14</v>
      </c>
      <c r="AK88" s="1">
        <v>140</v>
      </c>
      <c r="AL88" s="9">
        <f t="shared" si="38"/>
        <v>0.2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21" t="s">
        <v>195</v>
      </c>
      <c r="B89" s="1" t="s">
        <v>96</v>
      </c>
      <c r="C89" s="1">
        <v>361.7</v>
      </c>
      <c r="D89" s="1">
        <v>21.7</v>
      </c>
      <c r="E89" s="1">
        <v>172.8</v>
      </c>
      <c r="F89" s="1">
        <v>186.3</v>
      </c>
      <c r="G89" s="7">
        <v>1</v>
      </c>
      <c r="H89" s="1">
        <v>180</v>
      </c>
      <c r="I89" s="1" t="s">
        <v>196</v>
      </c>
      <c r="J89" s="1"/>
      <c r="K89" s="1">
        <v>173.5</v>
      </c>
      <c r="L89" s="1">
        <f t="shared" si="29"/>
        <v>-0.69999999999998863</v>
      </c>
      <c r="M89" s="1"/>
      <c r="N89" s="1"/>
      <c r="O89" s="1">
        <v>0</v>
      </c>
      <c r="P89" s="1">
        <f t="shared" si="30"/>
        <v>34.56</v>
      </c>
      <c r="Q89" s="5">
        <f t="shared" si="39"/>
        <v>297.54000000000002</v>
      </c>
      <c r="R89" s="5">
        <f t="shared" si="34"/>
        <v>302.40000000000003</v>
      </c>
      <c r="S89" s="1">
        <f t="shared" si="31"/>
        <v>14.140625</v>
      </c>
      <c r="T89" s="1">
        <f t="shared" si="32"/>
        <v>5.390625</v>
      </c>
      <c r="U89" s="1">
        <v>20.52</v>
      </c>
      <c r="V89" s="1">
        <v>17.82</v>
      </c>
      <c r="W89" s="1">
        <v>12.92</v>
      </c>
      <c r="X89" s="1">
        <v>28.08</v>
      </c>
      <c r="Y89" s="1">
        <v>10.8</v>
      </c>
      <c r="Z89" s="1">
        <v>7.56</v>
      </c>
      <c r="AA89" s="1">
        <v>21.6</v>
      </c>
      <c r="AB89" s="1">
        <v>44.82</v>
      </c>
      <c r="AC89" s="1">
        <v>10.26</v>
      </c>
      <c r="AD89" s="1">
        <v>16.739999999999998</v>
      </c>
      <c r="AE89" s="1"/>
      <c r="AF89" s="1">
        <f t="shared" si="35"/>
        <v>297.54000000000002</v>
      </c>
      <c r="AG89" s="7">
        <v>2.7</v>
      </c>
      <c r="AH89" s="9">
        <f t="shared" si="36"/>
        <v>112</v>
      </c>
      <c r="AI89" s="1">
        <f t="shared" si="37"/>
        <v>302.40000000000003</v>
      </c>
      <c r="AJ89" s="1">
        <v>14</v>
      </c>
      <c r="AK89" s="1">
        <v>126</v>
      </c>
      <c r="AL89" s="9">
        <f t="shared" si="38"/>
        <v>0.88888888888888884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21" t="s">
        <v>197</v>
      </c>
      <c r="B90" s="1" t="s">
        <v>96</v>
      </c>
      <c r="C90" s="1"/>
      <c r="D90" s="1"/>
      <c r="E90" s="19">
        <f>0+E91</f>
        <v>305</v>
      </c>
      <c r="F90" s="19">
        <f>0+F91</f>
        <v>480</v>
      </c>
      <c r="G90" s="7">
        <v>1</v>
      </c>
      <c r="H90" s="1">
        <v>180</v>
      </c>
      <c r="I90" s="1" t="s">
        <v>198</v>
      </c>
      <c r="J90" s="1"/>
      <c r="K90" s="1"/>
      <c r="L90" s="1">
        <f t="shared" si="29"/>
        <v>305</v>
      </c>
      <c r="M90" s="1"/>
      <c r="N90" s="1"/>
      <c r="O90" s="1">
        <v>840</v>
      </c>
      <c r="P90" s="1">
        <f t="shared" si="30"/>
        <v>61</v>
      </c>
      <c r="Q90" s="5"/>
      <c r="R90" s="5">
        <f t="shared" si="34"/>
        <v>0</v>
      </c>
      <c r="S90" s="1">
        <f t="shared" si="31"/>
        <v>21.639344262295083</v>
      </c>
      <c r="T90" s="1">
        <f t="shared" si="32"/>
        <v>21.639344262295083</v>
      </c>
      <c r="U90" s="1">
        <v>59</v>
      </c>
      <c r="V90" s="1">
        <v>62</v>
      </c>
      <c r="W90" s="1">
        <v>90</v>
      </c>
      <c r="X90" s="1">
        <v>38</v>
      </c>
      <c r="Y90" s="1">
        <v>67</v>
      </c>
      <c r="Z90" s="1">
        <v>73</v>
      </c>
      <c r="AA90" s="1">
        <v>54</v>
      </c>
      <c r="AB90" s="1">
        <v>1</v>
      </c>
      <c r="AC90" s="1">
        <v>63</v>
      </c>
      <c r="AD90" s="1">
        <v>52</v>
      </c>
      <c r="AE90" s="1"/>
      <c r="AF90" s="1">
        <f t="shared" si="35"/>
        <v>0</v>
      </c>
      <c r="AG90" s="7">
        <v>5</v>
      </c>
      <c r="AH90" s="9">
        <f t="shared" si="36"/>
        <v>0</v>
      </c>
      <c r="AI90" s="1">
        <f t="shared" si="37"/>
        <v>0</v>
      </c>
      <c r="AJ90" s="1">
        <v>12</v>
      </c>
      <c r="AK90" s="1">
        <v>84</v>
      </c>
      <c r="AL90" s="9">
        <f t="shared" si="38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4" t="s">
        <v>199</v>
      </c>
      <c r="B91" s="14" t="s">
        <v>96</v>
      </c>
      <c r="C91" s="14">
        <v>10</v>
      </c>
      <c r="D91" s="14">
        <v>855</v>
      </c>
      <c r="E91" s="19">
        <v>305</v>
      </c>
      <c r="F91" s="19">
        <v>480</v>
      </c>
      <c r="G91" s="15">
        <v>0</v>
      </c>
      <c r="H91" s="14">
        <v>180</v>
      </c>
      <c r="I91" s="14" t="s">
        <v>58</v>
      </c>
      <c r="J91" s="14" t="s">
        <v>197</v>
      </c>
      <c r="K91" s="14">
        <v>310</v>
      </c>
      <c r="L91" s="14">
        <f t="shared" si="29"/>
        <v>-5</v>
      </c>
      <c r="M91" s="14"/>
      <c r="N91" s="14"/>
      <c r="O91" s="14"/>
      <c r="P91" s="14">
        <f t="shared" si="30"/>
        <v>61</v>
      </c>
      <c r="Q91" s="16"/>
      <c r="R91" s="16"/>
      <c r="S91" s="14">
        <f t="shared" si="31"/>
        <v>7.8688524590163933</v>
      </c>
      <c r="T91" s="14">
        <f t="shared" si="32"/>
        <v>7.8688524590163933</v>
      </c>
      <c r="U91" s="14">
        <v>59</v>
      </c>
      <c r="V91" s="14">
        <v>62</v>
      </c>
      <c r="W91" s="14">
        <v>90</v>
      </c>
      <c r="X91" s="14">
        <v>38</v>
      </c>
      <c r="Y91" s="14">
        <v>67</v>
      </c>
      <c r="Z91" s="14">
        <v>73</v>
      </c>
      <c r="AA91" s="14">
        <v>54</v>
      </c>
      <c r="AB91" s="14">
        <v>0</v>
      </c>
      <c r="AC91" s="14">
        <v>0</v>
      </c>
      <c r="AD91" s="14">
        <v>1</v>
      </c>
      <c r="AE91" s="14"/>
      <c r="AF91" s="14"/>
      <c r="AG91" s="15"/>
      <c r="AH91" s="17"/>
      <c r="AI91" s="14"/>
      <c r="AJ91" s="14"/>
      <c r="AK91" s="14"/>
      <c r="AL91" s="17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</sheetData>
  <autoFilter ref="A3:AL9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2026-10-29T17:59:21Z</dcterms:created>
  <dcterms:modified xsi:type="dcterms:W3CDTF">2026-10-29T18:09:43Z</dcterms:modified>
</cp:coreProperties>
</file>