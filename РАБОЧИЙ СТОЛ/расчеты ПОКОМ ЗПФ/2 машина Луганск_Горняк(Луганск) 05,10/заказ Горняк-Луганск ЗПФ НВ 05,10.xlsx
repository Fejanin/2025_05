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5,09 Горняк(Луганск) ЗПФ НВ с филиалами на 05,10\"/>
    </mc:Choice>
  </mc:AlternateContent>
  <xr:revisionPtr revIDLastSave="0" documentId="13_ncr:1_{3157DB1A-6AC3-4FCF-9B3D-7A1EB473452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62" i="2" l="1"/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Z254" i="2" s="1"/>
  <c r="Y252" i="2"/>
  <c r="BP252" i="2" s="1"/>
  <c r="P252" i="2"/>
  <c r="X248" i="2"/>
  <c r="X247" i="2"/>
  <c r="BO246" i="2"/>
  <c r="BN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Z205" i="2" s="1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Z157" i="2" s="1"/>
  <c r="Y155" i="2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Y148" i="2"/>
  <c r="Y152" i="2" s="1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Z132" i="2" s="1"/>
  <c r="Y128" i="2"/>
  <c r="P128" i="2"/>
  <c r="X125" i="2"/>
  <c r="Z124" i="2"/>
  <c r="X124" i="2"/>
  <c r="BO123" i="2"/>
  <c r="BM123" i="2"/>
  <c r="Z123" i="2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Y117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N22" i="2"/>
  <c r="BM22" i="2"/>
  <c r="Z22" i="2"/>
  <c r="Y22" i="2"/>
  <c r="BP22" i="2" s="1"/>
  <c r="P22" i="2"/>
  <c r="H10" i="2"/>
  <c r="A9" i="2"/>
  <c r="J9" i="2" s="1"/>
  <c r="D7" i="2"/>
  <c r="Q6" i="2"/>
  <c r="P2" i="2"/>
  <c r="BP71" i="2" l="1"/>
  <c r="Y167" i="2"/>
  <c r="Y184" i="2"/>
  <c r="Y185" i="2"/>
  <c r="Y227" i="2"/>
  <c r="Y237" i="2"/>
  <c r="Y238" i="2"/>
  <c r="X280" i="2"/>
  <c r="X282" i="2" s="1"/>
  <c r="Y31" i="2"/>
  <c r="BN25" i="2"/>
  <c r="Z43" i="2"/>
  <c r="BN47" i="2"/>
  <c r="Z78" i="2"/>
  <c r="Z89" i="2"/>
  <c r="Z105" i="2"/>
  <c r="Y124" i="2"/>
  <c r="Y132" i="2"/>
  <c r="Y139" i="2"/>
  <c r="Z151" i="2"/>
  <c r="Y157" i="2"/>
  <c r="BN166" i="2"/>
  <c r="Z179" i="2"/>
  <c r="BN183" i="2"/>
  <c r="Z211" i="2"/>
  <c r="BN226" i="2"/>
  <c r="BN232" i="2"/>
  <c r="BN236" i="2"/>
  <c r="BN253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2" i="2" s="1"/>
  <c r="Y283" i="2"/>
  <c r="C292" i="2" l="1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<sst xmlns="http://schemas.openxmlformats.org/spreadsheetml/2006/main" count="1753" uniqueCount="420">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</sst>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4" t="s">
        <v>26</v>
      </c>
      <c r="E1" s="454"/>
      <c r="F1" s="454"/>
      <c r="G1" s="14" t="s">
        <v>70</v>
      </c>
      <c r="H1" s="454" t="s">
        <v>47</v>
      </c>
      <c r="I1" s="454"/>
      <c r="J1" s="454"/>
      <c r="K1" s="454"/>
      <c r="L1" s="454"/>
      <c r="M1" s="454"/>
      <c r="N1" s="454"/>
      <c r="O1" s="454"/>
      <c r="P1" s="454"/>
      <c r="Q1" s="454"/>
      <c r="R1" s="455" t="s">
        <v>71</v>
      </c>
      <c r="S1" s="456"/>
      <c r="T1" s="4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/>
      <c r="R2" s="457"/>
      <c r="S2" s="457"/>
      <c r="T2" s="457"/>
      <c r="U2" s="457"/>
      <c r="V2" s="457"/>
      <c r="W2" s="4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7"/>
      <c r="Q3" s="457"/>
      <c r="R3" s="457"/>
      <c r="S3" s="457"/>
      <c r="T3" s="457"/>
      <c r="U3" s="457"/>
      <c r="V3" s="457"/>
      <c r="W3" s="4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8"/>
      <c r="E5" s="458"/>
      <c r="F5" s="459" t="s">
        <v>14</v>
      </c>
      <c r="G5" s="459"/>
      <c r="H5" s="458"/>
      <c r="I5" s="458"/>
      <c r="J5" s="458"/>
      <c r="K5" s="458"/>
      <c r="L5" s="458"/>
      <c r="M5" s="458"/>
      <c r="N5" s="72"/>
      <c r="P5" s="26" t="s">
        <v>4</v>
      </c>
      <c r="Q5" s="460"/>
      <c r="R5" s="460"/>
      <c r="T5" s="461" t="s">
        <v>3</v>
      </c>
      <c r="U5" s="462"/>
      <c r="V5" s="463" t="s">
        <v>387</v>
      </c>
      <c r="W5" s="464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 xml:space="preserve"> </v>
      </c>
      <c r="R6" s="438"/>
      <c r="T6" s="439" t="s">
        <v>5</v>
      </c>
      <c r="U6" s="440"/>
      <c r="V6" s="441" t="s">
        <v>73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>
        <f>IFERROR(VLOOKUP(DeliveryAddress,Table,3,0),1)</f>
        <v>1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/>
      <c r="R8" s="434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2" t="str">
        <f>IF(AND($A$9="Тип доверенности/получателя при получении в адресе перегруза:",$D$9="Разовая доверенность"),"Введите ФИО","")</f>
        <v/>
      </c>
      <c r="I9" s="452"/>
      <c r="J9" s="4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2"/>
      <c r="L9" s="452"/>
      <c r="M9" s="452"/>
      <c r="N9" s="70"/>
      <c r="P9" s="29" t="s">
        <v>15</v>
      </c>
      <c r="Q9" s="453">
        <v>46303</v>
      </c>
      <c r="R9" s="453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>
        <v>0.54166666666666663</v>
      </c>
      <c r="R10" s="430"/>
      <c r="U10" s="26" t="s">
        <v>12</v>
      </c>
      <c r="V10" s="431" t="s">
        <v>74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75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76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77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78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hidden="1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hidden="1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hidden="1" customHeight="1" x14ac:dyDescent="0.25">
      <c r="A21" s="302" t="s">
        <v>80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284">
        <v>4620207491713</v>
      </c>
      <c r="E24" s="284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284">
        <v>4620207491720</v>
      </c>
      <c r="E25" s="284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284">
        <v>4607111035912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284">
        <v>4607111035929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284">
        <v>4607111035882</v>
      </c>
      <c r="E28" s="284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284">
        <v>4607111035905</v>
      </c>
      <c r="E29" s="284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2"/>
      <c r="P31" s="288" t="s">
        <v>40</v>
      </c>
      <c r="Q31" s="289"/>
      <c r="R31" s="289"/>
      <c r="S31" s="289"/>
      <c r="T31" s="289"/>
      <c r="U31" s="289"/>
      <c r="V31" s="29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hidden="1" customHeight="1" x14ac:dyDescent="0.25">
      <c r="A33" s="302" t="s">
        <v>80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284">
        <v>4607111039019</v>
      </c>
      <c r="E34" s="284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284">
        <v>4607111038708</v>
      </c>
      <c r="E35" s="284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88" t="s">
        <v>40</v>
      </c>
      <c r="Q37" s="289"/>
      <c r="R37" s="289"/>
      <c r="S37" s="289"/>
      <c r="T37" s="289"/>
      <c r="U37" s="289"/>
      <c r="V37" s="29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hidden="1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hidden="1" customHeight="1" x14ac:dyDescent="0.25">
      <c r="A40" s="302" t="s">
        <v>111</v>
      </c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284">
        <v>4607111036537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284">
        <v>4607111036605</v>
      </c>
      <c r="E42" s="284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2"/>
      <c r="P44" s="288" t="s">
        <v>40</v>
      </c>
      <c r="Q44" s="289"/>
      <c r="R44" s="289"/>
      <c r="S44" s="289"/>
      <c r="T44" s="289"/>
      <c r="U44" s="289"/>
      <c r="V44" s="29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hidden="1" customHeight="1" x14ac:dyDescent="0.25">
      <c r="A46" s="302" t="s">
        <v>80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284">
        <v>4620207490075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284">
        <v>4620207490174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hidden="1" customHeight="1" x14ac:dyDescent="0.25">
      <c r="A52" s="302" t="s">
        <v>80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hidden="1" customHeight="1" x14ac:dyDescent="0.25">
      <c r="A60" s="302" t="s">
        <v>111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284">
        <v>4607111039712</v>
      </c>
      <c r="E61" s="284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2" t="s">
        <v>143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284">
        <v>4607111037398</v>
      </c>
      <c r="E65" s="284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2"/>
      <c r="P66" s="288" t="s">
        <v>40</v>
      </c>
      <c r="Q66" s="289"/>
      <c r="R66" s="289"/>
      <c r="S66" s="289"/>
      <c r="T66" s="289"/>
      <c r="U66" s="289"/>
      <c r="V66" s="29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02" t="s">
        <v>147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284">
        <v>4607111039705</v>
      </c>
      <c r="E69" s="284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284">
        <v>4607111039729</v>
      </c>
      <c r="E70" s="284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284">
        <v>4620207490228</v>
      </c>
      <c r="E71" s="284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2"/>
      <c r="P72" s="288" t="s">
        <v>40</v>
      </c>
      <c r="Q72" s="289"/>
      <c r="R72" s="289"/>
      <c r="S72" s="289"/>
      <c r="T72" s="289"/>
      <c r="U72" s="289"/>
      <c r="V72" s="290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2"/>
      <c r="P73" s="288" t="s">
        <v>40</v>
      </c>
      <c r="Q73" s="289"/>
      <c r="R73" s="289"/>
      <c r="S73" s="289"/>
      <c r="T73" s="289"/>
      <c r="U73" s="289"/>
      <c r="V73" s="290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14" t="s">
        <v>155</v>
      </c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62"/>
      <c r="AB74" s="62"/>
      <c r="AC74" s="62"/>
    </row>
    <row r="75" spans="1:68" ht="14.25" hidden="1" customHeight="1" x14ac:dyDescent="0.25">
      <c r="A75" s="302" t="s">
        <v>80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284">
        <v>4607111037411</v>
      </c>
      <c r="E76" s="284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284">
        <v>4607111036728</v>
      </c>
      <c r="E77" s="284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2"/>
      <c r="P78" s="288" t="s">
        <v>40</v>
      </c>
      <c r="Q78" s="289"/>
      <c r="R78" s="289"/>
      <c r="S78" s="289"/>
      <c r="T78" s="289"/>
      <c r="U78" s="289"/>
      <c r="V78" s="290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288" t="s">
        <v>40</v>
      </c>
      <c r="Q79" s="289"/>
      <c r="R79" s="289"/>
      <c r="S79" s="289"/>
      <c r="T79" s="289"/>
      <c r="U79" s="289"/>
      <c r="V79" s="290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14" t="s">
        <v>162</v>
      </c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62"/>
      <c r="AB80" s="62"/>
      <c r="AC80" s="62"/>
    </row>
    <row r="81" spans="1:68" ht="14.25" hidden="1" customHeight="1" x14ac:dyDescent="0.25">
      <c r="A81" s="302" t="s">
        <v>147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284">
        <v>4607111033659</v>
      </c>
      <c r="E82" s="284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2"/>
      <c r="P83" s="288" t="s">
        <v>40</v>
      </c>
      <c r="Q83" s="289"/>
      <c r="R83" s="289"/>
      <c r="S83" s="289"/>
      <c r="T83" s="289"/>
      <c r="U83" s="289"/>
      <c r="V83" s="290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14" t="s">
        <v>166</v>
      </c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62"/>
      <c r="AB85" s="62"/>
      <c r="AC85" s="62"/>
    </row>
    <row r="86" spans="1:68" ht="14.25" hidden="1" customHeight="1" x14ac:dyDescent="0.25">
      <c r="A86" s="302" t="s">
        <v>167</v>
      </c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284">
        <v>4607111034120</v>
      </c>
      <c r="E87" s="284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7" t="s">
        <v>46</v>
      </c>
      <c r="V87" s="37" t="s">
        <v>46</v>
      </c>
      <c r="W87" s="38" t="s">
        <v>39</v>
      </c>
      <c r="X87" s="56">
        <v>70</v>
      </c>
      <c r="Y87" s="53">
        <f>IFERROR(IF(X87="","",X87),"")</f>
        <v>70</v>
      </c>
      <c r="Z87" s="39">
        <f>IFERROR(IF(X87="","",X87*0.01788),"")</f>
        <v>1.2516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301.25200000000001</v>
      </c>
      <c r="BN87" s="78">
        <f>IFERROR(Y87*I87,"0")</f>
        <v>301.25200000000001</v>
      </c>
      <c r="BO87" s="78">
        <f>IFERROR(X87/J87,"0")</f>
        <v>1</v>
      </c>
      <c r="BP87" s="78">
        <f>IFERROR(Y87/J87,"0")</f>
        <v>1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284">
        <v>4607111034137</v>
      </c>
      <c r="E88" s="284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x14ac:dyDescent="0.2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2"/>
      <c r="P89" s="288" t="s">
        <v>40</v>
      </c>
      <c r="Q89" s="289"/>
      <c r="R89" s="289"/>
      <c r="S89" s="289"/>
      <c r="T89" s="289"/>
      <c r="U89" s="289"/>
      <c r="V89" s="290"/>
      <c r="W89" s="40" t="s">
        <v>39</v>
      </c>
      <c r="X89" s="41">
        <f>IFERROR(SUM(X87:X88),"0")</f>
        <v>70</v>
      </c>
      <c r="Y89" s="41">
        <f>IFERROR(SUM(Y87:Y88),"0")</f>
        <v>70</v>
      </c>
      <c r="Z89" s="41">
        <f>IFERROR(IF(Z87="",0,Z87),"0")+IFERROR(IF(Z88="",0,Z88),"0")</f>
        <v>1.2516</v>
      </c>
      <c r="AA89" s="64"/>
      <c r="AB89" s="64"/>
      <c r="AC89" s="64"/>
    </row>
    <row r="90" spans="1:68" x14ac:dyDescent="0.2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2"/>
      <c r="P90" s="288" t="s">
        <v>40</v>
      </c>
      <c r="Q90" s="289"/>
      <c r="R90" s="289"/>
      <c r="S90" s="289"/>
      <c r="T90" s="289"/>
      <c r="U90" s="289"/>
      <c r="V90" s="290"/>
      <c r="W90" s="40" t="s">
        <v>0</v>
      </c>
      <c r="X90" s="41">
        <f>IFERROR(SUMPRODUCT(X87:X88*H87:H88),"0")</f>
        <v>252</v>
      </c>
      <c r="Y90" s="41">
        <f>IFERROR(SUMPRODUCT(Y87:Y88*H87:H88),"0")</f>
        <v>252</v>
      </c>
      <c r="Z90" s="40"/>
      <c r="AA90" s="64"/>
      <c r="AB90" s="64"/>
      <c r="AC90" s="64"/>
    </row>
    <row r="91" spans="1:68" ht="16.5" hidden="1" customHeight="1" x14ac:dyDescent="0.25">
      <c r="A91" s="314" t="s">
        <v>174</v>
      </c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62"/>
      <c r="AB91" s="62"/>
      <c r="AC91" s="62"/>
    </row>
    <row r="92" spans="1:68" ht="14.25" hidden="1" customHeight="1" x14ac:dyDescent="0.25">
      <c r="A92" s="302" t="s">
        <v>147</v>
      </c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63"/>
      <c r="AB92" s="63"/>
      <c r="AC92" s="63"/>
    </row>
    <row r="93" spans="1:68" ht="27" customHeight="1" x14ac:dyDescent="0.25">
      <c r="A93" s="60" t="s">
        <v>175</v>
      </c>
      <c r="B93" s="60" t="s">
        <v>176</v>
      </c>
      <c r="C93" s="34">
        <v>4301135763</v>
      </c>
      <c r="D93" s="284">
        <v>4620207491027</v>
      </c>
      <c r="E93" s="284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7" t="s">
        <v>46</v>
      </c>
      <c r="V93" s="37" t="s">
        <v>46</v>
      </c>
      <c r="W93" s="38" t="s">
        <v>39</v>
      </c>
      <c r="X93" s="56">
        <v>70</v>
      </c>
      <c r="Y93" s="53">
        <f t="shared" ref="Y93:Y98" si="6">IFERROR(IF(X93="","",X93),"")</f>
        <v>70</v>
      </c>
      <c r="Z93" s="39">
        <f t="shared" ref="Z93:Z98" si="7">IFERROR(IF(X93="","",X93*0.01788),"")</f>
        <v>1.2516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250.852</v>
      </c>
      <c r="BN93" s="78">
        <f t="shared" ref="BN93:BN98" si="9">IFERROR(Y93*I93,"0")</f>
        <v>250.852</v>
      </c>
      <c r="BO93" s="78">
        <f t="shared" ref="BO93:BO98" si="10">IFERROR(X93/J93,"0")</f>
        <v>1</v>
      </c>
      <c r="BP93" s="78">
        <f t="shared" ref="BP93:BP98" si="11">IFERROR(Y93/J93,"0")</f>
        <v>1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284">
        <v>4620207491621</v>
      </c>
      <c r="E94" s="284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6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284">
        <v>4620207491881</v>
      </c>
      <c r="E95" s="284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6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4301135920</v>
      </c>
      <c r="D96" s="284">
        <v>4620207491577</v>
      </c>
      <c r="E96" s="284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6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284">
        <v>4620207491874</v>
      </c>
      <c r="E97" s="284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6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284">
        <v>4607111036407</v>
      </c>
      <c r="E98" s="284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6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2"/>
      <c r="P99" s="288" t="s">
        <v>40</v>
      </c>
      <c r="Q99" s="289"/>
      <c r="R99" s="289"/>
      <c r="S99" s="289"/>
      <c r="T99" s="289"/>
      <c r="U99" s="289"/>
      <c r="V99" s="290"/>
      <c r="W99" s="40" t="s">
        <v>39</v>
      </c>
      <c r="X99" s="41">
        <f>IFERROR(SUM(X93:X98),"0")</f>
        <v>70</v>
      </c>
      <c r="Y99" s="41">
        <f>IFERROR(SUM(Y93:Y98),"0")</f>
        <v>70</v>
      </c>
      <c r="Z99" s="41">
        <f>IFERROR(IF(Z93="",0,Z93),"0")+IFERROR(IF(Z94="",0,Z94),"0")+IFERROR(IF(Z95="",0,Z95),"0")+IFERROR(IF(Z96="",0,Z96),"0")+IFERROR(IF(Z97="",0,Z97),"0")+IFERROR(IF(Z98="",0,Z98),"0")</f>
        <v>1.2516</v>
      </c>
      <c r="AA99" s="64"/>
      <c r="AB99" s="64"/>
      <c r="AC99" s="64"/>
    </row>
    <row r="100" spans="1:68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2"/>
      <c r="P100" s="288" t="s">
        <v>40</v>
      </c>
      <c r="Q100" s="289"/>
      <c r="R100" s="289"/>
      <c r="S100" s="289"/>
      <c r="T100" s="289"/>
      <c r="U100" s="289"/>
      <c r="V100" s="290"/>
      <c r="W100" s="40" t="s">
        <v>0</v>
      </c>
      <c r="X100" s="41">
        <f>IFERROR(SUMPRODUCT(X93:X98*H93:H98),"0")</f>
        <v>201.6</v>
      </c>
      <c r="Y100" s="41">
        <f>IFERROR(SUMPRODUCT(Y93:Y98*H93:H98),"0")</f>
        <v>201.6</v>
      </c>
      <c r="Z100" s="40"/>
      <c r="AA100" s="64"/>
      <c r="AB100" s="64"/>
      <c r="AC100" s="64"/>
    </row>
    <row r="101" spans="1:68" ht="16.5" hidden="1" customHeight="1" x14ac:dyDescent="0.25">
      <c r="A101" s="314" t="s">
        <v>189</v>
      </c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62"/>
      <c r="AB101" s="62"/>
      <c r="AC101" s="62"/>
    </row>
    <row r="102" spans="1:68" ht="14.25" hidden="1" customHeight="1" x14ac:dyDescent="0.25">
      <c r="A102" s="302" t="s">
        <v>143</v>
      </c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284">
        <v>4620207491652</v>
      </c>
      <c r="E103" s="284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6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284">
        <v>4620207491645</v>
      </c>
      <c r="E104" s="284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6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2"/>
      <c r="P105" s="288" t="s">
        <v>40</v>
      </c>
      <c r="Q105" s="289"/>
      <c r="R105" s="289"/>
      <c r="S105" s="289"/>
      <c r="T105" s="289"/>
      <c r="U105" s="289"/>
      <c r="V105" s="290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4" t="s">
        <v>195</v>
      </c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62"/>
      <c r="AB107" s="62"/>
      <c r="AC107" s="62"/>
    </row>
    <row r="108" spans="1:68" ht="14.25" hidden="1" customHeight="1" x14ac:dyDescent="0.25">
      <c r="A108" s="302" t="s">
        <v>80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284">
        <v>4620207491157</v>
      </c>
      <c r="E109" s="284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5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284">
        <v>4620207491393</v>
      </c>
      <c r="E110" s="284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6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284">
        <v>4607111039262</v>
      </c>
      <c r="E111" s="284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284">
        <v>4607111039248</v>
      </c>
      <c r="E112" s="284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284">
        <v>4607111037145</v>
      </c>
      <c r="E113" s="284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284">
        <v>4607111039293</v>
      </c>
      <c r="E114" s="284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35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284">
        <v>4607111039279</v>
      </c>
      <c r="E115" s="284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3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291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2"/>
      <c r="P116" s="288" t="s">
        <v>40</v>
      </c>
      <c r="Q116" s="289"/>
      <c r="R116" s="289"/>
      <c r="S116" s="289"/>
      <c r="T116" s="289"/>
      <c r="U116" s="289"/>
      <c r="V116" s="290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2"/>
      <c r="P117" s="288" t="s">
        <v>40</v>
      </c>
      <c r="Q117" s="289"/>
      <c r="R117" s="289"/>
      <c r="S117" s="289"/>
      <c r="T117" s="289"/>
      <c r="U117" s="289"/>
      <c r="V117" s="290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02" t="s">
        <v>147</v>
      </c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63"/>
      <c r="AB118" s="63"/>
      <c r="AC118" s="63"/>
    </row>
    <row r="119" spans="1:68" ht="27" customHeight="1" x14ac:dyDescent="0.25">
      <c r="A119" s="60" t="s">
        <v>213</v>
      </c>
      <c r="B119" s="60" t="s">
        <v>214</v>
      </c>
      <c r="C119" s="34">
        <v>4301135826</v>
      </c>
      <c r="D119" s="284">
        <v>4620207490983</v>
      </c>
      <c r="E119" s="284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7" t="s">
        <v>46</v>
      </c>
      <c r="V119" s="37" t="s">
        <v>46</v>
      </c>
      <c r="W119" s="38" t="s">
        <v>39</v>
      </c>
      <c r="X119" s="56">
        <v>28</v>
      </c>
      <c r="Y119" s="53">
        <f>IFERROR(IF(X119="","",X119),"")</f>
        <v>28</v>
      </c>
      <c r="Z119" s="39">
        <f>IFERROR(IF(X119="","",X119*0.01788),"")</f>
        <v>0.50063999999999997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93.620800000000003</v>
      </c>
      <c r="BN119" s="78">
        <f>IFERROR(Y119*I119,"0")</f>
        <v>93.620800000000003</v>
      </c>
      <c r="BO119" s="78">
        <f>IFERROR(X119/J119,"0")</f>
        <v>0.4</v>
      </c>
      <c r="BP119" s="78">
        <f>IFERROR(Y119/J119,"0")</f>
        <v>0.4</v>
      </c>
    </row>
    <row r="120" spans="1:68" x14ac:dyDescent="0.2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2"/>
      <c r="P120" s="288" t="s">
        <v>40</v>
      </c>
      <c r="Q120" s="289"/>
      <c r="R120" s="289"/>
      <c r="S120" s="289"/>
      <c r="T120" s="289"/>
      <c r="U120" s="289"/>
      <c r="V120" s="290"/>
      <c r="W120" s="40" t="s">
        <v>39</v>
      </c>
      <c r="X120" s="41">
        <f>IFERROR(SUM(X119:X119),"0")</f>
        <v>28</v>
      </c>
      <c r="Y120" s="41">
        <f>IFERROR(SUM(Y119:Y119),"0")</f>
        <v>28</v>
      </c>
      <c r="Z120" s="41">
        <f>IFERROR(IF(Z119="",0,Z119),"0")</f>
        <v>0.50063999999999997</v>
      </c>
      <c r="AA120" s="64"/>
      <c r="AB120" s="64"/>
      <c r="AC120" s="64"/>
    </row>
    <row r="121" spans="1:68" x14ac:dyDescent="0.2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2"/>
      <c r="P121" s="288" t="s">
        <v>40</v>
      </c>
      <c r="Q121" s="289"/>
      <c r="R121" s="289"/>
      <c r="S121" s="289"/>
      <c r="T121" s="289"/>
      <c r="U121" s="289"/>
      <c r="V121" s="290"/>
      <c r="W121" s="40" t="s">
        <v>0</v>
      </c>
      <c r="X121" s="41">
        <f>IFERROR(SUMPRODUCT(X119:X119*H119:H119),"0")</f>
        <v>73.92</v>
      </c>
      <c r="Y121" s="41">
        <f>IFERROR(SUMPRODUCT(Y119:Y119*H119:H119),"0")</f>
        <v>73.92</v>
      </c>
      <c r="Z121" s="40"/>
      <c r="AA121" s="64"/>
      <c r="AB121" s="64"/>
      <c r="AC121" s="64"/>
    </row>
    <row r="122" spans="1:68" ht="14.25" hidden="1" customHeight="1" x14ac:dyDescent="0.25">
      <c r="A122" s="302" t="s">
        <v>216</v>
      </c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284">
        <v>4620207491140</v>
      </c>
      <c r="E123" s="284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3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2"/>
      <c r="P124" s="288" t="s">
        <v>40</v>
      </c>
      <c r="Q124" s="289"/>
      <c r="R124" s="289"/>
      <c r="S124" s="289"/>
      <c r="T124" s="289"/>
      <c r="U124" s="289"/>
      <c r="V124" s="290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2"/>
      <c r="P125" s="288" t="s">
        <v>40</v>
      </c>
      <c r="Q125" s="289"/>
      <c r="R125" s="289"/>
      <c r="S125" s="289"/>
      <c r="T125" s="289"/>
      <c r="U125" s="289"/>
      <c r="V125" s="290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14" t="s">
        <v>220</v>
      </c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62"/>
      <c r="AB126" s="62"/>
      <c r="AC126" s="62"/>
    </row>
    <row r="127" spans="1:68" ht="14.25" hidden="1" customHeight="1" x14ac:dyDescent="0.25">
      <c r="A127" s="302" t="s">
        <v>147</v>
      </c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284">
        <v>4620207491799</v>
      </c>
      <c r="E128" s="284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284">
        <v>4620207491492</v>
      </c>
      <c r="E129" s="284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3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42</v>
      </c>
      <c r="Y129" s="53">
        <f>IFERROR(IF(X129="","",X129),"")</f>
        <v>42</v>
      </c>
      <c r="Z129" s="39">
        <f>IFERROR(IF(X129="","",X129*0.00941),"")</f>
        <v>0.39522000000000002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75.600000000000009</v>
      </c>
      <c r="BN129" s="78">
        <f>IFERROR(Y129*I129,"0")</f>
        <v>75.600000000000009</v>
      </c>
      <c r="BO129" s="78">
        <f>IFERROR(X129/J129,"0")</f>
        <v>0.3</v>
      </c>
      <c r="BP129" s="78">
        <f>IFERROR(Y129/J129,"0")</f>
        <v>0.3</v>
      </c>
    </row>
    <row r="130" spans="1:68" ht="27" customHeight="1" x14ac:dyDescent="0.25">
      <c r="A130" s="60" t="s">
        <v>226</v>
      </c>
      <c r="B130" s="60" t="s">
        <v>227</v>
      </c>
      <c r="C130" s="34">
        <v>4301190118</v>
      </c>
      <c r="D130" s="284">
        <v>4620207491461</v>
      </c>
      <c r="E130" s="284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7" t="s">
        <v>46</v>
      </c>
      <c r="V130" s="37" t="s">
        <v>46</v>
      </c>
      <c r="W130" s="38" t="s">
        <v>39</v>
      </c>
      <c r="X130" s="56">
        <v>42</v>
      </c>
      <c r="Y130" s="53">
        <f>IFERROR(IF(X130="","",X130),"")</f>
        <v>42</v>
      </c>
      <c r="Z130" s="39">
        <f>IFERROR(IF(X130="","",X130*0.00941),"")</f>
        <v>0.39522000000000002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73.08</v>
      </c>
      <c r="BN130" s="78">
        <f>IFERROR(Y130*I130,"0")</f>
        <v>73.08</v>
      </c>
      <c r="BO130" s="78">
        <f>IFERROR(X130/J130,"0")</f>
        <v>0.3</v>
      </c>
      <c r="BP130" s="78">
        <f>IFERROR(Y130/J130,"0")</f>
        <v>0.3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284">
        <v>4620207491485</v>
      </c>
      <c r="E131" s="284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7" t="s">
        <v>46</v>
      </c>
      <c r="V131" s="37" t="s">
        <v>46</v>
      </c>
      <c r="W131" s="38" t="s">
        <v>39</v>
      </c>
      <c r="X131" s="56">
        <v>42</v>
      </c>
      <c r="Y131" s="53">
        <f>IFERROR(IF(X131="","",X131),"")</f>
        <v>42</v>
      </c>
      <c r="Z131" s="39">
        <f>IFERROR(IF(X131="","",X131*0.00941),"")</f>
        <v>0.39522000000000002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75.600000000000009</v>
      </c>
      <c r="BN131" s="78">
        <f>IFERROR(Y131*I131,"0")</f>
        <v>75.600000000000009</v>
      </c>
      <c r="BO131" s="78">
        <f>IFERROR(X131/J131,"0")</f>
        <v>0.3</v>
      </c>
      <c r="BP131" s="78">
        <f>IFERROR(Y131/J131,"0")</f>
        <v>0.3</v>
      </c>
    </row>
    <row r="132" spans="1:68" x14ac:dyDescent="0.2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2"/>
      <c r="P132" s="288" t="s">
        <v>40</v>
      </c>
      <c r="Q132" s="289"/>
      <c r="R132" s="289"/>
      <c r="S132" s="289"/>
      <c r="T132" s="289"/>
      <c r="U132" s="289"/>
      <c r="V132" s="290"/>
      <c r="W132" s="40" t="s">
        <v>39</v>
      </c>
      <c r="X132" s="41">
        <f>IFERROR(SUM(X128:X131),"0")</f>
        <v>126</v>
      </c>
      <c r="Y132" s="41">
        <f>IFERROR(SUM(Y128:Y131),"0")</f>
        <v>126</v>
      </c>
      <c r="Z132" s="41">
        <f>IFERROR(IF(Z128="",0,Z128),"0")+IFERROR(IF(Z129="",0,Z129),"0")+IFERROR(IF(Z130="",0,Z130),"0")+IFERROR(IF(Z131="",0,Z131),"0")</f>
        <v>1.1856599999999999</v>
      </c>
      <c r="AA132" s="64"/>
      <c r="AB132" s="64"/>
      <c r="AC132" s="64"/>
    </row>
    <row r="133" spans="1:68" x14ac:dyDescent="0.2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2"/>
      <c r="P133" s="288" t="s">
        <v>40</v>
      </c>
      <c r="Q133" s="289"/>
      <c r="R133" s="289"/>
      <c r="S133" s="289"/>
      <c r="T133" s="289"/>
      <c r="U133" s="289"/>
      <c r="V133" s="290"/>
      <c r="W133" s="40" t="s">
        <v>0</v>
      </c>
      <c r="X133" s="41">
        <f>IFERROR(SUMPRODUCT(X128:X131*H128:H131),"0")</f>
        <v>171.36</v>
      </c>
      <c r="Y133" s="41">
        <f>IFERROR(SUMPRODUCT(Y128:Y131*H128:H131),"0")</f>
        <v>171.36</v>
      </c>
      <c r="Z133" s="40"/>
      <c r="AA133" s="64"/>
      <c r="AB133" s="64"/>
      <c r="AC133" s="64"/>
    </row>
    <row r="134" spans="1:68" ht="14.25" hidden="1" customHeight="1" x14ac:dyDescent="0.25">
      <c r="A134" s="302" t="s">
        <v>230</v>
      </c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284">
        <v>4620207491386</v>
      </c>
      <c r="E135" s="284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284">
        <v>4620207491362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284">
        <v>4620207491379</v>
      </c>
      <c r="E137" s="284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2"/>
      <c r="P138" s="288" t="s">
        <v>40</v>
      </c>
      <c r="Q138" s="289"/>
      <c r="R138" s="289"/>
      <c r="S138" s="289"/>
      <c r="T138" s="289"/>
      <c r="U138" s="289"/>
      <c r="V138" s="290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2"/>
      <c r="P139" s="288" t="s">
        <v>40</v>
      </c>
      <c r="Q139" s="289"/>
      <c r="R139" s="289"/>
      <c r="S139" s="289"/>
      <c r="T139" s="289"/>
      <c r="U139" s="289"/>
      <c r="V139" s="290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14" t="s">
        <v>238</v>
      </c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62"/>
      <c r="AB140" s="62"/>
      <c r="AC140" s="62"/>
    </row>
    <row r="141" spans="1:68" ht="14.25" hidden="1" customHeight="1" x14ac:dyDescent="0.25">
      <c r="A141" s="302" t="s">
        <v>147</v>
      </c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63"/>
      <c r="AB141" s="63"/>
      <c r="AC141" s="63"/>
    </row>
    <row r="142" spans="1:68" ht="27" hidden="1" customHeight="1" x14ac:dyDescent="0.25">
      <c r="A142" s="60" t="s">
        <v>239</v>
      </c>
      <c r="B142" s="60" t="s">
        <v>240</v>
      </c>
      <c r="C142" s="34">
        <v>4301135555</v>
      </c>
      <c r="D142" s="284">
        <v>4607111034014</v>
      </c>
      <c r="E142" s="284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IFERROR(IF(X142="","",X142*0.01788),"")</f>
        <v>0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284">
        <v>4607111033994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2"/>
      <c r="P144" s="288" t="s">
        <v>40</v>
      </c>
      <c r="Q144" s="289"/>
      <c r="R144" s="289"/>
      <c r="S144" s="289"/>
      <c r="T144" s="289"/>
      <c r="U144" s="289"/>
      <c r="V144" s="290"/>
      <c r="W144" s="40" t="s">
        <v>39</v>
      </c>
      <c r="X144" s="41">
        <f>IFERROR(SUM(X142:X143),"0")</f>
        <v>70</v>
      </c>
      <c r="Y144" s="41">
        <f>IFERROR(SUM(Y142:Y143),"0")</f>
        <v>70</v>
      </c>
      <c r="Z144" s="41">
        <f>IFERROR(IF(Z142="",0,Z142),"0")+IFERROR(IF(Z143="",0,Z143),"0")</f>
        <v>1.2516</v>
      </c>
      <c r="AA144" s="64"/>
      <c r="AB144" s="64"/>
      <c r="AC144" s="64"/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0</v>
      </c>
      <c r="X145" s="41">
        <f>IFERROR(SUMPRODUCT(X142:X143*H142:H143),"0")</f>
        <v>210</v>
      </c>
      <c r="Y145" s="41">
        <f>IFERROR(SUMPRODUCT(Y142:Y143*H142:H143),"0")</f>
        <v>210</v>
      </c>
      <c r="Z145" s="40"/>
      <c r="AA145" s="64"/>
      <c r="AB145" s="64"/>
      <c r="AC145" s="64"/>
    </row>
    <row r="146" spans="1:68" ht="16.5" hidden="1" customHeight="1" x14ac:dyDescent="0.25">
      <c r="A146" s="314" t="s">
        <v>244</v>
      </c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62"/>
      <c r="AB146" s="62"/>
      <c r="AC146" s="62"/>
    </row>
    <row r="147" spans="1:68" ht="14.25" hidden="1" customHeight="1" x14ac:dyDescent="0.25">
      <c r="A147" s="302" t="s">
        <v>147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284">
        <v>4607111039095</v>
      </c>
      <c r="E148" s="284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284">
        <v>4620207491768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34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251</v>
      </c>
      <c r="B150" s="60" t="s">
        <v>252</v>
      </c>
      <c r="C150" s="34">
        <v>4301135946</v>
      </c>
      <c r="D150" s="284">
        <v>4620207491553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34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70</v>
      </c>
      <c r="Y150" s="53">
        <f>IFERROR(IF(X150="","",X150),"")</f>
        <v>70</v>
      </c>
      <c r="Z150" s="39">
        <f>IFERROR(IF(X150="","",X150*0.01788),"")</f>
        <v>1.2516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259.25200000000001</v>
      </c>
      <c r="BN150" s="78">
        <f>IFERROR(Y150*I150,"0")</f>
        <v>259.25200000000001</v>
      </c>
      <c r="BO150" s="78">
        <f>IFERROR(X150/J150,"0")</f>
        <v>1</v>
      </c>
      <c r="BP150" s="78">
        <f>IFERROR(Y150/J150,"0")</f>
        <v>1</v>
      </c>
    </row>
    <row r="151" spans="1:68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IFERROR(SUM(X148:X150),"0")</f>
        <v>70</v>
      </c>
      <c r="Y151" s="41">
        <f>IFERROR(SUM(Y148:Y150),"0")</f>
        <v>70</v>
      </c>
      <c r="Z151" s="41">
        <f>IFERROR(IF(Z148="",0,Z148),"0")+IFERROR(IF(Z149="",0,Z149),"0")+IFERROR(IF(Z150="",0,Z150),"0")</f>
        <v>1.2516</v>
      </c>
      <c r="AA151" s="64"/>
      <c r="AB151" s="64"/>
      <c r="AC151" s="64"/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IFERROR(SUMPRODUCT(X148:X150*H148:H150),"0")</f>
        <v>210</v>
      </c>
      <c r="Y152" s="41">
        <f>IFERROR(SUMPRODUCT(Y148:Y150*H148:H150),"0")</f>
        <v>210</v>
      </c>
      <c r="Z152" s="40"/>
      <c r="AA152" s="64"/>
      <c r="AB152" s="64"/>
      <c r="AC152" s="64"/>
    </row>
    <row r="153" spans="1:68" ht="16.5" hidden="1" customHeight="1" x14ac:dyDescent="0.25">
      <c r="A153" s="314" t="s">
        <v>253</v>
      </c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62"/>
      <c r="AB153" s="62"/>
      <c r="AC153" s="62"/>
    </row>
    <row r="154" spans="1:68" ht="14.25" hidden="1" customHeight="1" x14ac:dyDescent="0.25">
      <c r="A154" s="302" t="s">
        <v>147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284">
        <v>4620207491676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33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14" t="s">
        <v>259</v>
      </c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62"/>
      <c r="AB159" s="62"/>
      <c r="AC159" s="62"/>
    </row>
    <row r="160" spans="1:68" ht="14.25" hidden="1" customHeight="1" x14ac:dyDescent="0.25">
      <c r="A160" s="302" t="s">
        <v>147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284">
        <v>4620207491614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33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14" t="s">
        <v>263</v>
      </c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62"/>
      <c r="AB164" s="62"/>
      <c r="AC164" s="62"/>
    </row>
    <row r="165" spans="1:68" ht="14.25" hidden="1" customHeight="1" x14ac:dyDescent="0.25">
      <c r="A165" s="302" t="s">
        <v>147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14" t="s">
        <v>266</v>
      </c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62"/>
      <c r="AB169" s="62"/>
      <c r="AC169" s="62"/>
    </row>
    <row r="170" spans="1:68" ht="14.25" hidden="1" customHeight="1" x14ac:dyDescent="0.25">
      <c r="A170" s="302" t="s">
        <v>147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13" t="s">
        <v>270</v>
      </c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  <c r="AA174" s="52"/>
      <c r="AB174" s="52"/>
      <c r="AC174" s="52"/>
    </row>
    <row r="175" spans="1:68" ht="16.5" hidden="1" customHeight="1" x14ac:dyDescent="0.25">
      <c r="A175" s="314" t="s">
        <v>271</v>
      </c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62"/>
      <c r="AB175" s="62"/>
      <c r="AC175" s="62"/>
    </row>
    <row r="176" spans="1:68" ht="14.25" hidden="1" customHeight="1" x14ac:dyDescent="0.25">
      <c r="A176" s="302" t="s">
        <v>80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14" t="s">
        <v>278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hidden="1" customHeight="1" x14ac:dyDescent="0.25">
      <c r="A182" s="302" t="s">
        <v>80</v>
      </c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284">
        <v>4620207491737</v>
      </c>
      <c r="E183" s="284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3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13" t="s">
        <v>281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52"/>
      <c r="AB186" s="52"/>
      <c r="AC186" s="52"/>
    </row>
    <row r="187" spans="1:68" ht="16.5" hidden="1" customHeight="1" x14ac:dyDescent="0.25">
      <c r="A187" s="314" t="s">
        <v>282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hidden="1" customHeight="1" x14ac:dyDescent="0.25">
      <c r="A188" s="302" t="s">
        <v>111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47.432000000000002</v>
      </c>
      <c r="BN190" s="78">
        <f>IFERROR(Y190*I190,"0")</f>
        <v>47.432000000000002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52.304000000000002</v>
      </c>
      <c r="BN191" s="78">
        <f>IFERROR(Y191*I191,"0")</f>
        <v>52.304000000000002</v>
      </c>
      <c r="BO191" s="78">
        <f>IFERROR(X191/J191,"0")</f>
        <v>0.2</v>
      </c>
      <c r="BP191" s="78">
        <f>IFERROR(Y191/J191,"0")</f>
        <v>0.2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3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56</v>
      </c>
      <c r="Y193" s="41">
        <f>IFERROR(SUM(Y189:Y192),"0")</f>
        <v>56</v>
      </c>
      <c r="Z193" s="41">
        <f>IFERROR(IF(Z189="",0,Z189),"0")+IFERROR(IF(Z190="",0,Z190),"0")+IFERROR(IF(Z191="",0,Z191),"0")+IFERROR(IF(Z192="",0,Z192),"0")</f>
        <v>1.0012799999999999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168</v>
      </c>
      <c r="Y194" s="41">
        <f>IFERROR(SUMPRODUCT(Y189:Y192*H189:H192),"0")</f>
        <v>168</v>
      </c>
      <c r="Z194" s="40"/>
      <c r="AA194" s="64"/>
      <c r="AB194" s="64"/>
      <c r="AC194" s="64"/>
    </row>
    <row r="195" spans="1:68" ht="27.75" hidden="1" customHeight="1" x14ac:dyDescent="0.2">
      <c r="A195" s="313" t="s">
        <v>295</v>
      </c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  <c r="AA195" s="52"/>
      <c r="AB195" s="52"/>
      <c r="AC195" s="52"/>
    </row>
    <row r="196" spans="1:68" ht="16.5" hidden="1" customHeight="1" x14ac:dyDescent="0.25">
      <c r="A196" s="314" t="s">
        <v>296</v>
      </c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62"/>
      <c r="AB196" s="62"/>
      <c r="AC196" s="62"/>
    </row>
    <row r="197" spans="1:68" ht="14.25" hidden="1" customHeight="1" x14ac:dyDescent="0.25">
      <c r="A197" s="302" t="s">
        <v>111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02" t="s">
        <v>147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284">
        <v>4620207490235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32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284">
        <v>4620207490259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2"/>
      <c r="P205" s="288" t="s">
        <v>40</v>
      </c>
      <c r="Q205" s="289"/>
      <c r="R205" s="289"/>
      <c r="S205" s="289"/>
      <c r="T205" s="289"/>
      <c r="U205" s="289"/>
      <c r="V205" s="290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4" t="s">
        <v>309</v>
      </c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62"/>
      <c r="AB207" s="62"/>
      <c r="AC207" s="62"/>
    </row>
    <row r="208" spans="1:68" ht="14.25" hidden="1" customHeight="1" x14ac:dyDescent="0.25">
      <c r="A208" s="302" t="s">
        <v>147</v>
      </c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284">
        <v>4620207491706</v>
      </c>
      <c r="E209" s="284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32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284">
        <v>4620207491522</v>
      </c>
      <c r="E210" s="284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4" t="s">
        <v>316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hidden="1" customHeight="1" x14ac:dyDescent="0.25">
      <c r="A214" s="302" t="s">
        <v>80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284">
        <v>4620207491096</v>
      </c>
      <c r="E215" s="284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2"/>
      <c r="P216" s="288" t="s">
        <v>40</v>
      </c>
      <c r="Q216" s="289"/>
      <c r="R216" s="289"/>
      <c r="S216" s="289"/>
      <c r="T216" s="289"/>
      <c r="U216" s="289"/>
      <c r="V216" s="290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14" t="s">
        <v>320</v>
      </c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62"/>
      <c r="AB218" s="62"/>
      <c r="AC218" s="62"/>
    </row>
    <row r="219" spans="1:68" ht="14.25" hidden="1" customHeight="1" x14ac:dyDescent="0.25">
      <c r="A219" s="302" t="s">
        <v>147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284">
        <v>4620207490501</v>
      </c>
      <c r="E220" s="284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2"/>
      <c r="P221" s="288" t="s">
        <v>40</v>
      </c>
      <c r="Q221" s="289"/>
      <c r="R221" s="289"/>
      <c r="S221" s="289"/>
      <c r="T221" s="289"/>
      <c r="U221" s="289"/>
      <c r="V221" s="29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2"/>
      <c r="P222" s="288" t="s">
        <v>40</v>
      </c>
      <c r="Q222" s="289"/>
      <c r="R222" s="289"/>
      <c r="S222" s="289"/>
      <c r="T222" s="289"/>
      <c r="U222" s="289"/>
      <c r="V222" s="29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13" t="s">
        <v>324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52"/>
      <c r="AB223" s="52"/>
      <c r="AC223" s="52"/>
    </row>
    <row r="224" spans="1:68" ht="16.5" hidden="1" customHeight="1" x14ac:dyDescent="0.25">
      <c r="A224" s="314" t="s">
        <v>325</v>
      </c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62"/>
      <c r="AB224" s="62"/>
      <c r="AC224" s="62"/>
    </row>
    <row r="225" spans="1:68" ht="14.25" hidden="1" customHeight="1" x14ac:dyDescent="0.25">
      <c r="A225" s="302" t="s">
        <v>80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284">
        <v>4607111036162</v>
      </c>
      <c r="E226" s="284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2"/>
      <c r="P227" s="288" t="s">
        <v>40</v>
      </c>
      <c r="Q227" s="289"/>
      <c r="R227" s="289"/>
      <c r="S227" s="289"/>
      <c r="T227" s="289"/>
      <c r="U227" s="289"/>
      <c r="V227" s="290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2"/>
      <c r="P228" s="288" t="s">
        <v>40</v>
      </c>
      <c r="Q228" s="289"/>
      <c r="R228" s="289"/>
      <c r="S228" s="289"/>
      <c r="T228" s="289"/>
      <c r="U228" s="289"/>
      <c r="V228" s="290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13" t="s">
        <v>329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52"/>
      <c r="AB229" s="52"/>
      <c r="AC229" s="52"/>
    </row>
    <row r="230" spans="1:68" ht="16.5" hidden="1" customHeight="1" x14ac:dyDescent="0.25">
      <c r="A230" s="314" t="s">
        <v>330</v>
      </c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62"/>
      <c r="AB230" s="62"/>
      <c r="AC230" s="62"/>
    </row>
    <row r="231" spans="1:68" ht="14.25" hidden="1" customHeight="1" x14ac:dyDescent="0.25">
      <c r="A231" s="302" t="s">
        <v>331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284">
        <v>4607111039774</v>
      </c>
      <c r="E232" s="284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31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2"/>
      <c r="P233" s="288" t="s">
        <v>40</v>
      </c>
      <c r="Q233" s="289"/>
      <c r="R233" s="289"/>
      <c r="S233" s="289"/>
      <c r="T233" s="289"/>
      <c r="U233" s="289"/>
      <c r="V233" s="290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2"/>
      <c r="P234" s="288" t="s">
        <v>40</v>
      </c>
      <c r="Q234" s="289"/>
      <c r="R234" s="289"/>
      <c r="S234" s="289"/>
      <c r="T234" s="289"/>
      <c r="U234" s="289"/>
      <c r="V234" s="290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02" t="s">
        <v>147</v>
      </c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284">
        <v>4607111039361</v>
      </c>
      <c r="E236" s="284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2"/>
      <c r="P237" s="288" t="s">
        <v>40</v>
      </c>
      <c r="Q237" s="289"/>
      <c r="R237" s="289"/>
      <c r="S237" s="289"/>
      <c r="T237" s="289"/>
      <c r="U237" s="289"/>
      <c r="V237" s="290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2"/>
      <c r="P238" s="288" t="s">
        <v>40</v>
      </c>
      <c r="Q238" s="289"/>
      <c r="R238" s="289"/>
      <c r="S238" s="289"/>
      <c r="T238" s="289"/>
      <c r="U238" s="289"/>
      <c r="V238" s="290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13" t="s">
        <v>337</v>
      </c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52"/>
      <c r="AB239" s="52"/>
      <c r="AC239" s="52"/>
    </row>
    <row r="240" spans="1:68" ht="16.5" hidden="1" customHeight="1" x14ac:dyDescent="0.25">
      <c r="A240" s="314" t="s">
        <v>337</v>
      </c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62"/>
      <c r="AB240" s="62"/>
      <c r="AC240" s="62"/>
    </row>
    <row r="241" spans="1:68" ht="14.25" hidden="1" customHeight="1" x14ac:dyDescent="0.25">
      <c r="A241" s="302" t="s">
        <v>111</v>
      </c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284">
        <v>4640242181950</v>
      </c>
      <c r="E242" s="284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31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2"/>
      <c r="P243" s="288" t="s">
        <v>40</v>
      </c>
      <c r="Q243" s="289"/>
      <c r="R243" s="289"/>
      <c r="S243" s="289"/>
      <c r="T243" s="289"/>
      <c r="U243" s="289"/>
      <c r="V243" s="29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2"/>
      <c r="P244" s="288" t="s">
        <v>40</v>
      </c>
      <c r="Q244" s="289"/>
      <c r="R244" s="289"/>
      <c r="S244" s="289"/>
      <c r="T244" s="289"/>
      <c r="U244" s="289"/>
      <c r="V244" s="29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02" t="s">
        <v>143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284">
        <v>4640242181943</v>
      </c>
      <c r="E246" s="284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2"/>
      <c r="P248" s="288" t="s">
        <v>40</v>
      </c>
      <c r="Q248" s="289"/>
      <c r="R248" s="289"/>
      <c r="S248" s="289"/>
      <c r="T248" s="289"/>
      <c r="U248" s="289"/>
      <c r="V248" s="29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13" t="s">
        <v>344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  <c r="AA249" s="52"/>
      <c r="AB249" s="52"/>
      <c r="AC249" s="52"/>
    </row>
    <row r="250" spans="1:68" ht="16.5" hidden="1" customHeight="1" x14ac:dyDescent="0.25">
      <c r="A250" s="314" t="s">
        <v>344</v>
      </c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62"/>
      <c r="AB250" s="62"/>
      <c r="AC250" s="62"/>
    </row>
    <row r="251" spans="1:68" ht="14.25" hidden="1" customHeight="1" x14ac:dyDescent="0.25">
      <c r="A251" s="302" t="s">
        <v>80</v>
      </c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284">
        <v>4640242181264</v>
      </c>
      <c r="E252" s="284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284">
        <v>4620207491980</v>
      </c>
      <c r="E253" s="284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3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2"/>
      <c r="P254" s="288" t="s">
        <v>40</v>
      </c>
      <c r="Q254" s="289"/>
      <c r="R254" s="289"/>
      <c r="S254" s="289"/>
      <c r="T254" s="289"/>
      <c r="U254" s="289"/>
      <c r="V254" s="290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2"/>
      <c r="P255" s="288" t="s">
        <v>40</v>
      </c>
      <c r="Q255" s="289"/>
      <c r="R255" s="289"/>
      <c r="S255" s="289"/>
      <c r="T255" s="289"/>
      <c r="U255" s="289"/>
      <c r="V255" s="290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02" t="s">
        <v>111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63"/>
      <c r="AB256" s="63"/>
      <c r="AC256" s="63"/>
    </row>
    <row r="257" spans="1:68" ht="27" customHeight="1" x14ac:dyDescent="0.25">
      <c r="A257" s="60" t="s">
        <v>351</v>
      </c>
      <c r="B257" s="60" t="s">
        <v>352</v>
      </c>
      <c r="C257" s="34">
        <v>4301132080</v>
      </c>
      <c r="D257" s="284">
        <v>4640242180397</v>
      </c>
      <c r="E257" s="284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7" t="s">
        <v>46</v>
      </c>
      <c r="V257" s="37" t="s">
        <v>46</v>
      </c>
      <c r="W257" s="38" t="s">
        <v>39</v>
      </c>
      <c r="X257" s="56">
        <v>252</v>
      </c>
      <c r="Y257" s="53">
        <f>IFERROR(IF(X257="","",X257),"")</f>
        <v>252</v>
      </c>
      <c r="Z257" s="39">
        <f>IFERROR(IF(X257="","",X257*0.0155),"")</f>
        <v>3.9060000000000001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1577.52</v>
      </c>
      <c r="BN257" s="78">
        <f>IFERROR(Y257*I257,"0")</f>
        <v>1577.52</v>
      </c>
      <c r="BO257" s="78">
        <f>IFERROR(X257/J257,"0")</f>
        <v>3</v>
      </c>
      <c r="BP257" s="78">
        <f>IFERROR(Y257/J257,"0")</f>
        <v>3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2"/>
      <c r="P258" s="288" t="s">
        <v>40</v>
      </c>
      <c r="Q258" s="289"/>
      <c r="R258" s="289"/>
      <c r="S258" s="289"/>
      <c r="T258" s="289"/>
      <c r="U258" s="289"/>
      <c r="V258" s="290"/>
      <c r="W258" s="40" t="s">
        <v>39</v>
      </c>
      <c r="X258" s="41">
        <f>IFERROR(SUM(X257:X257),"0")</f>
        <v>252</v>
      </c>
      <c r="Y258" s="41">
        <f>IFERROR(SUM(Y257:Y257),"0")</f>
        <v>252</v>
      </c>
      <c r="Z258" s="41">
        <f>IFERROR(IF(Z257="",0,Z257),"0")</f>
        <v>3.9060000000000001</v>
      </c>
      <c r="AA258" s="64"/>
      <c r="AB258" s="64"/>
      <c r="AC258" s="64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2"/>
      <c r="P259" s="288" t="s">
        <v>40</v>
      </c>
      <c r="Q259" s="289"/>
      <c r="R259" s="289"/>
      <c r="S259" s="289"/>
      <c r="T259" s="289"/>
      <c r="U259" s="289"/>
      <c r="V259" s="290"/>
      <c r="W259" s="40" t="s">
        <v>0</v>
      </c>
      <c r="X259" s="41">
        <f>IFERROR(SUMPRODUCT(X257:X257*H257:H257),"0")</f>
        <v>1512</v>
      </c>
      <c r="Y259" s="41">
        <f>IFERROR(SUMPRODUCT(Y257:Y257*H257:H257),"0")</f>
        <v>1512</v>
      </c>
      <c r="Z259" s="40"/>
      <c r="AA259" s="64"/>
      <c r="AB259" s="64"/>
      <c r="AC259" s="64"/>
    </row>
    <row r="260" spans="1:68" ht="14.25" hidden="1" customHeight="1" x14ac:dyDescent="0.25">
      <c r="A260" s="302" t="s">
        <v>143</v>
      </c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284">
        <v>4640242180304</v>
      </c>
      <c r="E261" s="284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284">
        <v>4640242180236</v>
      </c>
      <c r="E262" s="284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f>84*6</f>
        <v>504</v>
      </c>
      <c r="Y262" s="53">
        <f>IFERROR(IF(X262="","",X262),"")</f>
        <v>504</v>
      </c>
      <c r="Z262" s="39">
        <f>IFERROR(IF(X262="","",X262*0.0155),"")</f>
        <v>7.8120000000000003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2638.44</v>
      </c>
      <c r="BN262" s="78">
        <f>IFERROR(Y262*I262,"0")</f>
        <v>2638.44</v>
      </c>
      <c r="BO262" s="78">
        <f>IFERROR(X262/J262,"0")</f>
        <v>6</v>
      </c>
      <c r="BP262" s="78">
        <f>IFERROR(Y262/J262,"0")</f>
        <v>6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284">
        <v>4640242180410</v>
      </c>
      <c r="E263" s="284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2"/>
      <c r="P264" s="288" t="s">
        <v>40</v>
      </c>
      <c r="Q264" s="289"/>
      <c r="R264" s="289"/>
      <c r="S264" s="289"/>
      <c r="T264" s="289"/>
      <c r="U264" s="289"/>
      <c r="V264" s="290"/>
      <c r="W264" s="40" t="s">
        <v>39</v>
      </c>
      <c r="X264" s="41">
        <f>IFERROR(SUM(X261:X263),"0")</f>
        <v>504</v>
      </c>
      <c r="Y264" s="41">
        <f>IFERROR(SUM(Y261:Y263),"0")</f>
        <v>504</v>
      </c>
      <c r="Z264" s="41">
        <f>IFERROR(IF(Z261="",0,Z261),"0")+IFERROR(IF(Z262="",0,Z262),"0")+IFERROR(IF(Z263="",0,Z263),"0")</f>
        <v>7.8120000000000003</v>
      </c>
      <c r="AA264" s="64"/>
      <c r="AB264" s="64"/>
      <c r="AC264" s="64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2"/>
      <c r="P265" s="288" t="s">
        <v>40</v>
      </c>
      <c r="Q265" s="289"/>
      <c r="R265" s="289"/>
      <c r="S265" s="289"/>
      <c r="T265" s="289"/>
      <c r="U265" s="289"/>
      <c r="V265" s="290"/>
      <c r="W265" s="40" t="s">
        <v>0</v>
      </c>
      <c r="X265" s="41">
        <f>IFERROR(SUMPRODUCT(X261:X263*H261:H263),"0")</f>
        <v>2520</v>
      </c>
      <c r="Y265" s="41">
        <f>IFERROR(SUMPRODUCT(Y261:Y263*H261:H263),"0")</f>
        <v>2520</v>
      </c>
      <c r="Z265" s="40"/>
      <c r="AA265" s="64"/>
      <c r="AB265" s="64"/>
      <c r="AC265" s="64"/>
    </row>
    <row r="266" spans="1:68" ht="14.25" hidden="1" customHeight="1" x14ac:dyDescent="0.25">
      <c r="A266" s="302" t="s">
        <v>147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284">
        <v>4640242181554</v>
      </c>
      <c r="E267" s="284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hidden="1" customHeight="1" x14ac:dyDescent="0.25">
      <c r="A268" s="60" t="s">
        <v>364</v>
      </c>
      <c r="B268" s="60" t="s">
        <v>365</v>
      </c>
      <c r="C268" s="34">
        <v>4301137046</v>
      </c>
      <c r="D268" s="284">
        <v>4620207492093</v>
      </c>
      <c r="E268" s="284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304" t="s">
        <v>366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284">
        <v>4640242181424</v>
      </c>
      <c r="E269" s="284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7" t="s">
        <v>46</v>
      </c>
      <c r="V269" s="37" t="s">
        <v>46</v>
      </c>
      <c r="W269" s="38" t="s">
        <v>39</v>
      </c>
      <c r="X269" s="56">
        <v>168</v>
      </c>
      <c r="Y269" s="53">
        <f t="shared" si="18"/>
        <v>168</v>
      </c>
      <c r="Z269" s="39">
        <f>IFERROR(IF(X269="","",X269*0.0155),"")</f>
        <v>2.6040000000000001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963.48</v>
      </c>
      <c r="BN269" s="78">
        <f t="shared" si="20"/>
        <v>963.48</v>
      </c>
      <c r="BO269" s="78">
        <f t="shared" si="21"/>
        <v>2</v>
      </c>
      <c r="BP269" s="78">
        <f t="shared" si="22"/>
        <v>2</v>
      </c>
    </row>
    <row r="270" spans="1:68" ht="27" hidden="1" customHeight="1" x14ac:dyDescent="0.25">
      <c r="A270" s="60" t="s">
        <v>370</v>
      </c>
      <c r="B270" s="60" t="s">
        <v>371</v>
      </c>
      <c r="C270" s="34">
        <v>4301135405</v>
      </c>
      <c r="D270" s="284">
        <v>4640242181523</v>
      </c>
      <c r="E270" s="284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ref="Z270:Z276" si="23">IFERROR(IF(X270="","",X270*0.00936),"")</f>
        <v>0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284">
        <v>4640242181486</v>
      </c>
      <c r="E271" s="284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7" t="s">
        <v>46</v>
      </c>
      <c r="V271" s="37" t="s">
        <v>46</v>
      </c>
      <c r="W271" s="38" t="s">
        <v>39</v>
      </c>
      <c r="X271" s="56">
        <v>378</v>
      </c>
      <c r="Y271" s="53">
        <f t="shared" si="18"/>
        <v>378</v>
      </c>
      <c r="Z271" s="39">
        <f t="shared" si="23"/>
        <v>3.5380799999999999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1471.1759999999999</v>
      </c>
      <c r="BN271" s="78">
        <f t="shared" si="20"/>
        <v>1471.1759999999999</v>
      </c>
      <c r="BO271" s="78">
        <f t="shared" si="21"/>
        <v>3</v>
      </c>
      <c r="BP271" s="78">
        <f t="shared" si="22"/>
        <v>3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284">
        <v>4640242181493</v>
      </c>
      <c r="E272" s="284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284">
        <v>4640242181509</v>
      </c>
      <c r="E273" s="284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284">
        <v>4640242181240</v>
      </c>
      <c r="E274" s="284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284">
        <v>4640242181318</v>
      </c>
      <c r="E275" s="284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284">
        <v>4620207491935</v>
      </c>
      <c r="E276" s="284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2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40</v>
      </c>
      <c r="Q277" s="289"/>
      <c r="R277" s="289"/>
      <c r="S277" s="289"/>
      <c r="T277" s="289"/>
      <c r="U277" s="289"/>
      <c r="V277" s="290"/>
      <c r="W277" s="40" t="s">
        <v>39</v>
      </c>
      <c r="X277" s="41">
        <f>IFERROR(SUM(X267:X276),"0")</f>
        <v>546</v>
      </c>
      <c r="Y277" s="41">
        <f>IFERROR(SUM(Y267:Y276),"0")</f>
        <v>546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6.14208</v>
      </c>
      <c r="AA277" s="64"/>
      <c r="AB277" s="64"/>
      <c r="AC277" s="64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40</v>
      </c>
      <c r="Q278" s="289"/>
      <c r="R278" s="289"/>
      <c r="S278" s="289"/>
      <c r="T278" s="289"/>
      <c r="U278" s="289"/>
      <c r="V278" s="290"/>
      <c r="W278" s="40" t="s">
        <v>0</v>
      </c>
      <c r="X278" s="41">
        <f>IFERROR(SUMPRODUCT(X267:X276*H267:H276),"0")</f>
        <v>2322.6000000000004</v>
      </c>
      <c r="Y278" s="41">
        <f>IFERROR(SUMPRODUCT(Y267:Y276*H267:H276),"0")</f>
        <v>2322.6000000000004</v>
      </c>
      <c r="Z278" s="40"/>
      <c r="AA278" s="64"/>
      <c r="AB278" s="64"/>
      <c r="AC278" s="64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6"/>
      <c r="P279" s="293" t="s">
        <v>33</v>
      </c>
      <c r="Q279" s="294"/>
      <c r="R279" s="294"/>
      <c r="S279" s="294"/>
      <c r="T279" s="294"/>
      <c r="U279" s="294"/>
      <c r="V279" s="295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7641.4800000000005</v>
      </c>
      <c r="Y279" s="41">
        <f>IFERROR(Y31+Y37+Y44+Y50+Y58+Y63+Y67+Y73+Y79+Y84+Y90+Y100+Y106+Y117+Y121+Y125+Y133+Y139+Y145+Y152+Y158+Y163+Y168+Y173+Y180+Y185+Y194+Y200+Y206+Y212+Y217+Y222+Y228+Y234+Y238+Y244+Y248+Y255+Y259+Y265+Y278,"0")</f>
        <v>7641.4800000000005</v>
      </c>
      <c r="Z279" s="40"/>
      <c r="AA279" s="64"/>
      <c r="AB279" s="64"/>
      <c r="AC279" s="64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6"/>
      <c r="P280" s="293" t="s">
        <v>34</v>
      </c>
      <c r="Q280" s="294"/>
      <c r="R280" s="294"/>
      <c r="S280" s="294"/>
      <c r="T280" s="294"/>
      <c r="U280" s="294"/>
      <c r="V280" s="295"/>
      <c r="W280" s="40" t="s">
        <v>0</v>
      </c>
      <c r="X280" s="41">
        <f>IFERROR(SUM(BM22:BM276),"0")</f>
        <v>8233.7248</v>
      </c>
      <c r="Y280" s="41">
        <f>IFERROR(SUM(BN22:BN276),"0")</f>
        <v>8233.7248</v>
      </c>
      <c r="Z280" s="40"/>
      <c r="AA280" s="64"/>
      <c r="AB280" s="64"/>
      <c r="AC280" s="64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6"/>
      <c r="P281" s="293" t="s">
        <v>35</v>
      </c>
      <c r="Q281" s="294"/>
      <c r="R281" s="294"/>
      <c r="S281" s="294"/>
      <c r="T281" s="294"/>
      <c r="U281" s="294"/>
      <c r="V281" s="295"/>
      <c r="W281" s="40" t="s">
        <v>20</v>
      </c>
      <c r="X281" s="42">
        <f>ROUNDUP(SUM(BO22:BO276),0)</f>
        <v>21</v>
      </c>
      <c r="Y281" s="42">
        <f>ROUNDUP(SUM(BP22:BP276),0)</f>
        <v>21</v>
      </c>
      <c r="Z281" s="40"/>
      <c r="AA281" s="64"/>
      <c r="AB281" s="64"/>
      <c r="AC281" s="64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6"/>
      <c r="P282" s="293" t="s">
        <v>36</v>
      </c>
      <c r="Q282" s="294"/>
      <c r="R282" s="294"/>
      <c r="S282" s="294"/>
      <c r="T282" s="294"/>
      <c r="U282" s="294"/>
      <c r="V282" s="295"/>
      <c r="W282" s="40" t="s">
        <v>0</v>
      </c>
      <c r="X282" s="41">
        <f>GrossWeightTotal+PalletQtyTotal*25</f>
        <v>8758.7248</v>
      </c>
      <c r="Y282" s="41">
        <f>GrossWeightTotalR+PalletQtyTotalR*25</f>
        <v>8758.7248</v>
      </c>
      <c r="Z282" s="40"/>
      <c r="AA282" s="64"/>
      <c r="AB282" s="64"/>
      <c r="AC282" s="64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6"/>
      <c r="P283" s="293" t="s">
        <v>37</v>
      </c>
      <c r="Q283" s="294"/>
      <c r="R283" s="294"/>
      <c r="S283" s="294"/>
      <c r="T283" s="294"/>
      <c r="U283" s="294"/>
      <c r="V283" s="295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1792</v>
      </c>
      <c r="Y283" s="41">
        <f>IFERROR(Y30+Y36+Y43+Y49+Y57+Y62+Y66+Y72+Y78+Y83+Y89+Y99+Y105+Y116+Y120+Y124+Y132+Y138+Y144+Y151+Y157+Y162+Y167+Y172+Y179+Y184+Y193+Y199+Y205+Y211+Y216+Y221+Y227+Y233+Y237+Y243+Y247+Y254+Y258+Y264+Y277,"0")</f>
        <v>1792</v>
      </c>
      <c r="Z283" s="40"/>
      <c r="AA283" s="64"/>
      <c r="AB283" s="64"/>
      <c r="AC283" s="64"/>
    </row>
    <row r="284" spans="1:68" ht="14.25" hidden="1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6"/>
      <c r="P284" s="293" t="s">
        <v>38</v>
      </c>
      <c r="Q284" s="294"/>
      <c r="R284" s="294"/>
      <c r="S284" s="294"/>
      <c r="T284" s="294"/>
      <c r="U284" s="294"/>
      <c r="V284" s="295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25.55406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280" t="s">
        <v>79</v>
      </c>
      <c r="C286" s="280" t="s">
        <v>79</v>
      </c>
      <c r="D286" s="280" t="s">
        <v>45</v>
      </c>
      <c r="E286" s="280" t="s">
        <v>45</v>
      </c>
      <c r="F286" s="280" t="s">
        <v>45</v>
      </c>
      <c r="G286" s="280" t="s">
        <v>45</v>
      </c>
      <c r="H286" s="280" t="s">
        <v>45</v>
      </c>
      <c r="I286" s="280" t="s">
        <v>45</v>
      </c>
      <c r="J286" s="280" t="s">
        <v>45</v>
      </c>
      <c r="K286" s="280" t="s">
        <v>45</v>
      </c>
      <c r="L286" s="280" t="s">
        <v>45</v>
      </c>
      <c r="M286" s="280" t="s">
        <v>45</v>
      </c>
      <c r="N286" s="281"/>
      <c r="O286" s="280" t="s">
        <v>45</v>
      </c>
      <c r="P286" s="280" t="s">
        <v>45</v>
      </c>
      <c r="Q286" s="280" t="s">
        <v>45</v>
      </c>
      <c r="R286" s="280" t="s">
        <v>45</v>
      </c>
      <c r="S286" s="280" t="s">
        <v>45</v>
      </c>
      <c r="T286" s="280" t="s">
        <v>45</v>
      </c>
      <c r="U286" s="280" t="s">
        <v>45</v>
      </c>
      <c r="V286" s="280" t="s">
        <v>270</v>
      </c>
      <c r="W286" s="280" t="s">
        <v>270</v>
      </c>
      <c r="X286" s="83" t="s">
        <v>281</v>
      </c>
      <c r="Y286" s="280" t="s">
        <v>295</v>
      </c>
      <c r="Z286" s="280" t="s">
        <v>295</v>
      </c>
      <c r="AA286" s="280" t="s">
        <v>295</v>
      </c>
      <c r="AB286" s="280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282" t="s">
        <v>10</v>
      </c>
      <c r="B287" s="280" t="s">
        <v>79</v>
      </c>
      <c r="C287" s="280" t="s">
        <v>104</v>
      </c>
      <c r="D287" s="280" t="s">
        <v>110</v>
      </c>
      <c r="E287" s="280" t="s">
        <v>121</v>
      </c>
      <c r="F287" s="280" t="s">
        <v>128</v>
      </c>
      <c r="G287" s="280" t="s">
        <v>139</v>
      </c>
      <c r="H287" s="280" t="s">
        <v>155</v>
      </c>
      <c r="I287" s="280" t="s">
        <v>162</v>
      </c>
      <c r="J287" s="280" t="s">
        <v>166</v>
      </c>
      <c r="K287" s="280" t="s">
        <v>174</v>
      </c>
      <c r="L287" s="280" t="s">
        <v>189</v>
      </c>
      <c r="M287" s="280" t="s">
        <v>195</v>
      </c>
      <c r="N287" s="1"/>
      <c r="O287" s="280" t="s">
        <v>220</v>
      </c>
      <c r="P287" s="280" t="s">
        <v>238</v>
      </c>
      <c r="Q287" s="280" t="s">
        <v>244</v>
      </c>
      <c r="R287" s="280" t="s">
        <v>253</v>
      </c>
      <c r="S287" s="280" t="s">
        <v>259</v>
      </c>
      <c r="T287" s="280" t="s">
        <v>263</v>
      </c>
      <c r="U287" s="280" t="s">
        <v>266</v>
      </c>
      <c r="V287" s="280" t="s">
        <v>271</v>
      </c>
      <c r="W287" s="280" t="s">
        <v>278</v>
      </c>
      <c r="X287" s="280" t="s">
        <v>282</v>
      </c>
      <c r="Y287" s="280" t="s">
        <v>296</v>
      </c>
      <c r="Z287" s="280" t="s">
        <v>309</v>
      </c>
      <c r="AA287" s="280" t="s">
        <v>316</v>
      </c>
      <c r="AB287" s="280" t="s">
        <v>320</v>
      </c>
      <c r="AC287" s="280" t="s">
        <v>325</v>
      </c>
      <c r="AD287" s="280" t="s">
        <v>330</v>
      </c>
      <c r="AE287" s="280" t="s">
        <v>337</v>
      </c>
      <c r="AF287" s="280" t="s">
        <v>344</v>
      </c>
    </row>
    <row r="288" spans="1:68" ht="13.5" thickBot="1" x14ac:dyDescent="0.25">
      <c r="A288" s="283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1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252</v>
      </c>
      <c r="K289" s="50">
        <f>IFERROR(X93*H93,"0")+IFERROR(X94*H94,"0")+IFERROR(X95*H95,"0")+IFERROR(X96*H96,"0")+IFERROR(X97*H97,"0")+IFERROR(X98*H98,"0")</f>
        <v>201.6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73.92</v>
      </c>
      <c r="N289" s="1"/>
      <c r="O289" s="50">
        <f>IFERROR(X128*H128,"0")+IFERROR(X129*H129,"0")+IFERROR(X130*H130,"0")+IFERROR(X131*H131,"0")+IFERROR(X135*H135,"0")+IFERROR(X136*H136,"0")+IFERROR(X137*H137,"0")</f>
        <v>171.36</v>
      </c>
      <c r="P289" s="50">
        <f>IFERROR(X142*H142,"0")+IFERROR(X143*H143,"0")</f>
        <v>210</v>
      </c>
      <c r="Q289" s="50">
        <f>IFERROR(X148*H148,"0")+IFERROR(X149*H149,"0")+IFERROR(X150*H150,"0")</f>
        <v>210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168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6354.6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7641.4800000000005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2,00"/>
        <filter val="1 792,00"/>
        <filter val="126,00"/>
        <filter val="14,00"/>
        <filter val="168,00"/>
        <filter val="171,36"/>
        <filter val="2 322,60"/>
        <filter val="2 520,00"/>
        <filter val="201,60"/>
        <filter val="21"/>
        <filter val="210,00"/>
        <filter val="252,00"/>
        <filter val="28,00"/>
        <filter val="378,00"/>
        <filter val="42,00"/>
        <filter val="504,00"/>
        <filter val="546,00"/>
        <filter val="56,00"/>
        <filter val="7 641,48"/>
        <filter val="70,00"/>
        <filter val="73,92"/>
        <filter val="8 233,72"/>
        <filter val="8 758,72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