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585A700E-22D1-4DFB-8839-38598A4B63F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Z255" i="1" s="1"/>
  <c r="Y253" i="1"/>
  <c r="P253" i="1"/>
  <c r="X249" i="1"/>
  <c r="Z248" i="1"/>
  <c r="X248" i="1"/>
  <c r="BO247" i="1"/>
  <c r="BM247" i="1"/>
  <c r="Z247" i="1"/>
  <c r="Y247" i="1"/>
  <c r="P247" i="1"/>
  <c r="Y243" i="1"/>
  <c r="X243" i="1"/>
  <c r="Z242" i="1"/>
  <c r="X242" i="1"/>
  <c r="BO241" i="1"/>
  <c r="BM241" i="1"/>
  <c r="Z241" i="1"/>
  <c r="Y241" i="1"/>
  <c r="P241" i="1"/>
  <c r="X239" i="1"/>
  <c r="Z238" i="1"/>
  <c r="X238" i="1"/>
  <c r="BO237" i="1"/>
  <c r="BM237" i="1"/>
  <c r="Z237" i="1"/>
  <c r="Y237" i="1"/>
  <c r="P237" i="1"/>
  <c r="Y233" i="1"/>
  <c r="X233" i="1"/>
  <c r="Z232" i="1"/>
  <c r="X232" i="1"/>
  <c r="BO231" i="1"/>
  <c r="BM231" i="1"/>
  <c r="Z231" i="1"/>
  <c r="Y231" i="1"/>
  <c r="P231" i="1"/>
  <c r="X227" i="1"/>
  <c r="Z226" i="1"/>
  <c r="X226" i="1"/>
  <c r="BO225" i="1"/>
  <c r="BM225" i="1"/>
  <c r="Z225" i="1"/>
  <c r="Y225" i="1"/>
  <c r="P225" i="1"/>
  <c r="Y222" i="1"/>
  <c r="X222" i="1"/>
  <c r="Z221" i="1"/>
  <c r="X221" i="1"/>
  <c r="BO220" i="1"/>
  <c r="BM220" i="1"/>
  <c r="Z220" i="1"/>
  <c r="Y220" i="1"/>
  <c r="P220" i="1"/>
  <c r="X217" i="1"/>
  <c r="X216" i="1"/>
  <c r="BO215" i="1"/>
  <c r="BM215" i="1"/>
  <c r="Z215" i="1"/>
  <c r="Y215" i="1"/>
  <c r="P215" i="1"/>
  <c r="BP214" i="1"/>
  <c r="BO214" i="1"/>
  <c r="BN214" i="1"/>
  <c r="BM214" i="1"/>
  <c r="Z214" i="1"/>
  <c r="Z216" i="1" s="1"/>
  <c r="Y214" i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BP135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2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6" i="1" s="1"/>
  <c r="P93" i="1"/>
  <c r="X90" i="1"/>
  <c r="Z89" i="1"/>
  <c r="X89" i="1"/>
  <c r="BO88" i="1"/>
  <c r="BM88" i="1"/>
  <c r="Z88" i="1"/>
  <c r="Y88" i="1"/>
  <c r="Y89" i="1" s="1"/>
  <c r="P88" i="1"/>
  <c r="X85" i="1"/>
  <c r="X84" i="1"/>
  <c r="BO83" i="1"/>
  <c r="BM83" i="1"/>
  <c r="Z83" i="1"/>
  <c r="Y83" i="1"/>
  <c r="BP83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BP76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3" i="1" s="1"/>
  <c r="P70" i="1"/>
  <c r="X68" i="1"/>
  <c r="Z67" i="1"/>
  <c r="X67" i="1"/>
  <c r="BO66" i="1"/>
  <c r="BM66" i="1"/>
  <c r="Z66" i="1"/>
  <c r="Y66" i="1"/>
  <c r="Y67" i="1" s="1"/>
  <c r="P66" i="1"/>
  <c r="X64" i="1"/>
  <c r="Z63" i="1"/>
  <c r="X63" i="1"/>
  <c r="BO62" i="1"/>
  <c r="BM62" i="1"/>
  <c r="Z62" i="1"/>
  <c r="Y62" i="1"/>
  <c r="Y63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Z58" i="1" s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BP48" i="1" s="1"/>
  <c r="P48" i="1"/>
  <c r="BP47" i="1"/>
  <c r="BO47" i="1"/>
  <c r="BN47" i="1"/>
  <c r="BM47" i="1"/>
  <c r="Z47" i="1"/>
  <c r="Z50" i="1" s="1"/>
  <c r="Y47" i="1"/>
  <c r="Y51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4" i="1" s="1"/>
  <c r="P41" i="1"/>
  <c r="X37" i="1"/>
  <c r="X36" i="1"/>
  <c r="BO35" i="1"/>
  <c r="BM35" i="1"/>
  <c r="Z35" i="1"/>
  <c r="Y35" i="1"/>
  <c r="BP35" i="1" s="1"/>
  <c r="P35" i="1"/>
  <c r="BP34" i="1"/>
  <c r="BO34" i="1"/>
  <c r="BN34" i="1"/>
  <c r="BM34" i="1"/>
  <c r="Z34" i="1"/>
  <c r="Z36" i="1" s="1"/>
  <c r="Y34" i="1"/>
  <c r="Y36" i="1" s="1"/>
  <c r="P34" i="1"/>
  <c r="X31" i="1"/>
  <c r="X280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2" i="1" s="1"/>
  <c r="BM22" i="1"/>
  <c r="X281" i="1" s="1"/>
  <c r="X283" i="1" s="1"/>
  <c r="Z22" i="1"/>
  <c r="Z30" i="1" s="1"/>
  <c r="Y22" i="1"/>
  <c r="Y31" i="1" s="1"/>
  <c r="P22" i="1"/>
  <c r="H10" i="1"/>
  <c r="A9" i="1"/>
  <c r="F10" i="1" s="1"/>
  <c r="D7" i="1"/>
  <c r="Q6" i="1"/>
  <c r="P2" i="1"/>
  <c r="H9" i="1" l="1"/>
  <c r="A10" i="1"/>
  <c r="Y30" i="1"/>
  <c r="Y37" i="1"/>
  <c r="Y280" i="1" s="1"/>
  <c r="Y43" i="1"/>
  <c r="Y50" i="1"/>
  <c r="Y59" i="1"/>
  <c r="Y64" i="1"/>
  <c r="Y68" i="1"/>
  <c r="Y72" i="1"/>
  <c r="Y78" i="1"/>
  <c r="Y85" i="1"/>
  <c r="Y90" i="1"/>
  <c r="Y95" i="1"/>
  <c r="Y106" i="1"/>
  <c r="Y111" i="1"/>
  <c r="Y122" i="1"/>
  <c r="Y13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F9" i="1"/>
  <c r="J9" i="1"/>
  <c r="BN22" i="1"/>
  <c r="BP22" i="1"/>
  <c r="BN24" i="1"/>
  <c r="BN26" i="1"/>
  <c r="BN28" i="1"/>
  <c r="X284" i="1"/>
  <c r="BN35" i="1"/>
  <c r="BN41" i="1"/>
  <c r="BP41" i="1"/>
  <c r="BN48" i="1"/>
  <c r="BN55" i="1"/>
  <c r="BN57" i="1"/>
  <c r="BN62" i="1"/>
  <c r="BP62" i="1"/>
  <c r="BN66" i="1"/>
  <c r="BP66" i="1"/>
  <c r="BN70" i="1"/>
  <c r="BP70" i="1"/>
  <c r="BN76" i="1"/>
  <c r="BN83" i="1"/>
  <c r="BN88" i="1"/>
  <c r="BP88" i="1"/>
  <c r="BN93" i="1"/>
  <c r="BP93" i="1"/>
  <c r="BN100" i="1"/>
  <c r="BN102" i="1"/>
  <c r="BN104" i="1"/>
  <c r="BN109" i="1"/>
  <c r="BP109" i="1"/>
  <c r="BN116" i="1"/>
  <c r="BN118" i="1"/>
  <c r="BN120" i="1"/>
  <c r="BN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Z285" i="1" s="1"/>
  <c r="Y184" i="1"/>
  <c r="Y185" i="1"/>
  <c r="Y189" i="1"/>
  <c r="BP188" i="1"/>
  <c r="BN188" i="1"/>
  <c r="Z198" i="1"/>
  <c r="Y211" i="1"/>
  <c r="Y216" i="1"/>
  <c r="Y217" i="1"/>
  <c r="Y221" i="1"/>
  <c r="BP220" i="1"/>
  <c r="BN220" i="1"/>
  <c r="Y227" i="1"/>
  <c r="Y232" i="1"/>
  <c r="BP231" i="1"/>
  <c r="BN231" i="1"/>
  <c r="Y239" i="1"/>
  <c r="Y242" i="1"/>
  <c r="BP241" i="1"/>
  <c r="BN241" i="1"/>
  <c r="Y249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Y281" i="1" l="1"/>
  <c r="Y283" i="1" s="1"/>
  <c r="Y282" i="1"/>
  <c r="Y284" i="1"/>
  <c r="A293" i="1"/>
  <c r="C293" i="1" l="1"/>
  <c r="B293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<sst xmlns="http://schemas.openxmlformats.org/spreadsheetml/2006/main" count="1292" uniqueCount="417">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</sst>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A270" zoomScaleNormal="100" zoomScaleSheetLayoutView="100" workbookViewId="0">
      <selection activeCell="AA286" sqref="AA286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98</v>
      </c>
      <c r="Y41" s="279">
        <f>IFERROR(IF(X41="","",X41),"")</f>
        <v>98</v>
      </c>
      <c r="Z41" s="36">
        <f>IFERROR(IF(X41="","",X41*0.00941),"")</f>
        <v>0.92218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188.3364</v>
      </c>
      <c r="BN41" s="67">
        <f>IFERROR(Y41*I41,"0")</f>
        <v>188.3364</v>
      </c>
      <c r="BO41" s="67">
        <f>IFERROR(X41/J41,"0")</f>
        <v>0.7</v>
      </c>
      <c r="BP41" s="67">
        <f>IFERROR(Y41/J41,"0")</f>
        <v>0.7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168</v>
      </c>
      <c r="Y42" s="279">
        <f>IFERROR(IF(X42="","",X42),"")</f>
        <v>168</v>
      </c>
      <c r="Z42" s="36">
        <f>IFERROR(IF(X42="","",X42*0.00941),"")</f>
        <v>1.5808800000000001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322.86239999999998</v>
      </c>
      <c r="BN42" s="67">
        <f>IFERROR(Y42*I42,"0")</f>
        <v>322.86239999999998</v>
      </c>
      <c r="BO42" s="67">
        <f>IFERROR(X42/J42,"0")</f>
        <v>1.2</v>
      </c>
      <c r="BP42" s="67">
        <f>IFERROR(Y42/J42,"0")</f>
        <v>1.2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266</v>
      </c>
      <c r="Y43" s="280">
        <f>IFERROR(SUM(Y41:Y42),"0")</f>
        <v>266</v>
      </c>
      <c r="Z43" s="280">
        <f>IFERROR(IF(Z41="",0,Z41),"0")+IFERROR(IF(Z42="",0,Z42),"0")</f>
        <v>2.5030600000000001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399</v>
      </c>
      <c r="Y44" s="280">
        <f>IFERROR(SUMPRODUCT(Y41:Y42*H41:H42),"0")</f>
        <v>399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24</v>
      </c>
      <c r="Y55" s="279">
        <f>IFERROR(IF(X55="","",X55),"")</f>
        <v>24</v>
      </c>
      <c r="Z55" s="36">
        <f>IFERROR(IF(X55="","",X55*0.0155),"")</f>
        <v>0.372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174.86399999999998</v>
      </c>
      <c r="BN55" s="67">
        <f>IFERROR(Y55*I55,"0")</f>
        <v>174.86399999999998</v>
      </c>
      <c r="BO55" s="67">
        <f>IFERROR(X55/J55,"0")</f>
        <v>0.2857142857142857</v>
      </c>
      <c r="BP55" s="67">
        <f>IFERROR(Y55/J55,"0")</f>
        <v>0.2857142857142857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48</v>
      </c>
      <c r="Y56" s="279">
        <f>IFERROR(IF(X56="","",X56),"")</f>
        <v>48</v>
      </c>
      <c r="Z56" s="36">
        <f>IFERROR(IF(X56="","",X56*0.0155),"")</f>
        <v>0.74399999999999999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322.54079999999999</v>
      </c>
      <c r="BN56" s="67">
        <f>IFERROR(Y56*I56,"0")</f>
        <v>322.54079999999999</v>
      </c>
      <c r="BO56" s="67">
        <f>IFERROR(X56/J56,"0")</f>
        <v>0.5714285714285714</v>
      </c>
      <c r="BP56" s="67">
        <f>IFERROR(Y56/J56,"0")</f>
        <v>0.5714285714285714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48</v>
      </c>
      <c r="Y57" s="279">
        <f>IFERROR(IF(X57="","",X57),"")</f>
        <v>48</v>
      </c>
      <c r="Z57" s="36">
        <f>IFERROR(IF(X57="","",X57*0.0155),"")</f>
        <v>0.74399999999999999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350.4</v>
      </c>
      <c r="BN57" s="67">
        <f>IFERROR(Y57*I57,"0")</f>
        <v>350.4</v>
      </c>
      <c r="BO57" s="67">
        <f>IFERROR(X57/J57,"0")</f>
        <v>0.5714285714285714</v>
      </c>
      <c r="BP57" s="67">
        <f>IFERROR(Y57/J57,"0")</f>
        <v>0.5714285714285714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120</v>
      </c>
      <c r="Y58" s="280">
        <f>IFERROR(SUM(Y54:Y57),"0")</f>
        <v>120</v>
      </c>
      <c r="Z58" s="280">
        <f>IFERROR(IF(Z54="",0,Z54),"0")+IFERROR(IF(Z55="",0,Z55),"0")+IFERROR(IF(Z56="",0,Z56),"0")+IFERROR(IF(Z57="",0,Z57),"0")</f>
        <v>1.86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811.2</v>
      </c>
      <c r="Y59" s="280">
        <f>IFERROR(SUMPRODUCT(Y54:Y57*H54:H57),"0")</f>
        <v>811.2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56</v>
      </c>
      <c r="Y77" s="279">
        <f>IFERROR(IF(X77="","",X77),"")</f>
        <v>56</v>
      </c>
      <c r="Z77" s="36">
        <f>IFERROR(IF(X77="","",X77*0.00941),"")</f>
        <v>0.52695999999999998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87.36</v>
      </c>
      <c r="BN77" s="67">
        <f>IFERROR(Y77*I77,"0")</f>
        <v>87.36</v>
      </c>
      <c r="BO77" s="67">
        <f>IFERROR(X77/J77,"0")</f>
        <v>0.4</v>
      </c>
      <c r="BP77" s="67">
        <f>IFERROR(Y77/J77,"0")</f>
        <v>0.4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56</v>
      </c>
      <c r="Y78" s="280">
        <f>IFERROR(SUM(Y75:Y77),"0")</f>
        <v>56</v>
      </c>
      <c r="Z78" s="280">
        <f>IFERROR(IF(Z75="",0,Z75),"0")+IFERROR(IF(Z76="",0,Z76),"0")+IFERROR(IF(Z77="",0,Z77),"0")</f>
        <v>0.52695999999999998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67.2</v>
      </c>
      <c r="Y79" s="280">
        <f>IFERROR(SUMPRODUCT(Y75:Y77*H75:H77),"0")</f>
        <v>67.2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0</v>
      </c>
      <c r="Y83" s="279">
        <f>IFERROR(IF(X83="","",X83),"")</f>
        <v>0</v>
      </c>
      <c r="Z83" s="36">
        <f>IFERROR(IF(X83="","",X83*0.00866),"")</f>
        <v>0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0</v>
      </c>
      <c r="Y84" s="280">
        <f>IFERROR(SUM(Y82:Y83),"0")</f>
        <v>0</v>
      </c>
      <c r="Z84" s="280">
        <f>IFERROR(IF(Z82="",0,Z82),"0")+IFERROR(IF(Z83="",0,Z83),"0")</f>
        <v>0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0</v>
      </c>
      <c r="Y85" s="280">
        <f>IFERROR(SUMPRODUCT(Y82:Y83*H82:H83),"0")</f>
        <v>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28</v>
      </c>
      <c r="Y88" s="279">
        <f>IFERROR(IF(X88="","",X88),"")</f>
        <v>28</v>
      </c>
      <c r="Z88" s="36">
        <f>IFERROR(IF(X88="","",X88*0.01788),"")</f>
        <v>0.50063999999999997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120.50080000000001</v>
      </c>
      <c r="BN88" s="67">
        <f>IFERROR(Y88*I88,"0")</f>
        <v>120.50080000000001</v>
      </c>
      <c r="BO88" s="67">
        <f>IFERROR(X88/J88,"0")</f>
        <v>0.4</v>
      </c>
      <c r="BP88" s="67">
        <f>IFERROR(Y88/J88,"0")</f>
        <v>0.4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28</v>
      </c>
      <c r="Y89" s="280">
        <f>IFERROR(SUM(Y88:Y88),"0")</f>
        <v>28</v>
      </c>
      <c r="Z89" s="280">
        <f>IFERROR(IF(Z88="",0,Z88),"0")</f>
        <v>0.50063999999999997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100.8</v>
      </c>
      <c r="Y90" s="280">
        <f>IFERROR(SUMPRODUCT(Y88:Y88*H88:H88),"0")</f>
        <v>100.8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84</v>
      </c>
      <c r="Y93" s="279">
        <f>IFERROR(IF(X93="","",X93),"")</f>
        <v>84</v>
      </c>
      <c r="Z93" s="36">
        <f>IFERROR(IF(X93="","",X93*0.01788),"")</f>
        <v>1.5019199999999999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361.50240000000002</v>
      </c>
      <c r="BN93" s="67">
        <f>IFERROR(Y93*I93,"0")</f>
        <v>361.50240000000002</v>
      </c>
      <c r="BO93" s="67">
        <f>IFERROR(X93/J93,"0")</f>
        <v>1.2</v>
      </c>
      <c r="BP93" s="67">
        <f>IFERROR(Y93/J93,"0")</f>
        <v>1.2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42</v>
      </c>
      <c r="Y94" s="279">
        <f>IFERROR(IF(X94="","",X94),"")</f>
        <v>42</v>
      </c>
      <c r="Z94" s="36">
        <f>IFERROR(IF(X94="","",X94*0.01788),"")</f>
        <v>0.75095999999999996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180.75120000000001</v>
      </c>
      <c r="BN94" s="67">
        <f>IFERROR(Y94*I94,"0")</f>
        <v>180.75120000000001</v>
      </c>
      <c r="BO94" s="67">
        <f>IFERROR(X94/J94,"0")</f>
        <v>0.6</v>
      </c>
      <c r="BP94" s="67">
        <f>IFERROR(Y94/J94,"0")</f>
        <v>0.6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126</v>
      </c>
      <c r="Y95" s="280">
        <f>IFERROR(SUM(Y93:Y94),"0")</f>
        <v>126</v>
      </c>
      <c r="Z95" s="280">
        <f>IFERROR(IF(Z93="",0,Z93),"0")+IFERROR(IF(Z94="",0,Z94),"0")</f>
        <v>2.2528799999999998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453.6</v>
      </c>
      <c r="Y96" s="280">
        <f>IFERROR(SUMPRODUCT(Y93:Y94*H93:H94),"0")</f>
        <v>453.6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70</v>
      </c>
      <c r="Y99" s="279">
        <f t="shared" ref="Y99:Y104" si="6">IFERROR(IF(X99="","",X99),"")</f>
        <v>70</v>
      </c>
      <c r="Z99" s="36">
        <f t="shared" ref="Z99:Z104" si="7">IFERROR(IF(X99="","",X99*0.01788),"")</f>
        <v>1.2516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250.852</v>
      </c>
      <c r="BN99" s="67">
        <f t="shared" ref="BN99:BN104" si="9">IFERROR(Y99*I99,"0")</f>
        <v>250.852</v>
      </c>
      <c r="BO99" s="67">
        <f t="shared" ref="BO99:BO104" si="10">IFERROR(X99/J99,"0")</f>
        <v>1</v>
      </c>
      <c r="BP99" s="67">
        <f t="shared" ref="BP99:BP104" si="11">IFERROR(Y99/J99,"0")</f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56</v>
      </c>
      <c r="Y100" s="279">
        <f t="shared" si="6"/>
        <v>56</v>
      </c>
      <c r="Z100" s="36">
        <f t="shared" si="7"/>
        <v>1.0012799999999999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70</v>
      </c>
      <c r="Y101" s="279">
        <f t="shared" si="6"/>
        <v>70</v>
      </c>
      <c r="Z101" s="36">
        <f t="shared" si="7"/>
        <v>1.2516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250.852</v>
      </c>
      <c r="BN101" s="67">
        <f t="shared" si="9"/>
        <v>250.852</v>
      </c>
      <c r="BO101" s="67">
        <f t="shared" si="10"/>
        <v>1</v>
      </c>
      <c r="BP101" s="67">
        <f t="shared" si="11"/>
        <v>1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42</v>
      </c>
      <c r="Y102" s="279">
        <f t="shared" si="6"/>
        <v>42</v>
      </c>
      <c r="Z102" s="36">
        <f t="shared" si="7"/>
        <v>0.75095999999999996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150.5112</v>
      </c>
      <c r="BN102" s="67">
        <f t="shared" si="9"/>
        <v>150.5112</v>
      </c>
      <c r="BO102" s="67">
        <f t="shared" si="10"/>
        <v>0.6</v>
      </c>
      <c r="BP102" s="67">
        <f t="shared" si="11"/>
        <v>0.6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126</v>
      </c>
      <c r="Y103" s="279">
        <f t="shared" si="6"/>
        <v>126</v>
      </c>
      <c r="Z103" s="36">
        <f t="shared" si="7"/>
        <v>2.2528800000000002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560.54880000000003</v>
      </c>
      <c r="BN103" s="67">
        <f t="shared" si="9"/>
        <v>560.54880000000003</v>
      </c>
      <c r="BO103" s="67">
        <f t="shared" si="10"/>
        <v>1.8</v>
      </c>
      <c r="BP103" s="67">
        <f t="shared" si="11"/>
        <v>1.8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392</v>
      </c>
      <c r="Y105" s="280">
        <f>IFERROR(SUM(Y99:Y104),"0")</f>
        <v>392</v>
      </c>
      <c r="Z105" s="280">
        <f>IFERROR(IF(Z99="",0,Z99),"0")+IFERROR(IF(Z100="",0,Z100),"0")+IFERROR(IF(Z101="",0,Z101),"0")+IFERROR(IF(Z102="",0,Z102),"0")+IFERROR(IF(Z103="",0,Z103),"0")+IFERROR(IF(Z104="",0,Z104),"0")</f>
        <v>7.0089600000000001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1286.8799999999999</v>
      </c>
      <c r="Y106" s="280">
        <f>IFERROR(SUMPRODUCT(Y99:Y104*H99:H104),"0")</f>
        <v>1286.8799999999999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70</v>
      </c>
      <c r="Y109" s="279">
        <f>IFERROR(IF(X109="","",X109),"")</f>
        <v>70</v>
      </c>
      <c r="Z109" s="36">
        <f>IFERROR(IF(X109="","",X109*0.00936),"")</f>
        <v>0.6552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174.38400000000001</v>
      </c>
      <c r="BN109" s="67">
        <f>IFERROR(Y109*I109,"0")</f>
        <v>174.38400000000001</v>
      </c>
      <c r="BO109" s="67">
        <f>IFERROR(X109/J109,"0")</f>
        <v>0.55555555555555558</v>
      </c>
      <c r="BP109" s="67">
        <f>IFERROR(Y109/J109,"0")</f>
        <v>0.55555555555555558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14</v>
      </c>
      <c r="Y110" s="279">
        <f>IFERROR(IF(X110="","",X110),"")</f>
        <v>14</v>
      </c>
      <c r="Z110" s="36">
        <f>IFERROR(IF(X110="","",X110*0.01788),"")</f>
        <v>0.25031999999999999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59.415999999999997</v>
      </c>
      <c r="BN110" s="67">
        <f>IFERROR(Y110*I110,"0")</f>
        <v>59.415999999999997</v>
      </c>
      <c r="BO110" s="67">
        <f>IFERROR(X110/J110,"0")</f>
        <v>0.2</v>
      </c>
      <c r="BP110" s="67">
        <f>IFERROR(Y110/J110,"0")</f>
        <v>0.2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84</v>
      </c>
      <c r="Y111" s="280">
        <f>IFERROR(SUM(Y109:Y110),"0")</f>
        <v>84</v>
      </c>
      <c r="Z111" s="280">
        <f>IFERROR(IF(Z109="",0,Z109),"0")+IFERROR(IF(Z110="",0,Z110),"0")</f>
        <v>0.90551999999999999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201.60000000000002</v>
      </c>
      <c r="Y112" s="280">
        <f>IFERROR(SUMPRODUCT(Y109:Y110*H109:H110),"0")</f>
        <v>201.60000000000002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96</v>
      </c>
      <c r="Y115" s="279">
        <f t="shared" ref="Y115:Y121" si="12">IFERROR(IF(X115="","",X115),"")</f>
        <v>96</v>
      </c>
      <c r="Z115" s="36">
        <f t="shared" ref="Z115:Z121" si="13">IFERROR(IF(X115="","",X115*0.0155),"")</f>
        <v>1.488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698.88</v>
      </c>
      <c r="BN115" s="67">
        <f t="shared" ref="BN115:BN121" si="15">IFERROR(Y115*I115,"0")</f>
        <v>698.88</v>
      </c>
      <c r="BO115" s="67">
        <f t="shared" ref="BO115:BO121" si="16">IFERROR(X115/J115,"0")</f>
        <v>1.1428571428571428</v>
      </c>
      <c r="BP115" s="67">
        <f t="shared" ref="BP115:BP121" si="17">IFERROR(Y115/J115,"0")</f>
        <v>1.1428571428571428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36</v>
      </c>
      <c r="Y117" s="279">
        <f t="shared" si="12"/>
        <v>36</v>
      </c>
      <c r="Z117" s="36">
        <f t="shared" si="13"/>
        <v>0.55800000000000005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241.90559999999999</v>
      </c>
      <c r="BN117" s="67">
        <f t="shared" si="15"/>
        <v>241.90559999999999</v>
      </c>
      <c r="BO117" s="67">
        <f t="shared" si="16"/>
        <v>0.42857142857142855</v>
      </c>
      <c r="BP117" s="67">
        <f t="shared" si="17"/>
        <v>0.42857142857142855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0</v>
      </c>
      <c r="Y118" s="279">
        <f t="shared" si="12"/>
        <v>0</v>
      </c>
      <c r="Z118" s="36">
        <f t="shared" si="13"/>
        <v>0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96</v>
      </c>
      <c r="Y121" s="279">
        <f t="shared" si="12"/>
        <v>96</v>
      </c>
      <c r="Z121" s="36">
        <f t="shared" si="13"/>
        <v>1.488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700.8</v>
      </c>
      <c r="BN121" s="67">
        <f t="shared" si="15"/>
        <v>700.8</v>
      </c>
      <c r="BO121" s="67">
        <f t="shared" si="16"/>
        <v>1.1428571428571428</v>
      </c>
      <c r="BP121" s="67">
        <f t="shared" si="17"/>
        <v>1.1428571428571428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228</v>
      </c>
      <c r="Y122" s="280">
        <f>IFERROR(SUM(Y115:Y121),"0")</f>
        <v>228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3.5340000000000003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1574.4</v>
      </c>
      <c r="Y123" s="280">
        <f>IFERROR(SUMPRODUCT(Y115:Y121*H115:H121),"0")</f>
        <v>1574.4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42</v>
      </c>
      <c r="Y135" s="279">
        <f>IFERROR(IF(X135="","",X135),"")</f>
        <v>42</v>
      </c>
      <c r="Z135" s="36">
        <f>IFERROR(IF(X135="","",X135*0.00941),"")</f>
        <v>0.39522000000000002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75.600000000000009</v>
      </c>
      <c r="BN135" s="67">
        <f>IFERROR(Y135*I135,"0")</f>
        <v>75.600000000000009</v>
      </c>
      <c r="BO135" s="67">
        <f>IFERROR(X135/J135,"0")</f>
        <v>0.3</v>
      </c>
      <c r="BP135" s="67">
        <f>IFERROR(Y135/J135,"0")</f>
        <v>0.3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42</v>
      </c>
      <c r="Y138" s="280">
        <f>IFERROR(SUM(Y134:Y137),"0")</f>
        <v>42</v>
      </c>
      <c r="Z138" s="280">
        <f>IFERROR(IF(Z134="",0,Z134),"0")+IFERROR(IF(Z135="",0,Z135),"0")+IFERROR(IF(Z136="",0,Z136),"0")+IFERROR(IF(Z137="",0,Z137),"0")</f>
        <v>0.39522000000000002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57.959999999999994</v>
      </c>
      <c r="Y139" s="280">
        <f>IFERROR(SUMPRODUCT(Y134:Y137*H134:H137),"0")</f>
        <v>57.959999999999994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84</v>
      </c>
      <c r="Y142" s="279">
        <f>IFERROR(IF(X142="","",X142),"")</f>
        <v>84</v>
      </c>
      <c r="Z142" s="36">
        <f>IFERROR(IF(X142="","",X142*0.00941),"")</f>
        <v>0.79044000000000003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117.43199999999999</v>
      </c>
      <c r="BN142" s="67">
        <f>IFERROR(Y142*I142,"0")</f>
        <v>117.43199999999999</v>
      </c>
      <c r="BO142" s="67">
        <f>IFERROR(X142/J142,"0")</f>
        <v>0.6</v>
      </c>
      <c r="BP142" s="67">
        <f>IFERROR(Y142/J142,"0")</f>
        <v>0.6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84</v>
      </c>
      <c r="Y144" s="280">
        <f>IFERROR(SUM(Y141:Y143),"0")</f>
        <v>84</v>
      </c>
      <c r="Z144" s="280">
        <f>IFERROR(IF(Z141="",0,Z141),"0")+IFERROR(IF(Z142="",0,Z142),"0")+IFERROR(IF(Z143="",0,Z143),"0")</f>
        <v>0.79044000000000003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90.72</v>
      </c>
      <c r="Y145" s="280">
        <f>IFERROR(SUMPRODUCT(Y141:Y143*H141:H143),"0")</f>
        <v>90.72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98</v>
      </c>
      <c r="Y148" s="279">
        <f>IFERROR(IF(X148="","",X148),"")</f>
        <v>98</v>
      </c>
      <c r="Z148" s="36">
        <f>IFERROR(IF(X148="","",X148*0.01788),"")</f>
        <v>1.75224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362.95279999999997</v>
      </c>
      <c r="BN148" s="67">
        <f>IFERROR(Y148*I148,"0")</f>
        <v>362.95279999999997</v>
      </c>
      <c r="BO148" s="67">
        <f>IFERROR(X148/J148,"0")</f>
        <v>1.4</v>
      </c>
      <c r="BP148" s="67">
        <f>IFERROR(Y148/J148,"0")</f>
        <v>1.4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98</v>
      </c>
      <c r="Y149" s="279">
        <f>IFERROR(IF(X149="","",X149),"")</f>
        <v>98</v>
      </c>
      <c r="Z149" s="36">
        <f>IFERROR(IF(X149="","",X149*0.01788),"")</f>
        <v>1.75224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362.95279999999997</v>
      </c>
      <c r="BN149" s="67">
        <f>IFERROR(Y149*I149,"0")</f>
        <v>362.95279999999997</v>
      </c>
      <c r="BO149" s="67">
        <f>IFERROR(X149/J149,"0")</f>
        <v>1.4</v>
      </c>
      <c r="BP149" s="67">
        <f>IFERROR(Y149/J149,"0")</f>
        <v>1.4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196</v>
      </c>
      <c r="Y150" s="280">
        <f>IFERROR(SUM(Y148:Y149),"0")</f>
        <v>196</v>
      </c>
      <c r="Z150" s="280">
        <f>IFERROR(IF(Z148="",0,Z148),"0")+IFERROR(IF(Z149="",0,Z149),"0")</f>
        <v>3.50448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588</v>
      </c>
      <c r="Y151" s="280">
        <f>IFERROR(SUMPRODUCT(Y148:Y149*H148:H149),"0")</f>
        <v>588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84</v>
      </c>
      <c r="Y154" s="279">
        <f>IFERROR(IF(X154="","",X154),"")</f>
        <v>84</v>
      </c>
      <c r="Z154" s="36">
        <f>IFERROR(IF(X154="","",X154*0.01788),"")</f>
        <v>1.5019199999999999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314.83199999999999</v>
      </c>
      <c r="BN154" s="67">
        <f>IFERROR(Y154*I154,"0")</f>
        <v>314.83199999999999</v>
      </c>
      <c r="BO154" s="67">
        <f>IFERROR(X154/J154,"0")</f>
        <v>1.2</v>
      </c>
      <c r="BP154" s="67">
        <f>IFERROR(Y154/J154,"0")</f>
        <v>1.2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84</v>
      </c>
      <c r="Y156" s="280">
        <f>IFERROR(SUM(Y154:Y155),"0")</f>
        <v>84</v>
      </c>
      <c r="Z156" s="280">
        <f>IFERROR(IF(Z154="",0,Z154),"0")+IFERROR(IF(Z155="",0,Z155),"0")</f>
        <v>1.5019199999999999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252</v>
      </c>
      <c r="Y157" s="280">
        <f>IFERROR(SUMPRODUCT(Y154:Y155*H154:H155),"0")</f>
        <v>252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84</v>
      </c>
      <c r="Y160" s="279">
        <f>IFERROR(IF(X160="","",X160),"")</f>
        <v>84</v>
      </c>
      <c r="Z160" s="36">
        <f>IFERROR(IF(X160="","",X160*0.01788),"")</f>
        <v>1.5019199999999999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225.12</v>
      </c>
      <c r="BN160" s="67">
        <f>IFERROR(Y160*I160,"0")</f>
        <v>225.12</v>
      </c>
      <c r="BO160" s="67">
        <f>IFERROR(X160/J160,"0")</f>
        <v>1.2</v>
      </c>
      <c r="BP160" s="67">
        <f>IFERROR(Y160/J160,"0")</f>
        <v>1.2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0</v>
      </c>
      <c r="Y161" s="279">
        <f>IFERROR(IF(X161="","",X161),"")</f>
        <v>0</v>
      </c>
      <c r="Z161" s="36">
        <f>IFERROR(IF(X161="","",X161*0.01788),"")</f>
        <v>0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84</v>
      </c>
      <c r="Y162" s="280">
        <f>IFERROR(SUM(Y160:Y161),"0")</f>
        <v>84</v>
      </c>
      <c r="Z162" s="280">
        <f>IFERROR(IF(Z160="",0,Z160),"0")+IFERROR(IF(Z161="",0,Z161),"0")</f>
        <v>1.5019199999999999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201.6</v>
      </c>
      <c r="Y163" s="280">
        <f>IFERROR(SUMPRODUCT(Y160:Y161*H160:H161),"0")</f>
        <v>201.6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14</v>
      </c>
      <c r="Y166" s="279">
        <f>IFERROR(IF(X166="","",X166),"")</f>
        <v>14</v>
      </c>
      <c r="Z166" s="36">
        <f>IFERROR(IF(X166="","",X166*0.01788),"")</f>
        <v>0.25031999999999999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51.850399999999993</v>
      </c>
      <c r="BN166" s="67">
        <f>IFERROR(Y166*I166,"0")</f>
        <v>51.850399999999993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14</v>
      </c>
      <c r="Y167" s="280">
        <f>IFERROR(SUM(Y166:Y166),"0")</f>
        <v>14</v>
      </c>
      <c r="Z167" s="280">
        <f>IFERROR(IF(Z166="",0,Z166),"0")</f>
        <v>0.25031999999999999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42</v>
      </c>
      <c r="Y168" s="280">
        <f>IFERROR(SUMPRODUCT(Y166:Y166*H166:H166),"0")</f>
        <v>42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126</v>
      </c>
      <c r="Y176" s="279">
        <f>IFERROR(IF(X176="","",X176),"")</f>
        <v>126</v>
      </c>
      <c r="Z176" s="36">
        <f>IFERROR(IF(X176="","",X176*0.00941),"")</f>
        <v>1.1856599999999999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264.82679999999999</v>
      </c>
      <c r="BN176" s="67">
        <f>IFERROR(Y176*I176,"0")</f>
        <v>264.82679999999999</v>
      </c>
      <c r="BO176" s="67">
        <f>IFERROR(X176/J176,"0")</f>
        <v>0.9</v>
      </c>
      <c r="BP176" s="67">
        <f>IFERROR(Y176/J176,"0")</f>
        <v>0.9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126</v>
      </c>
      <c r="Y177" s="280">
        <f>IFERROR(SUM(Y176:Y176),"0")</f>
        <v>126</v>
      </c>
      <c r="Z177" s="280">
        <f>IFERROR(IF(Z176="",0,Z176),"0")</f>
        <v>1.1856599999999999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211.67999999999998</v>
      </c>
      <c r="Y178" s="280">
        <f>IFERROR(SUMPRODUCT(Y176:Y176*H176:H176),"0")</f>
        <v>211.67999999999998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0</v>
      </c>
      <c r="Y183" s="279">
        <f>IFERROR(IF(X183="","",X183),"")</f>
        <v>0</v>
      </c>
      <c r="Z183" s="36">
        <f>IFERROR(IF(X183="","",X183*0.00866),"")</f>
        <v>0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0</v>
      </c>
      <c r="Y184" s="280">
        <f>IFERROR(SUM(Y182:Y183),"0")</f>
        <v>0</v>
      </c>
      <c r="Z184" s="280">
        <f>IFERROR(IF(Z182="",0,Z182),"0")+IFERROR(IF(Z183="",0,Z183),"0")</f>
        <v>0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0</v>
      </c>
      <c r="Y185" s="280">
        <f>IFERROR(SUMPRODUCT(Y182:Y183*H182:H183),"0")</f>
        <v>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140</v>
      </c>
      <c r="Y194" s="279">
        <f>IFERROR(IF(X194="","",X194),"")</f>
        <v>140</v>
      </c>
      <c r="Z194" s="36">
        <f>IFERROR(IF(X194="","",X194*0.01788),"")</f>
        <v>2.5032000000000001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474.32</v>
      </c>
      <c r="BN194" s="67">
        <f>IFERROR(Y194*I194,"0")</f>
        <v>474.32</v>
      </c>
      <c r="BO194" s="67">
        <f>IFERROR(X194/J194,"0")</f>
        <v>2</v>
      </c>
      <c r="BP194" s="67">
        <f>IFERROR(Y194/J194,"0")</f>
        <v>2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168</v>
      </c>
      <c r="Y195" s="279">
        <f>IFERROR(IF(X195="","",X195),"")</f>
        <v>168</v>
      </c>
      <c r="Z195" s="36">
        <f>IFERROR(IF(X195="","",X195*0.01788),"")</f>
        <v>3.0038399999999998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569.18399999999997</v>
      </c>
      <c r="BN195" s="67">
        <f>IFERROR(Y195*I195,"0")</f>
        <v>569.18399999999997</v>
      </c>
      <c r="BO195" s="67">
        <f>IFERROR(X195/J195,"0")</f>
        <v>2.4</v>
      </c>
      <c r="BP195" s="67">
        <f>IFERROR(Y195/J195,"0")</f>
        <v>2.4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98</v>
      </c>
      <c r="Y196" s="279">
        <f>IFERROR(IF(X196="","",X196),"")</f>
        <v>98</v>
      </c>
      <c r="Z196" s="36">
        <f>IFERROR(IF(X196="","",X196*0.01788),"")</f>
        <v>1.75224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366.12800000000004</v>
      </c>
      <c r="BN196" s="67">
        <f>IFERROR(Y196*I196,"0")</f>
        <v>366.12800000000004</v>
      </c>
      <c r="BO196" s="67">
        <f>IFERROR(X196/J196,"0")</f>
        <v>1.4</v>
      </c>
      <c r="BP196" s="67">
        <f>IFERROR(Y196/J196,"0")</f>
        <v>1.4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406</v>
      </c>
      <c r="Y198" s="280">
        <f>IFERROR(SUM(Y194:Y197),"0")</f>
        <v>406</v>
      </c>
      <c r="Z198" s="280">
        <f>IFERROR(IF(Z194="",0,Z194),"0")+IFERROR(IF(Z195="",0,Z195),"0")+IFERROR(IF(Z196="",0,Z196),"0")+IFERROR(IF(Z197="",0,Z197),"0")</f>
        <v>7.2592800000000004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1218</v>
      </c>
      <c r="Y199" s="280">
        <f>IFERROR(SUMPRODUCT(Y194:Y197*H194:H197),"0")</f>
        <v>1218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0</v>
      </c>
      <c r="Y203" s="279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0</v>
      </c>
      <c r="Y204" s="280">
        <f>IFERROR(SUM(Y203:Y203),"0")</f>
        <v>0</v>
      </c>
      <c r="Z204" s="280">
        <f>IFERROR(IF(Z203="",0,Z203),"0")</f>
        <v>0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0</v>
      </c>
      <c r="Y205" s="280">
        <f>IFERROR(SUMPRODUCT(Y203:Y203*H203:H203),"0")</f>
        <v>0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42</v>
      </c>
      <c r="Y207" s="279">
        <f>IFERROR(IF(X207="","",X207),"")</f>
        <v>42</v>
      </c>
      <c r="Z207" s="36">
        <f>IFERROR(IF(X207="","",X207*0.01788),"")</f>
        <v>0.75095999999999996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130.35120000000001</v>
      </c>
      <c r="BN207" s="67">
        <f>IFERROR(Y207*I207,"0")</f>
        <v>130.35120000000001</v>
      </c>
      <c r="BO207" s="67">
        <f>IFERROR(X207/J207,"0")</f>
        <v>0.6</v>
      </c>
      <c r="BP207" s="67">
        <f>IFERROR(Y207/J207,"0")</f>
        <v>0.6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42</v>
      </c>
      <c r="Y210" s="280">
        <f>IFERROR(SUM(Y207:Y209),"0")</f>
        <v>42</v>
      </c>
      <c r="Z210" s="280">
        <f>IFERROR(IF(Z207="",0,Z207),"0")+IFERROR(IF(Z208="",0,Z208),"0")+IFERROR(IF(Z209="",0,Z209),"0")</f>
        <v>0.75095999999999996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100.8</v>
      </c>
      <c r="Y211" s="280">
        <f>IFERROR(SUMPRODUCT(Y207:Y209*H207:H209),"0")</f>
        <v>100.8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0</v>
      </c>
      <c r="Y220" s="279">
        <f>IFERROR(IF(X220="","",X220),"")</f>
        <v>0</v>
      </c>
      <c r="Z220" s="36">
        <f>IFERROR(IF(X220="","",X220*0.0155),"")</f>
        <v>0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0</v>
      </c>
      <c r="Y221" s="280">
        <f>IFERROR(SUM(Y220:Y220),"0")</f>
        <v>0</v>
      </c>
      <c r="Z221" s="280">
        <f>IFERROR(IF(Z220="",0,Z220),"0")</f>
        <v>0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0</v>
      </c>
      <c r="Y222" s="280">
        <f>IFERROR(SUMPRODUCT(Y220:Y220*H220:H220),"0")</f>
        <v>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24</v>
      </c>
      <c r="Y258" s="279">
        <f>IFERROR(IF(X258="","",X258),"")</f>
        <v>24</v>
      </c>
      <c r="Z258" s="36">
        <f>IFERROR(IF(X258="","",X258*0.0155),"")</f>
        <v>0.372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150.24</v>
      </c>
      <c r="BN258" s="67">
        <f>IFERROR(Y258*I258,"0")</f>
        <v>150.24</v>
      </c>
      <c r="BO258" s="67">
        <f>IFERROR(X258/J258,"0")</f>
        <v>0.2857142857142857</v>
      </c>
      <c r="BP258" s="67">
        <f>IFERROR(Y258/J258,"0")</f>
        <v>0.2857142857142857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24</v>
      </c>
      <c r="Y259" s="280">
        <f>IFERROR(SUM(Y258:Y258),"0")</f>
        <v>24</v>
      </c>
      <c r="Z259" s="280">
        <f>IFERROR(IF(Z258="",0,Z258),"0")</f>
        <v>0.372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144</v>
      </c>
      <c r="Y260" s="280">
        <f>IFERROR(SUMPRODUCT(Y258:Y258*H258:H258),"0")</f>
        <v>144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0</v>
      </c>
      <c r="Y266" s="280">
        <f>IFERROR(SUMPRODUCT(Y262:Y264*H262:H264),"0")</f>
        <v>0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72</v>
      </c>
      <c r="Y269" s="279">
        <f t="shared" si="18"/>
        <v>72</v>
      </c>
      <c r="Z269" s="36">
        <f>IFERROR(IF(X269="","",X269*0.0155),"")</f>
        <v>1.1160000000000001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376.56000000000006</v>
      </c>
      <c r="BN269" s="67">
        <f t="shared" si="20"/>
        <v>376.56000000000006</v>
      </c>
      <c r="BO269" s="67">
        <f t="shared" si="21"/>
        <v>0.8571428571428571</v>
      </c>
      <c r="BP269" s="67">
        <f t="shared" si="22"/>
        <v>0.8571428571428571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72</v>
      </c>
      <c r="Y270" s="279">
        <f t="shared" si="18"/>
        <v>72</v>
      </c>
      <c r="Z270" s="36">
        <f>IFERROR(IF(X270="","",X270*0.0155),"")</f>
        <v>1.1160000000000001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412.92</v>
      </c>
      <c r="BN270" s="67">
        <f t="shared" si="20"/>
        <v>412.92</v>
      </c>
      <c r="BO270" s="67">
        <f t="shared" si="21"/>
        <v>0.8571428571428571</v>
      </c>
      <c r="BP270" s="67">
        <f t="shared" si="22"/>
        <v>0.8571428571428571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84</v>
      </c>
      <c r="Y271" s="279">
        <f t="shared" si="18"/>
        <v>84</v>
      </c>
      <c r="Z271" s="36">
        <f t="shared" ref="Z271:Z276" si="23">IFERROR(IF(X271="","",X271*0.00936),"")</f>
        <v>0.78624000000000005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268.12800000000004</v>
      </c>
      <c r="BN271" s="67">
        <f t="shared" si="20"/>
        <v>268.12800000000004</v>
      </c>
      <c r="BO271" s="67">
        <f t="shared" si="21"/>
        <v>0.66666666666666663</v>
      </c>
      <c r="BP271" s="67">
        <f t="shared" si="22"/>
        <v>0.66666666666666663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42</v>
      </c>
      <c r="Y272" s="279">
        <f t="shared" si="18"/>
        <v>42</v>
      </c>
      <c r="Z272" s="36">
        <f t="shared" si="23"/>
        <v>0.39312000000000002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163.464</v>
      </c>
      <c r="BN272" s="67">
        <f t="shared" si="20"/>
        <v>163.464</v>
      </c>
      <c r="BO272" s="67">
        <f t="shared" si="21"/>
        <v>0.33333333333333331</v>
      </c>
      <c r="BP272" s="67">
        <f t="shared" si="22"/>
        <v>0.33333333333333331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270</v>
      </c>
      <c r="Y278" s="280">
        <f>IFERROR(SUM(Y268:Y277),"0")</f>
        <v>270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3.4113600000000006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1163.4000000000001</v>
      </c>
      <c r="Y279" s="280">
        <f>IFERROR(SUMPRODUCT(Y268:Y277*H268:H277),"0")</f>
        <v>1163.4000000000001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8964.840000000002</v>
      </c>
      <c r="Y280" s="280">
        <f>IFERROR(Y31+Y37+Y44+Y51+Y59+Y64+Y68+Y73+Y79+Y85+Y90+Y96+Y106+Y112+Y123+Y127+Y131+Y139+Y145+Y151+Y157+Y163+Y168+Y173+Y178+Y185+Y190+Y199+Y205+Y211+Y217+Y222+Y227+Y233+Y239+Y243+Y249+Y256+Y260+Y266+Y279,"0")</f>
        <v>8964.840000000002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10211.628799999999</v>
      </c>
      <c r="Y281" s="280">
        <f>IFERROR(SUM(BN22:BN277),"0")</f>
        <v>10211.628799999999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32</v>
      </c>
      <c r="Y282" s="38">
        <f>ROUNDUP(SUM(BP22:BP277),0)</f>
        <v>32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11011.628799999999</v>
      </c>
      <c r="Y283" s="280">
        <f>GrossWeightTotalR+PalletQtyTotalR*25</f>
        <v>11011.628799999999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2672</v>
      </c>
      <c r="Y284" s="280">
        <f>IFERROR(Y30+Y36+Y43+Y50+Y58+Y63+Y67+Y72+Y78+Y84+Y89+Y95+Y105+Y111+Y122+Y126+Y130+Y138+Y144+Y150+Y156+Y162+Y167+Y172+Y177+Y184+Y189+Y198+Y204+Y210+Y216+Y221+Y226+Y232+Y238+Y242+Y248+Y255+Y259+Y265+Y278,"0")</f>
        <v>2672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40.015579999999993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0</v>
      </c>
      <c r="C290" s="46">
        <f>IFERROR(X34*H34,"0")+IFERROR(X35*H35,"0")</f>
        <v>0</v>
      </c>
      <c r="D290" s="46">
        <f>IFERROR(X41*H41,"0")+IFERROR(X42*H42,"0")</f>
        <v>399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811.2</v>
      </c>
      <c r="G290" s="46">
        <f>IFERROR(X62*H62,"0")+IFERROR(X66*H66,"0")+IFERROR(X70*H70,"0")+IFERROR(X71*H71,"0")+IFERROR(X75*H75,"0")+IFERROR(X76*H76,"0")+IFERROR(X77*H77,"0")</f>
        <v>67.2</v>
      </c>
      <c r="H290" s="46">
        <f>IFERROR(X82*H82,"0")+IFERROR(X83*H83,"0")</f>
        <v>0</v>
      </c>
      <c r="I290" s="46">
        <f>IFERROR(X88*H88,"0")</f>
        <v>100.8</v>
      </c>
      <c r="J290" s="46">
        <f>IFERROR(X93*H93,"0")+IFERROR(X94*H94,"0")</f>
        <v>453.6</v>
      </c>
      <c r="K290" s="46">
        <f>IFERROR(X99*H99,"0")+IFERROR(X100*H100,"0")+IFERROR(X101*H101,"0")+IFERROR(X102*H102,"0")+IFERROR(X103*H103,"0")+IFERROR(X104*H104,"0")</f>
        <v>1286.8799999999999</v>
      </c>
      <c r="L290" s="46">
        <f>IFERROR(X109*H109,"0")+IFERROR(X110*H110,"0")</f>
        <v>201.60000000000002</v>
      </c>
      <c r="M290" s="46">
        <f>IFERROR(X115*H115,"0")+IFERROR(X116*H116,"0")+IFERROR(X117*H117,"0")+IFERROR(X118*H118,"0")+IFERROR(X119*H119,"0")+IFERROR(X120*H120,"0")+IFERROR(X121*H121,"0")+IFERROR(X125*H125,"0")+IFERROR(X129*H129,"0")</f>
        <v>1574.4</v>
      </c>
      <c r="N290" s="276"/>
      <c r="O290" s="46">
        <f>IFERROR(X134*H134,"0")+IFERROR(X135*H135,"0")+IFERROR(X136*H136,"0")+IFERROR(X137*H137,"0")+IFERROR(X141*H141,"0")+IFERROR(X142*H142,"0")+IFERROR(X143*H143,"0")</f>
        <v>148.68</v>
      </c>
      <c r="P290" s="46">
        <f>IFERROR(X148*H148,"0")+IFERROR(X149*H149,"0")</f>
        <v>588</v>
      </c>
      <c r="Q290" s="46">
        <f>IFERROR(X154*H154,"0")+IFERROR(X155*H155,"0")</f>
        <v>252</v>
      </c>
      <c r="R290" s="46">
        <f>IFERROR(X160*H160,"0")+IFERROR(X161*H161,"0")</f>
        <v>201.6</v>
      </c>
      <c r="S290" s="46">
        <f>IFERROR(X166*H166,"0")</f>
        <v>42</v>
      </c>
      <c r="T290" s="46">
        <f>IFERROR(X171*H171,"0")</f>
        <v>0</v>
      </c>
      <c r="U290" s="46">
        <f>IFERROR(X176*H176,"0")</f>
        <v>211.67999999999998</v>
      </c>
      <c r="V290" s="46">
        <f>IFERROR(X182*H182,"0")+IFERROR(X183*H183,"0")</f>
        <v>0</v>
      </c>
      <c r="W290" s="46">
        <f>IFERROR(X188*H188,"0")</f>
        <v>0</v>
      </c>
      <c r="X290" s="46">
        <f>IFERROR(X194*H194,"0")+IFERROR(X195*H195,"0")+IFERROR(X196*H196,"0")+IFERROR(X197*H197,"0")</f>
        <v>1218</v>
      </c>
      <c r="Y290" s="46">
        <f>IFERROR(X203*H203,"0")+IFERROR(X207*H207,"0")+IFERROR(X208*H208,"0")+IFERROR(X209*H209,"0")</f>
        <v>100.8</v>
      </c>
      <c r="Z290" s="46">
        <f>IFERROR(X214*H214,"0")+IFERROR(X215*H215,"0")</f>
        <v>0</v>
      </c>
      <c r="AA290" s="46">
        <f>IFERROR(X220*H220,"0")</f>
        <v>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1307.4000000000001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2385.6000000000004</v>
      </c>
      <c r="B293" s="60">
        <f>SUMPRODUCT(--(BB:BB="ПГП"),--(W:W="кор"),H:H,Y:Y)+SUMPRODUCT(--(BB:BB="ПГП"),--(W:W="кг"),Y:Y)</f>
        <v>6579.2399999999989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2026-08-07T10:33:14Z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