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4E685DE6-645A-4D9E-BECF-A21392BBCF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8" i="1" l="1"/>
  <c r="P63" i="1"/>
  <c r="T63" i="1" s="1"/>
  <c r="P69" i="1"/>
  <c r="T69" i="1" s="1"/>
  <c r="L69" i="1"/>
  <c r="F68" i="1"/>
  <c r="E68" i="1"/>
  <c r="L68" i="1" s="1"/>
  <c r="P67" i="1"/>
  <c r="T67" i="1" s="1"/>
  <c r="L67" i="1"/>
  <c r="P66" i="1"/>
  <c r="T66" i="1" s="1"/>
  <c r="L66" i="1"/>
  <c r="P65" i="1"/>
  <c r="T65" i="1" s="1"/>
  <c r="L65" i="1"/>
  <c r="F64" i="1"/>
  <c r="E64" i="1"/>
  <c r="L64" i="1" s="1"/>
  <c r="L63" i="1"/>
  <c r="P62" i="1"/>
  <c r="T62" i="1" s="1"/>
  <c r="L62" i="1"/>
  <c r="P61" i="1"/>
  <c r="T61" i="1" s="1"/>
  <c r="L61" i="1"/>
  <c r="P60" i="1"/>
  <c r="Q60" i="1" s="1"/>
  <c r="AF60" i="1" s="1"/>
  <c r="L60" i="1"/>
  <c r="P59" i="1"/>
  <c r="T59" i="1" s="1"/>
  <c r="L59" i="1"/>
  <c r="P58" i="1"/>
  <c r="L58" i="1"/>
  <c r="P57" i="1"/>
  <c r="T57" i="1" s="1"/>
  <c r="L57" i="1"/>
  <c r="P56" i="1"/>
  <c r="L56" i="1"/>
  <c r="P55" i="1"/>
  <c r="T55" i="1" s="1"/>
  <c r="L55" i="1"/>
  <c r="P54" i="1"/>
  <c r="L54" i="1"/>
  <c r="P53" i="1"/>
  <c r="L53" i="1"/>
  <c r="F53" i="1"/>
  <c r="T53" i="1" s="1"/>
  <c r="P52" i="1"/>
  <c r="L52" i="1"/>
  <c r="P51" i="1"/>
  <c r="T51" i="1" s="1"/>
  <c r="L51" i="1"/>
  <c r="P50" i="1"/>
  <c r="L50" i="1"/>
  <c r="F50" i="1"/>
  <c r="T50" i="1" s="1"/>
  <c r="P49" i="1"/>
  <c r="T49" i="1" s="1"/>
  <c r="L49" i="1"/>
  <c r="P48" i="1"/>
  <c r="T48" i="1" s="1"/>
  <c r="L48" i="1"/>
  <c r="F47" i="1"/>
  <c r="E47" i="1"/>
  <c r="P47" i="1" s="1"/>
  <c r="P46" i="1"/>
  <c r="Q46" i="1" s="1"/>
  <c r="L46" i="1"/>
  <c r="P45" i="1"/>
  <c r="T45" i="1" s="1"/>
  <c r="L45" i="1"/>
  <c r="P44" i="1"/>
  <c r="L44" i="1"/>
  <c r="P43" i="1"/>
  <c r="T43" i="1" s="1"/>
  <c r="L43" i="1"/>
  <c r="P42" i="1"/>
  <c r="L42" i="1"/>
  <c r="P41" i="1"/>
  <c r="T41" i="1" s="1"/>
  <c r="L41" i="1"/>
  <c r="P40" i="1"/>
  <c r="L40" i="1"/>
  <c r="P39" i="1"/>
  <c r="T39" i="1" s="1"/>
  <c r="L39" i="1"/>
  <c r="L38" i="1"/>
  <c r="P37" i="1"/>
  <c r="T37" i="1" s="1"/>
  <c r="L37" i="1"/>
  <c r="P36" i="1"/>
  <c r="L36" i="1"/>
  <c r="P35" i="1"/>
  <c r="T35" i="1" s="1"/>
  <c r="L35" i="1"/>
  <c r="P34" i="1"/>
  <c r="L34" i="1"/>
  <c r="P33" i="1"/>
  <c r="T33" i="1" s="1"/>
  <c r="L33" i="1"/>
  <c r="P32" i="1"/>
  <c r="L32" i="1"/>
  <c r="P31" i="1"/>
  <c r="T31" i="1" s="1"/>
  <c r="L31" i="1"/>
  <c r="P30" i="1"/>
  <c r="L30" i="1"/>
  <c r="P29" i="1"/>
  <c r="T29" i="1" s="1"/>
  <c r="L29" i="1"/>
  <c r="P28" i="1"/>
  <c r="L28" i="1"/>
  <c r="P27" i="1"/>
  <c r="T27" i="1" s="1"/>
  <c r="L27" i="1"/>
  <c r="P26" i="1"/>
  <c r="L26" i="1"/>
  <c r="P25" i="1"/>
  <c r="T25" i="1" s="1"/>
  <c r="L25" i="1"/>
  <c r="P24" i="1"/>
  <c r="L24" i="1"/>
  <c r="P23" i="1"/>
  <c r="T23" i="1" s="1"/>
  <c r="L23" i="1"/>
  <c r="P22" i="1"/>
  <c r="T22" i="1" s="1"/>
  <c r="L22" i="1"/>
  <c r="F21" i="1"/>
  <c r="E21" i="1"/>
  <c r="P21" i="1" s="1"/>
  <c r="P20" i="1"/>
  <c r="T20" i="1" s="1"/>
  <c r="L20" i="1"/>
  <c r="P19" i="1"/>
  <c r="L19" i="1"/>
  <c r="P18" i="1"/>
  <c r="T18" i="1" s="1"/>
  <c r="L18" i="1"/>
  <c r="P17" i="1"/>
  <c r="T17" i="1" s="1"/>
  <c r="L17" i="1"/>
  <c r="F16" i="1"/>
  <c r="E16" i="1"/>
  <c r="P16" i="1" s="1"/>
  <c r="P15" i="1"/>
  <c r="L15" i="1"/>
  <c r="P14" i="1"/>
  <c r="T14" i="1" s="1"/>
  <c r="L14" i="1"/>
  <c r="P13" i="1"/>
  <c r="L13" i="1"/>
  <c r="P12" i="1"/>
  <c r="T12" i="1" s="1"/>
  <c r="L12" i="1"/>
  <c r="P11" i="1"/>
  <c r="L11" i="1"/>
  <c r="P10" i="1"/>
  <c r="S10" i="1" s="1"/>
  <c r="L10" i="1"/>
  <c r="P9" i="1"/>
  <c r="S9" i="1" s="1"/>
  <c r="L9" i="1"/>
  <c r="P8" i="1"/>
  <c r="S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43" i="1" l="1"/>
  <c r="Q31" i="1"/>
  <c r="Q35" i="1"/>
  <c r="Q45" i="1"/>
  <c r="AF45" i="1" s="1"/>
  <c r="Q55" i="1"/>
  <c r="Q21" i="1"/>
  <c r="AH21" i="1" s="1"/>
  <c r="AL21" i="1" s="1"/>
  <c r="Q53" i="1"/>
  <c r="AH53" i="1" s="1"/>
  <c r="AI53" i="1" s="1"/>
  <c r="Q27" i="1"/>
  <c r="Q48" i="1"/>
  <c r="Q50" i="1"/>
  <c r="AF50" i="1" s="1"/>
  <c r="Q39" i="1"/>
  <c r="Q49" i="1"/>
  <c r="AH59" i="1"/>
  <c r="AL59" i="1" s="1"/>
  <c r="F5" i="1"/>
  <c r="Q47" i="1"/>
  <c r="AF47" i="1" s="1"/>
  <c r="Q25" i="1"/>
  <c r="AH25" i="1" s="1"/>
  <c r="AI25" i="1" s="1"/>
  <c r="Q29" i="1"/>
  <c r="AF29" i="1" s="1"/>
  <c r="Q33" i="1"/>
  <c r="AF33" i="1" s="1"/>
  <c r="Q37" i="1"/>
  <c r="AF37" i="1" s="1"/>
  <c r="Q41" i="1"/>
  <c r="AF41" i="1" s="1"/>
  <c r="Q57" i="1"/>
  <c r="AF57" i="1" s="1"/>
  <c r="Q65" i="1"/>
  <c r="AF65" i="1" s="1"/>
  <c r="T19" i="1"/>
  <c r="Q19" i="1"/>
  <c r="T52" i="1"/>
  <c r="Q12" i="1"/>
  <c r="AH61" i="1"/>
  <c r="AI61" i="1" s="1"/>
  <c r="AF61" i="1"/>
  <c r="T11" i="1"/>
  <c r="T13" i="1"/>
  <c r="Q13" i="1"/>
  <c r="T15" i="1"/>
  <c r="Q15" i="1"/>
  <c r="T24" i="1"/>
  <c r="T26" i="1"/>
  <c r="Q26" i="1"/>
  <c r="T28" i="1"/>
  <c r="Q28" i="1"/>
  <c r="AH29" i="1"/>
  <c r="AL29" i="1" s="1"/>
  <c r="T30" i="1"/>
  <c r="T32" i="1"/>
  <c r="Q32" i="1"/>
  <c r="T34" i="1"/>
  <c r="Q34" i="1"/>
  <c r="T36" i="1"/>
  <c r="Q36" i="1"/>
  <c r="T38" i="1"/>
  <c r="T40" i="1"/>
  <c r="T42" i="1"/>
  <c r="Q42" i="1"/>
  <c r="T44" i="1"/>
  <c r="T46" i="1"/>
  <c r="T54" i="1"/>
  <c r="Q54" i="1"/>
  <c r="T56" i="1"/>
  <c r="Q56" i="1"/>
  <c r="T58" i="1"/>
  <c r="Q58" i="1"/>
  <c r="AH60" i="1"/>
  <c r="AI60" i="1" s="1"/>
  <c r="Q14" i="1"/>
  <c r="Q18" i="1"/>
  <c r="Q23" i="1"/>
  <c r="Q51" i="1"/>
  <c r="AF59" i="1"/>
  <c r="Q67" i="1"/>
  <c r="Q22" i="1"/>
  <c r="Q66" i="1"/>
  <c r="T7" i="1"/>
  <c r="T21" i="1"/>
  <c r="T47" i="1"/>
  <c r="P68" i="1"/>
  <c r="T9" i="1"/>
  <c r="S20" i="1"/>
  <c r="AL53" i="1"/>
  <c r="P64" i="1"/>
  <c r="S69" i="1"/>
  <c r="T60" i="1"/>
  <c r="T6" i="1"/>
  <c r="T8" i="1"/>
  <c r="T10" i="1"/>
  <c r="E5" i="1"/>
  <c r="L16" i="1"/>
  <c r="L21" i="1"/>
  <c r="L47" i="1"/>
  <c r="R25" i="1" l="1"/>
  <c r="S25" i="1" s="1"/>
  <c r="AF21" i="1"/>
  <c r="AL61" i="1"/>
  <c r="AF53" i="1"/>
  <c r="AH47" i="1"/>
  <c r="AI47" i="1" s="1"/>
  <c r="AI29" i="1"/>
  <c r="AH35" i="1"/>
  <c r="AF35" i="1"/>
  <c r="R53" i="1"/>
  <c r="S53" i="1" s="1"/>
  <c r="AH50" i="1"/>
  <c r="AI50" i="1" s="1"/>
  <c r="AH65" i="1"/>
  <c r="AH57" i="1"/>
  <c r="AH41" i="1"/>
  <c r="AH33" i="1"/>
  <c r="AH55" i="1"/>
  <c r="AF55" i="1"/>
  <c r="AH27" i="1"/>
  <c r="AF27" i="1"/>
  <c r="AI41" i="1"/>
  <c r="R29" i="1"/>
  <c r="S29" i="1" s="1"/>
  <c r="AL25" i="1"/>
  <c r="AF25" i="1"/>
  <c r="AH43" i="1"/>
  <c r="AF43" i="1"/>
  <c r="AH39" i="1"/>
  <c r="AF39" i="1"/>
  <c r="AL65" i="1"/>
  <c r="AI33" i="1"/>
  <c r="AH45" i="1"/>
  <c r="AH37" i="1"/>
  <c r="AF49" i="1"/>
  <c r="AH49" i="1"/>
  <c r="AH31" i="1"/>
  <c r="AF31" i="1"/>
  <c r="AF16" i="1"/>
  <c r="AH16" i="1"/>
  <c r="T64" i="1"/>
  <c r="Q64" i="1"/>
  <c r="AF66" i="1"/>
  <c r="AH66" i="1"/>
  <c r="AF48" i="1"/>
  <c r="AH48" i="1"/>
  <c r="AF17" i="1"/>
  <c r="AH17" i="1"/>
  <c r="AH63" i="1"/>
  <c r="AF63" i="1"/>
  <c r="AF23" i="1"/>
  <c r="AH23" i="1"/>
  <c r="AF14" i="1"/>
  <c r="AH14" i="1"/>
  <c r="AH58" i="1"/>
  <c r="AF58" i="1"/>
  <c r="R50" i="1"/>
  <c r="S50" i="1" s="1"/>
  <c r="AH44" i="1"/>
  <c r="AF44" i="1"/>
  <c r="AH42" i="1"/>
  <c r="AF42" i="1"/>
  <c r="AH36" i="1"/>
  <c r="AF36" i="1"/>
  <c r="AH34" i="1"/>
  <c r="AF34" i="1"/>
  <c r="AH28" i="1"/>
  <c r="AF28" i="1"/>
  <c r="AH26" i="1"/>
  <c r="AF26" i="1"/>
  <c r="AF52" i="1"/>
  <c r="AH52" i="1"/>
  <c r="AH19" i="1"/>
  <c r="AF19" i="1"/>
  <c r="AI21" i="1"/>
  <c r="R21" i="1"/>
  <c r="S21" i="1" s="1"/>
  <c r="R61" i="1"/>
  <c r="S61" i="1" s="1"/>
  <c r="AL57" i="1"/>
  <c r="Q68" i="1"/>
  <c r="AF62" i="1"/>
  <c r="AH62" i="1"/>
  <c r="AF22" i="1"/>
  <c r="AH22" i="1"/>
  <c r="AH67" i="1"/>
  <c r="AF67" i="1"/>
  <c r="AI59" i="1"/>
  <c r="R59" i="1"/>
  <c r="S59" i="1" s="1"/>
  <c r="AF51" i="1"/>
  <c r="AH51" i="1"/>
  <c r="AF18" i="1"/>
  <c r="AH18" i="1"/>
  <c r="AL60" i="1"/>
  <c r="R60" i="1"/>
  <c r="S60" i="1" s="1"/>
  <c r="AH56" i="1"/>
  <c r="AF56" i="1"/>
  <c r="AH54" i="1"/>
  <c r="AF54" i="1"/>
  <c r="AH46" i="1"/>
  <c r="AF46" i="1"/>
  <c r="AH40" i="1"/>
  <c r="AF40" i="1"/>
  <c r="AH38" i="1"/>
  <c r="AF38" i="1"/>
  <c r="AH32" i="1"/>
  <c r="AF32" i="1"/>
  <c r="AH30" i="1"/>
  <c r="AF30" i="1"/>
  <c r="AH24" i="1"/>
  <c r="AF24" i="1"/>
  <c r="AH15" i="1"/>
  <c r="AF15" i="1"/>
  <c r="AF13" i="1"/>
  <c r="AH13" i="1"/>
  <c r="AF11" i="1"/>
  <c r="AH11" i="1"/>
  <c r="AH12" i="1"/>
  <c r="AF12" i="1"/>
  <c r="T68" i="1"/>
  <c r="L5" i="1"/>
  <c r="T16" i="1"/>
  <c r="P5" i="1"/>
  <c r="R47" i="1" l="1"/>
  <c r="S47" i="1" s="1"/>
  <c r="AL47" i="1"/>
  <c r="AL50" i="1"/>
  <c r="AI65" i="1"/>
  <c r="R65" i="1"/>
  <c r="S65" i="1" s="1"/>
  <c r="AL35" i="1"/>
  <c r="AI35" i="1"/>
  <c r="R35" i="1"/>
  <c r="S35" i="1" s="1"/>
  <c r="R55" i="1"/>
  <c r="S55" i="1" s="1"/>
  <c r="AI55" i="1"/>
  <c r="AL55" i="1"/>
  <c r="AL41" i="1"/>
  <c r="R41" i="1"/>
  <c r="S41" i="1" s="1"/>
  <c r="AL33" i="1"/>
  <c r="R33" i="1"/>
  <c r="S33" i="1" s="1"/>
  <c r="AI57" i="1"/>
  <c r="R57" i="1"/>
  <c r="S57" i="1" s="1"/>
  <c r="AL43" i="1"/>
  <c r="AI43" i="1"/>
  <c r="R43" i="1"/>
  <c r="S43" i="1" s="1"/>
  <c r="AI27" i="1"/>
  <c r="R27" i="1"/>
  <c r="S27" i="1" s="1"/>
  <c r="AL27" i="1"/>
  <c r="AI31" i="1"/>
  <c r="R31" i="1"/>
  <c r="S31" i="1" s="1"/>
  <c r="AL31" i="1"/>
  <c r="AL45" i="1"/>
  <c r="AI45" i="1"/>
  <c r="R45" i="1"/>
  <c r="S45" i="1" s="1"/>
  <c r="AI39" i="1"/>
  <c r="R39" i="1"/>
  <c r="S39" i="1" s="1"/>
  <c r="AL39" i="1"/>
  <c r="AI49" i="1"/>
  <c r="AL49" i="1"/>
  <c r="R49" i="1"/>
  <c r="S49" i="1" s="1"/>
  <c r="AI37" i="1"/>
  <c r="R37" i="1"/>
  <c r="S37" i="1" s="1"/>
  <c r="AL37" i="1"/>
  <c r="AI12" i="1"/>
  <c r="AL12" i="1"/>
  <c r="R12" i="1"/>
  <c r="S12" i="1" s="1"/>
  <c r="AL15" i="1"/>
  <c r="R15" i="1"/>
  <c r="S15" i="1" s="1"/>
  <c r="AI15" i="1"/>
  <c r="AL24" i="1"/>
  <c r="R24" i="1"/>
  <c r="S24" i="1" s="1"/>
  <c r="AI24" i="1"/>
  <c r="AL30" i="1"/>
  <c r="R30" i="1"/>
  <c r="S30" i="1" s="1"/>
  <c r="AI30" i="1"/>
  <c r="AL32" i="1"/>
  <c r="R32" i="1"/>
  <c r="S32" i="1" s="1"/>
  <c r="AI32" i="1"/>
  <c r="AL38" i="1"/>
  <c r="R38" i="1"/>
  <c r="S38" i="1" s="1"/>
  <c r="AI38" i="1"/>
  <c r="AL40" i="1"/>
  <c r="R40" i="1"/>
  <c r="S40" i="1" s="1"/>
  <c r="AI40" i="1"/>
  <c r="AL46" i="1"/>
  <c r="R46" i="1"/>
  <c r="S46" i="1" s="1"/>
  <c r="AI46" i="1"/>
  <c r="AL54" i="1"/>
  <c r="R54" i="1"/>
  <c r="S54" i="1" s="1"/>
  <c r="AI54" i="1"/>
  <c r="AL56" i="1"/>
  <c r="R56" i="1"/>
  <c r="S56" i="1" s="1"/>
  <c r="AI56" i="1"/>
  <c r="AI67" i="1"/>
  <c r="AL67" i="1"/>
  <c r="R67" i="1"/>
  <c r="S67" i="1" s="1"/>
  <c r="AF68" i="1"/>
  <c r="AH68" i="1"/>
  <c r="AL19" i="1"/>
  <c r="R19" i="1"/>
  <c r="S19" i="1" s="1"/>
  <c r="AI19" i="1"/>
  <c r="AL26" i="1"/>
  <c r="R26" i="1"/>
  <c r="S26" i="1" s="1"/>
  <c r="AI26" i="1"/>
  <c r="AL28" i="1"/>
  <c r="R28" i="1"/>
  <c r="S28" i="1" s="1"/>
  <c r="AI28" i="1"/>
  <c r="AL34" i="1"/>
  <c r="R34" i="1"/>
  <c r="S34" i="1" s="1"/>
  <c r="AI34" i="1"/>
  <c r="AL36" i="1"/>
  <c r="R36" i="1"/>
  <c r="S36" i="1" s="1"/>
  <c r="AI36" i="1"/>
  <c r="AL42" i="1"/>
  <c r="R42" i="1"/>
  <c r="S42" i="1" s="1"/>
  <c r="AI42" i="1"/>
  <c r="AL44" i="1"/>
  <c r="R44" i="1"/>
  <c r="S44" i="1" s="1"/>
  <c r="AI44" i="1"/>
  <c r="AL58" i="1"/>
  <c r="R58" i="1"/>
  <c r="S58" i="1" s="1"/>
  <c r="AI58" i="1"/>
  <c r="AI63" i="1"/>
  <c r="R63" i="1"/>
  <c r="S63" i="1" s="1"/>
  <c r="AL63" i="1"/>
  <c r="AF64" i="1"/>
  <c r="AH64" i="1"/>
  <c r="AI16" i="1"/>
  <c r="R16" i="1"/>
  <c r="S16" i="1" s="1"/>
  <c r="AL16" i="1"/>
  <c r="AL11" i="1"/>
  <c r="R11" i="1"/>
  <c r="AI11" i="1"/>
  <c r="AL13" i="1"/>
  <c r="R13" i="1"/>
  <c r="S13" i="1" s="1"/>
  <c r="AI13" i="1"/>
  <c r="AI18" i="1"/>
  <c r="R18" i="1"/>
  <c r="S18" i="1" s="1"/>
  <c r="AL18" i="1"/>
  <c r="AL51" i="1"/>
  <c r="R51" i="1"/>
  <c r="S51" i="1" s="1"/>
  <c r="AI51" i="1"/>
  <c r="AL22" i="1"/>
  <c r="R22" i="1"/>
  <c r="S22" i="1" s="1"/>
  <c r="AI22" i="1"/>
  <c r="AL62" i="1"/>
  <c r="R62" i="1"/>
  <c r="S62" i="1" s="1"/>
  <c r="AI62" i="1"/>
  <c r="AI52" i="1"/>
  <c r="R52" i="1"/>
  <c r="S52" i="1" s="1"/>
  <c r="AL52" i="1"/>
  <c r="AI14" i="1"/>
  <c r="R14" i="1"/>
  <c r="S14" i="1" s="1"/>
  <c r="AL14" i="1"/>
  <c r="AI23" i="1"/>
  <c r="R23" i="1"/>
  <c r="S23" i="1" s="1"/>
  <c r="AL23" i="1"/>
  <c r="AL17" i="1"/>
  <c r="R17" i="1"/>
  <c r="S17" i="1" s="1"/>
  <c r="AI17" i="1"/>
  <c r="AL48" i="1"/>
  <c r="R48" i="1"/>
  <c r="S48" i="1" s="1"/>
  <c r="AI48" i="1"/>
  <c r="AL66" i="1"/>
  <c r="R66" i="1"/>
  <c r="S66" i="1" s="1"/>
  <c r="AI66" i="1"/>
  <c r="Q5" i="1"/>
  <c r="AF5" i="1" l="1"/>
  <c r="AH5" i="1"/>
  <c r="S11" i="1"/>
  <c r="AL68" i="1"/>
  <c r="R68" i="1"/>
  <c r="S68" i="1" s="1"/>
  <c r="AI68" i="1"/>
  <c r="AL64" i="1"/>
  <c r="R64" i="1"/>
  <c r="S64" i="1" s="1"/>
  <c r="AI64" i="1"/>
  <c r="AI5" i="1" l="1"/>
  <c r="AL5" i="1"/>
  <c r="R5" i="1"/>
</calcChain>
</file>

<file path=xl/sharedStrings.xml><?xml version="1.0" encoding="utf-8"?>
<sst xmlns="http://schemas.openxmlformats.org/spreadsheetml/2006/main" count="259" uniqueCount="170">
  <si>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</si>
  <si>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</si>
  <si>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</si>
  <si>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</si>
  <si>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</si>
  <si>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</si>
  <si>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</si>
  <si>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</si>
  <si>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</si>
  <si>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</si>
  <si>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</si>
  <si>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</si>
  <si>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</si>
  <si>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</si>
  <si>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</si>
  <si>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</si>
  <si>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</si>
  <si>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</si>
  <si>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</si>
  <si>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</si>
  <si>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</si>
  <si>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</si>
  <si>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</si>
  <si>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</si>
  <si>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</si>
  <si>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</si>
  <si>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</si>
  <si>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</si>
  <si>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</si>
  <si>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</si>
  <si>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30,07,</t>
  </si>
  <si>
    <t>23,07,</t>
  </si>
  <si>
    <t>16,07,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</si>
  <si>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</si>
  <si>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</si>
  <si>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</si>
  <si>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</si>
  <si>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</si>
  <si>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</si>
  <si>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</si>
  <si>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</si>
  <si>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</si>
  <si>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</si>
  <si>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дубль</t>
  </si>
  <si>
    <t>Пельмени Отборные из свинины и говядины 0,9 кг ТМ Стародворье ТС Медвежье ушко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</si>
  <si>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</si>
  <si>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</si>
  <si>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</si>
  <si>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</si>
  <si>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</si>
  <si>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</si>
  <si>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</si>
  <si>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</si>
  <si>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</si>
  <si>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</si>
  <si>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</si>
  <si>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</si>
  <si>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</si>
  <si>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</si>
  <si>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</si>
  <si>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</si>
  <si>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</si>
  <si>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</si>
  <si>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</si>
  <si>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</si>
  <si>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ВНИМАНИЕ / P004966</t>
  </si>
  <si>
    <t>1000шт под ЮТЛ 03,07,26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</si>
  <si>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</si>
  <si>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</si>
  <si>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</si>
  <si>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</si>
  <si>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</si>
  <si>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</si>
  <si>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</si>
  <si>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</si>
  <si>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</si>
  <si>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</si>
  <si>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</si>
  <si>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</si>
  <si>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</si>
  <si>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</si>
  <si>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</si>
  <si>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</si>
  <si>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</si>
  <si>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</si>
  <si>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</si>
  <si>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</si>
  <si>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</si>
  <si>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</si>
  <si>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</si>
  <si>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</si>
  <si>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</si>
  <si>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</si>
  <si>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</si>
  <si>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</si>
  <si>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</si>
  <si>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</si>
  <si>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</si>
  <si>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</si>
  <si>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</si>
  <si>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</si>
  <si>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</si>
  <si>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</si>
  <si>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</si>
  <si>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</si>
  <si>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</si>
  <si>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</si>
  <si>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</si>
  <si>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</si>
  <si>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ВНИМАНИЕ / 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</si>
  <si>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</si>
  <si>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</si>
  <si>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</si>
  <si>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</si>
  <si>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</si>
  <si>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</si>
  <si>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</si>
  <si>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</si>
  <si>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</si>
  <si>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</si>
  <si>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</si>
  <si>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</si>
  <si>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</si>
  <si>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</si>
  <si>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</si>
  <si>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</si>
  <si>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</si>
  <si>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</si>
  <si>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</si>
  <si>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</si>
  <si>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</si>
  <si>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</si>
  <si>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</si>
  <si>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</si>
  <si>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</si>
  <si>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</si>
  <si>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</si>
  <si>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</si>
  <si>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</si>
  <si>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</si>
  <si>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</si>
  <si>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</si>
  <si>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</si>
  <si>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</si>
  <si>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</si>
  <si>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</si>
  <si>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</si>
  <si>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</si>
  <si>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</si>
  <si>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</si>
  <si>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</si>
  <si>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</si>
  <si>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</si>
  <si>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</si>
  <si>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</si>
  <si>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ВНИМАНИЕ / P004486</t>
  </si>
  <si>
    <t>акция ЮТЛ (26,06,26 - 2500)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</si>
  <si>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</si>
  <si>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</si>
  <si>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</si>
  <si>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</si>
  <si>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</si>
  <si>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</si>
  <si>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</si>
  <si>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</si>
  <si>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</si>
  <si>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</si>
  <si>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</t>
  </si>
  <si>
    <t>P005182</t>
  </si>
  <si>
    <t>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</si>
</sst>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8" width="7" customWidth="1"/>
    <col min="19" max="20" width="5" customWidth="1"/>
    <col min="21" max="30" width="6" customWidth="1"/>
    <col min="31" max="31" width="37.85546875" customWidth="1"/>
    <col min="32" max="32" width="6.85546875" customWidth="1"/>
    <col min="33" max="33" width="6" style="6" customWidth="1"/>
    <col min="34" max="34" width="7" style="12" customWidth="1"/>
    <col min="35" max="35" width="6.85546875" customWidth="1"/>
    <col min="36" max="37" width="5" customWidth="1"/>
    <col min="38" max="38" width="6" style="12" customWidth="1"/>
    <col min="39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>
        <v>3500</v>
      </c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29677.7</v>
      </c>
      <c r="F5" s="4">
        <f>SUM(F6:F499)</f>
        <v>45228.9</v>
      </c>
      <c r="G5" s="7"/>
      <c r="H5" s="1"/>
      <c r="I5" s="1"/>
      <c r="J5" s="1"/>
      <c r="K5" s="4">
        <f t="shared" ref="K5:R5" si="0">SUM(K6:K499)</f>
        <v>42939.3</v>
      </c>
      <c r="L5" s="4">
        <f t="shared" si="0"/>
        <v>-13261.599999999999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5935.54</v>
      </c>
      <c r="Q5" s="4">
        <f t="shared" si="0"/>
        <v>33724.560000000005</v>
      </c>
      <c r="R5" s="4">
        <f t="shared" si="0"/>
        <v>33657.4</v>
      </c>
      <c r="S5" s="1"/>
      <c r="T5" s="1"/>
      <c r="U5" s="4">
        <f t="shared" ref="U5:AD5" si="1">SUM(U6:U499)</f>
        <v>2803.2</v>
      </c>
      <c r="V5" s="4">
        <f t="shared" si="1"/>
        <v>5866.7600000000029</v>
      </c>
      <c r="W5" s="4">
        <f t="shared" si="1"/>
        <v>5438.3999999999987</v>
      </c>
      <c r="X5" s="4">
        <f t="shared" si="1"/>
        <v>5133.4000000000005</v>
      </c>
      <c r="Y5" s="4">
        <f t="shared" si="1"/>
        <v>5221.4199999999983</v>
      </c>
      <c r="Z5" s="4">
        <f t="shared" si="1"/>
        <v>4966.34</v>
      </c>
      <c r="AA5" s="4">
        <f t="shared" si="1"/>
        <v>3959.04</v>
      </c>
      <c r="AB5" s="4">
        <f t="shared" si="1"/>
        <v>3953.1400000000003</v>
      </c>
      <c r="AC5" s="4">
        <f t="shared" si="1"/>
        <v>3461.7999999999993</v>
      </c>
      <c r="AD5" s="4">
        <f t="shared" si="1"/>
        <v>3830.0400000000004</v>
      </c>
      <c r="AE5" s="1"/>
      <c r="AF5" s="4">
        <f>SUM(AF6:AF499)</f>
        <v>14119.389999999994</v>
      </c>
      <c r="AG5" s="7"/>
      <c r="AH5" s="11">
        <f>SUM(AH6:AH499)</f>
        <v>3690</v>
      </c>
      <c r="AI5" s="4">
        <f>SUM(AI6:AI499)</f>
        <v>14030.119999999999</v>
      </c>
      <c r="AJ5" s="1"/>
      <c r="AK5" s="1"/>
      <c r="AL5" s="11">
        <f>SUM(AL6:AL499)</f>
        <v>43.046031746031744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3" t="s">
        <v>41</v>
      </c>
      <c r="B6" s="13" t="s">
        <v>42</v>
      </c>
      <c r="C6" s="13">
        <v>288</v>
      </c>
      <c r="D6" s="13"/>
      <c r="E6" s="13"/>
      <c r="F6" s="17">
        <v>288</v>
      </c>
      <c r="G6" s="14">
        <v>0</v>
      </c>
      <c r="H6" s="13"/>
      <c r="I6" s="13" t="s">
        <v>43</v>
      </c>
      <c r="J6" s="13" t="s">
        <v>44</v>
      </c>
      <c r="K6" s="13"/>
      <c r="L6" s="13">
        <f t="shared" ref="L6:L37" si="2">E6-K6</f>
        <v>0</v>
      </c>
      <c r="M6" s="13"/>
      <c r="N6" s="13"/>
      <c r="O6" s="13"/>
      <c r="P6" s="13">
        <f t="shared" ref="P6:P37" si="3">E6/5</f>
        <v>0</v>
      </c>
      <c r="Q6" s="15"/>
      <c r="R6" s="15"/>
      <c r="S6" s="13" t="e">
        <f t="shared" ref="S6:S37" si="4">(F6+R6)/P6</f>
        <v>#DIV/0!</v>
      </c>
      <c r="T6" s="13" t="e">
        <f t="shared" ref="T6:T37" si="5">F6/P6</f>
        <v>#DIV/0!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3" t="s">
        <v>45</v>
      </c>
      <c r="B7" s="13" t="s">
        <v>42</v>
      </c>
      <c r="C7" s="13">
        <v>66</v>
      </c>
      <c r="D7" s="13">
        <v>258</v>
      </c>
      <c r="E7" s="17">
        <v>168</v>
      </c>
      <c r="F7" s="17">
        <v>120</v>
      </c>
      <c r="G7" s="14">
        <v>0</v>
      </c>
      <c r="H7" s="13"/>
      <c r="I7" s="13" t="s">
        <v>46</v>
      </c>
      <c r="J7" s="13" t="s">
        <v>47</v>
      </c>
      <c r="K7" s="13">
        <v>230</v>
      </c>
      <c r="L7" s="13">
        <f t="shared" si="2"/>
        <v>-62</v>
      </c>
      <c r="M7" s="13"/>
      <c r="N7" s="13"/>
      <c r="O7" s="13"/>
      <c r="P7" s="13">
        <f t="shared" si="3"/>
        <v>33.6</v>
      </c>
      <c r="Q7" s="15"/>
      <c r="R7" s="15"/>
      <c r="S7" s="13">
        <f t="shared" si="4"/>
        <v>3.5714285714285712</v>
      </c>
      <c r="T7" s="13">
        <f t="shared" si="5"/>
        <v>3.5714285714285712</v>
      </c>
      <c r="U7" s="13">
        <v>7</v>
      </c>
      <c r="V7" s="13">
        <v>26.6</v>
      </c>
      <c r="W7" s="13">
        <v>38</v>
      </c>
      <c r="X7" s="13">
        <v>15.2</v>
      </c>
      <c r="Y7" s="13">
        <v>39.6</v>
      </c>
      <c r="Z7" s="13">
        <v>34.4</v>
      </c>
      <c r="AA7" s="13">
        <v>35</v>
      </c>
      <c r="AB7" s="13">
        <v>30</v>
      </c>
      <c r="AC7" s="13">
        <v>28.8</v>
      </c>
      <c r="AD7" s="13">
        <v>33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3" t="s">
        <v>48</v>
      </c>
      <c r="B8" s="13" t="s">
        <v>42</v>
      </c>
      <c r="C8" s="13">
        <v>52</v>
      </c>
      <c r="D8" s="13">
        <v>290</v>
      </c>
      <c r="E8" s="17">
        <v>128</v>
      </c>
      <c r="F8" s="17">
        <v>185</v>
      </c>
      <c r="G8" s="14">
        <v>0</v>
      </c>
      <c r="H8" s="13"/>
      <c r="I8" s="13" t="s">
        <v>46</v>
      </c>
      <c r="J8" s="13" t="s">
        <v>49</v>
      </c>
      <c r="K8" s="13">
        <v>185</v>
      </c>
      <c r="L8" s="13">
        <f t="shared" si="2"/>
        <v>-57</v>
      </c>
      <c r="M8" s="13"/>
      <c r="N8" s="13"/>
      <c r="O8" s="13"/>
      <c r="P8" s="13">
        <f t="shared" si="3"/>
        <v>25.6</v>
      </c>
      <c r="Q8" s="15"/>
      <c r="R8" s="15"/>
      <c r="S8" s="13">
        <f t="shared" si="4"/>
        <v>7.2265625</v>
      </c>
      <c r="T8" s="13">
        <f t="shared" si="5"/>
        <v>7.2265625</v>
      </c>
      <c r="U8" s="13">
        <v>6.8</v>
      </c>
      <c r="V8" s="13">
        <v>22.6</v>
      </c>
      <c r="W8" s="13">
        <v>29.8</v>
      </c>
      <c r="X8" s="13">
        <v>20.399999999999999</v>
      </c>
      <c r="Y8" s="13">
        <v>30</v>
      </c>
      <c r="Z8" s="13">
        <v>25.2</v>
      </c>
      <c r="AA8" s="13">
        <v>38</v>
      </c>
      <c r="AB8" s="13">
        <v>27.6</v>
      </c>
      <c r="AC8" s="13">
        <v>25.6</v>
      </c>
      <c r="AD8" s="13">
        <v>24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3" t="s">
        <v>50</v>
      </c>
      <c r="B9" s="13" t="s">
        <v>51</v>
      </c>
      <c r="C9" s="13">
        <v>-7.4</v>
      </c>
      <c r="D9" s="13"/>
      <c r="E9" s="13"/>
      <c r="F9" s="17">
        <v>-7.4</v>
      </c>
      <c r="G9" s="14">
        <v>0</v>
      </c>
      <c r="H9" s="13"/>
      <c r="I9" s="13" t="s">
        <v>46</v>
      </c>
      <c r="J9" s="13" t="s">
        <v>52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3" t="e">
        <f t="shared" si="4"/>
        <v>#DIV/0!</v>
      </c>
      <c r="T9" s="13" t="e">
        <f t="shared" si="5"/>
        <v>#DIV/0!</v>
      </c>
      <c r="U9" s="13">
        <v>0.74</v>
      </c>
      <c r="V9" s="13">
        <v>0.74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/>
      <c r="AF9" s="13"/>
      <c r="AG9" s="14"/>
      <c r="AH9" s="16"/>
      <c r="AI9" s="13"/>
      <c r="AJ9" s="13"/>
      <c r="AK9" s="13"/>
      <c r="AL9" s="16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3" t="s">
        <v>53</v>
      </c>
      <c r="B10" s="13" t="s">
        <v>42</v>
      </c>
      <c r="C10" s="13">
        <v>236</v>
      </c>
      <c r="D10" s="13">
        <v>16</v>
      </c>
      <c r="E10" s="17">
        <v>33</v>
      </c>
      <c r="F10" s="17">
        <v>213</v>
      </c>
      <c r="G10" s="14">
        <v>0</v>
      </c>
      <c r="H10" s="13"/>
      <c r="I10" s="13" t="s">
        <v>46</v>
      </c>
      <c r="J10" s="13" t="s">
        <v>54</v>
      </c>
      <c r="K10" s="13">
        <v>44</v>
      </c>
      <c r="L10" s="13">
        <f t="shared" si="2"/>
        <v>-11</v>
      </c>
      <c r="M10" s="13"/>
      <c r="N10" s="13"/>
      <c r="O10" s="13"/>
      <c r="P10" s="13">
        <f t="shared" si="3"/>
        <v>6.6</v>
      </c>
      <c r="Q10" s="15"/>
      <c r="R10" s="15"/>
      <c r="S10" s="13">
        <f t="shared" si="4"/>
        <v>32.272727272727273</v>
      </c>
      <c r="T10" s="13">
        <f t="shared" si="5"/>
        <v>32.272727272727273</v>
      </c>
      <c r="U10" s="13">
        <v>1</v>
      </c>
      <c r="V10" s="13">
        <v>2.8</v>
      </c>
      <c r="W10" s="13">
        <v>0.6</v>
      </c>
      <c r="X10" s="13">
        <v>3.2</v>
      </c>
      <c r="Y10" s="13">
        <v>3.8</v>
      </c>
      <c r="Z10" s="13">
        <v>8.4</v>
      </c>
      <c r="AA10" s="13">
        <v>3</v>
      </c>
      <c r="AB10" s="13">
        <v>13.6</v>
      </c>
      <c r="AC10" s="13">
        <v>9.6</v>
      </c>
      <c r="AD10" s="13">
        <v>5.8</v>
      </c>
      <c r="AE10" s="13"/>
      <c r="AF10" s="13"/>
      <c r="AG10" s="14"/>
      <c r="AH10" s="16"/>
      <c r="AI10" s="13"/>
      <c r="AJ10" s="13"/>
      <c r="AK10" s="13"/>
      <c r="AL10" s="16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55</v>
      </c>
      <c r="B11" s="1" t="s">
        <v>42</v>
      </c>
      <c r="C11" s="1">
        <v>1095</v>
      </c>
      <c r="D11" s="1">
        <v>127</v>
      </c>
      <c r="E11" s="1">
        <v>309</v>
      </c>
      <c r="F11" s="1">
        <v>792</v>
      </c>
      <c r="G11" s="7">
        <v>0.3</v>
      </c>
      <c r="H11" s="1">
        <v>180</v>
      </c>
      <c r="I11" s="1" t="s">
        <v>56</v>
      </c>
      <c r="J11" s="1"/>
      <c r="K11" s="1">
        <v>474</v>
      </c>
      <c r="L11" s="1">
        <f t="shared" si="2"/>
        <v>-165</v>
      </c>
      <c r="M11" s="1"/>
      <c r="N11" s="1"/>
      <c r="O11" s="1"/>
      <c r="P11" s="1">
        <f t="shared" si="3"/>
        <v>61.8</v>
      </c>
      <c r="Q11" s="5"/>
      <c r="R11" s="5">
        <f t="shared" ref="R11:R19" si="6">AG11*AH11</f>
        <v>0</v>
      </c>
      <c r="S11" s="1">
        <f t="shared" si="4"/>
        <v>12.815533980582526</v>
      </c>
      <c r="T11" s="1">
        <f t="shared" si="5"/>
        <v>12.815533980582526</v>
      </c>
      <c r="U11" s="1">
        <v>29.2</v>
      </c>
      <c r="V11" s="1">
        <v>82.4</v>
      </c>
      <c r="W11" s="1">
        <v>66.400000000000006</v>
      </c>
      <c r="X11" s="1">
        <v>58.6</v>
      </c>
      <c r="Y11" s="1">
        <v>76.599999999999994</v>
      </c>
      <c r="Z11" s="1">
        <v>43.4</v>
      </c>
      <c r="AA11" s="1">
        <v>40.6</v>
      </c>
      <c r="AB11" s="1">
        <v>47</v>
      </c>
      <c r="AC11" s="1">
        <v>38.4</v>
      </c>
      <c r="AD11" s="1">
        <v>31.8</v>
      </c>
      <c r="AE11" s="1"/>
      <c r="AF11" s="1">
        <f t="shared" ref="AF11:AF19" si="7">G11*Q11</f>
        <v>0</v>
      </c>
      <c r="AG11" s="7">
        <v>12</v>
      </c>
      <c r="AH11" s="9">
        <f t="shared" ref="AH11:AH19" si="8">MROUND(Q11, AG11*AJ11)/AG11</f>
        <v>0</v>
      </c>
      <c r="AI11" s="1">
        <f t="shared" ref="AI11:AI19" si="9">AH11*AG11*G11</f>
        <v>0</v>
      </c>
      <c r="AJ11" s="1">
        <v>14</v>
      </c>
      <c r="AK11" s="1">
        <v>70</v>
      </c>
      <c r="AL11" s="9">
        <f t="shared" ref="AL11:AL19" si="10">AH11/AK11</f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57</v>
      </c>
      <c r="B12" s="1" t="s">
        <v>42</v>
      </c>
      <c r="C12" s="1">
        <v>1288</v>
      </c>
      <c r="D12" s="1">
        <v>192</v>
      </c>
      <c r="E12" s="1">
        <v>550</v>
      </c>
      <c r="F12" s="1">
        <v>693</v>
      </c>
      <c r="G12" s="7">
        <v>0.28000000000000003</v>
      </c>
      <c r="H12" s="1">
        <v>180</v>
      </c>
      <c r="I12" s="1" t="s">
        <v>58</v>
      </c>
      <c r="J12" s="1"/>
      <c r="K12" s="1">
        <v>775</v>
      </c>
      <c r="L12" s="1">
        <f t="shared" si="2"/>
        <v>-225</v>
      </c>
      <c r="M12" s="1"/>
      <c r="N12" s="1"/>
      <c r="O12" s="1"/>
      <c r="P12" s="1">
        <f t="shared" si="3"/>
        <v>110</v>
      </c>
      <c r="Q12" s="5">
        <f t="shared" ref="Q12:Q19" si="11">14*P12-F12</f>
        <v>847</v>
      </c>
      <c r="R12" s="5">
        <f t="shared" si="6"/>
        <v>840</v>
      </c>
      <c r="S12" s="1">
        <f t="shared" si="4"/>
        <v>13.936363636363636</v>
      </c>
      <c r="T12" s="1">
        <f t="shared" si="5"/>
        <v>6.3</v>
      </c>
      <c r="U12" s="1">
        <v>68.599999999999994</v>
      </c>
      <c r="V12" s="1">
        <v>100.6</v>
      </c>
      <c r="W12" s="1">
        <v>99.6</v>
      </c>
      <c r="X12" s="1">
        <v>78.599999999999994</v>
      </c>
      <c r="Y12" s="1">
        <v>70.2</v>
      </c>
      <c r="Z12" s="1">
        <v>45.6</v>
      </c>
      <c r="AA12" s="1">
        <v>25.8</v>
      </c>
      <c r="AB12" s="1">
        <v>49</v>
      </c>
      <c r="AC12" s="1">
        <v>30.4</v>
      </c>
      <c r="AD12" s="1">
        <v>40.6</v>
      </c>
      <c r="AE12" s="1"/>
      <c r="AF12" s="1">
        <f t="shared" si="7"/>
        <v>237.16000000000003</v>
      </c>
      <c r="AG12" s="7">
        <v>6</v>
      </c>
      <c r="AH12" s="9">
        <f t="shared" si="8"/>
        <v>140</v>
      </c>
      <c r="AI12" s="1">
        <f t="shared" si="9"/>
        <v>235.20000000000002</v>
      </c>
      <c r="AJ12" s="1">
        <v>14</v>
      </c>
      <c r="AK12" s="1">
        <v>140</v>
      </c>
      <c r="AL12" s="9">
        <f t="shared" si="10"/>
        <v>1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59</v>
      </c>
      <c r="B13" s="1" t="s">
        <v>42</v>
      </c>
      <c r="C13" s="1">
        <v>1517</v>
      </c>
      <c r="D13" s="1">
        <v>203</v>
      </c>
      <c r="E13" s="1">
        <v>631</v>
      </c>
      <c r="F13" s="1">
        <v>928</v>
      </c>
      <c r="G13" s="7">
        <v>0.24</v>
      </c>
      <c r="H13" s="1">
        <v>180</v>
      </c>
      <c r="I13" s="1" t="s">
        <v>60</v>
      </c>
      <c r="J13" s="1"/>
      <c r="K13" s="1">
        <v>826</v>
      </c>
      <c r="L13" s="1">
        <f t="shared" si="2"/>
        <v>-195</v>
      </c>
      <c r="M13" s="1"/>
      <c r="N13" s="1"/>
      <c r="O13" s="1"/>
      <c r="P13" s="1">
        <f t="shared" si="3"/>
        <v>126.2</v>
      </c>
      <c r="Q13" s="5">
        <f t="shared" si="11"/>
        <v>838.8</v>
      </c>
      <c r="R13" s="5">
        <f t="shared" si="6"/>
        <v>840</v>
      </c>
      <c r="S13" s="1">
        <f t="shared" si="4"/>
        <v>14.009508716323296</v>
      </c>
      <c r="T13" s="1">
        <f t="shared" si="5"/>
        <v>7.3534072900158476</v>
      </c>
      <c r="U13" s="1">
        <v>71.2</v>
      </c>
      <c r="V13" s="1">
        <v>131.4</v>
      </c>
      <c r="W13" s="1">
        <v>134.80000000000001</v>
      </c>
      <c r="X13" s="1">
        <v>100.4</v>
      </c>
      <c r="Y13" s="1">
        <v>92.8</v>
      </c>
      <c r="Z13" s="1">
        <v>115.8</v>
      </c>
      <c r="AA13" s="1">
        <v>91</v>
      </c>
      <c r="AB13" s="1">
        <v>91.4</v>
      </c>
      <c r="AC13" s="1">
        <v>89</v>
      </c>
      <c r="AD13" s="1">
        <v>79.8</v>
      </c>
      <c r="AE13" s="1"/>
      <c r="AF13" s="1">
        <f t="shared" si="7"/>
        <v>201.31199999999998</v>
      </c>
      <c r="AG13" s="7">
        <v>12</v>
      </c>
      <c r="AH13" s="9">
        <f t="shared" si="8"/>
        <v>70</v>
      </c>
      <c r="AI13" s="1">
        <f t="shared" si="9"/>
        <v>201.6</v>
      </c>
      <c r="AJ13" s="1">
        <v>14</v>
      </c>
      <c r="AK13" s="1">
        <v>70</v>
      </c>
      <c r="AL13" s="9">
        <f t="shared" si="10"/>
        <v>1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61</v>
      </c>
      <c r="B14" s="1" t="s">
        <v>42</v>
      </c>
      <c r="C14" s="1">
        <v>2618</v>
      </c>
      <c r="D14" s="1">
        <v>407</v>
      </c>
      <c r="E14" s="1">
        <v>960</v>
      </c>
      <c r="F14" s="1">
        <v>1695</v>
      </c>
      <c r="G14" s="7">
        <v>0.24</v>
      </c>
      <c r="H14" s="1">
        <v>180</v>
      </c>
      <c r="I14" s="1" t="s">
        <v>62</v>
      </c>
      <c r="J14" s="1"/>
      <c r="K14" s="1">
        <v>1383</v>
      </c>
      <c r="L14" s="1">
        <f t="shared" si="2"/>
        <v>-423</v>
      </c>
      <c r="M14" s="1"/>
      <c r="N14" s="1"/>
      <c r="O14" s="1"/>
      <c r="P14" s="1">
        <f t="shared" si="3"/>
        <v>192</v>
      </c>
      <c r="Q14" s="5">
        <f t="shared" si="11"/>
        <v>993</v>
      </c>
      <c r="R14" s="5">
        <f t="shared" si="6"/>
        <v>1008</v>
      </c>
      <c r="S14" s="1">
        <f t="shared" si="4"/>
        <v>14.078125</v>
      </c>
      <c r="T14" s="1">
        <f t="shared" si="5"/>
        <v>8.828125</v>
      </c>
      <c r="U14" s="1">
        <v>114.4</v>
      </c>
      <c r="V14" s="1">
        <v>214.6</v>
      </c>
      <c r="W14" s="1">
        <v>200.8</v>
      </c>
      <c r="X14" s="1">
        <v>197</v>
      </c>
      <c r="Y14" s="1">
        <v>180</v>
      </c>
      <c r="Z14" s="1">
        <v>288.39999999999998</v>
      </c>
      <c r="AA14" s="1">
        <v>131</v>
      </c>
      <c r="AB14" s="1">
        <v>156.6</v>
      </c>
      <c r="AC14" s="1">
        <v>150</v>
      </c>
      <c r="AD14" s="1">
        <v>122</v>
      </c>
      <c r="AE14" s="1"/>
      <c r="AF14" s="1">
        <f t="shared" si="7"/>
        <v>238.32</v>
      </c>
      <c r="AG14" s="7">
        <v>12</v>
      </c>
      <c r="AH14" s="9">
        <f t="shared" si="8"/>
        <v>84</v>
      </c>
      <c r="AI14" s="1">
        <f t="shared" si="9"/>
        <v>241.92</v>
      </c>
      <c r="AJ14" s="1">
        <v>14</v>
      </c>
      <c r="AK14" s="1">
        <v>70</v>
      </c>
      <c r="AL14" s="9">
        <f t="shared" si="10"/>
        <v>1.2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63</v>
      </c>
      <c r="B15" s="1" t="s">
        <v>42</v>
      </c>
      <c r="C15" s="1">
        <v>1540</v>
      </c>
      <c r="D15" s="1">
        <v>298</v>
      </c>
      <c r="E15" s="1">
        <v>709</v>
      </c>
      <c r="F15" s="1">
        <v>873</v>
      </c>
      <c r="G15" s="7">
        <v>0.24</v>
      </c>
      <c r="H15" s="1">
        <v>180</v>
      </c>
      <c r="I15" s="1" t="s">
        <v>64</v>
      </c>
      <c r="J15" s="1"/>
      <c r="K15" s="1">
        <v>990</v>
      </c>
      <c r="L15" s="1">
        <f t="shared" si="2"/>
        <v>-281</v>
      </c>
      <c r="M15" s="1"/>
      <c r="N15" s="1"/>
      <c r="O15" s="1"/>
      <c r="P15" s="1">
        <f t="shared" si="3"/>
        <v>141.80000000000001</v>
      </c>
      <c r="Q15" s="5">
        <f t="shared" si="11"/>
        <v>1112.2000000000003</v>
      </c>
      <c r="R15" s="5">
        <f t="shared" si="6"/>
        <v>1176</v>
      </c>
      <c r="S15" s="1">
        <f t="shared" si="4"/>
        <v>14.449929478138221</v>
      </c>
      <c r="T15" s="1">
        <f t="shared" si="5"/>
        <v>6.1565585331452741</v>
      </c>
      <c r="U15" s="1">
        <v>70.400000000000006</v>
      </c>
      <c r="V15" s="1">
        <v>123.6</v>
      </c>
      <c r="W15" s="1">
        <v>97</v>
      </c>
      <c r="X15" s="1">
        <v>141</v>
      </c>
      <c r="Y15" s="1">
        <v>145.4</v>
      </c>
      <c r="Z15" s="1">
        <v>95.4</v>
      </c>
      <c r="AA15" s="1">
        <v>88.4</v>
      </c>
      <c r="AB15" s="1">
        <v>103.2</v>
      </c>
      <c r="AC15" s="1">
        <v>78.2</v>
      </c>
      <c r="AD15" s="1">
        <v>110.6</v>
      </c>
      <c r="AE15" s="1"/>
      <c r="AF15" s="1">
        <f t="shared" si="7"/>
        <v>266.92800000000005</v>
      </c>
      <c r="AG15" s="7">
        <v>12</v>
      </c>
      <c r="AH15" s="9">
        <f t="shared" si="8"/>
        <v>98</v>
      </c>
      <c r="AI15" s="1">
        <f t="shared" si="9"/>
        <v>282.24</v>
      </c>
      <c r="AJ15" s="1">
        <v>14</v>
      </c>
      <c r="AK15" s="1">
        <v>70</v>
      </c>
      <c r="AL15" s="9">
        <f t="shared" si="10"/>
        <v>1.4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42</v>
      </c>
      <c r="C16" s="1">
        <v>1749</v>
      </c>
      <c r="D16" s="1">
        <v>1157</v>
      </c>
      <c r="E16" s="17">
        <f>986+E7</f>
        <v>1154</v>
      </c>
      <c r="F16" s="17">
        <f>593+F7</f>
        <v>713</v>
      </c>
      <c r="G16" s="7">
        <v>0.24</v>
      </c>
      <c r="H16" s="1">
        <v>180</v>
      </c>
      <c r="I16" s="18" t="s">
        <v>65</v>
      </c>
      <c r="J16" s="1"/>
      <c r="K16" s="1">
        <v>1496</v>
      </c>
      <c r="L16" s="1">
        <f t="shared" si="2"/>
        <v>-342</v>
      </c>
      <c r="M16" s="1"/>
      <c r="N16" s="1"/>
      <c r="O16" s="1"/>
      <c r="P16" s="1">
        <f t="shared" si="3"/>
        <v>230.8</v>
      </c>
      <c r="Q16" s="5">
        <v>1400</v>
      </c>
      <c r="R16" s="5">
        <f t="shared" si="6"/>
        <v>1344</v>
      </c>
      <c r="S16" s="1">
        <f t="shared" si="4"/>
        <v>8.9124783362218363</v>
      </c>
      <c r="T16" s="1">
        <f t="shared" si="5"/>
        <v>3.0892547660311958</v>
      </c>
      <c r="U16" s="1">
        <v>87.8</v>
      </c>
      <c r="V16" s="1">
        <v>156.6</v>
      </c>
      <c r="W16" s="1">
        <v>173</v>
      </c>
      <c r="X16" s="1">
        <v>147.19999999999999</v>
      </c>
      <c r="Y16" s="1">
        <v>152</v>
      </c>
      <c r="Z16" s="1">
        <v>135.4</v>
      </c>
      <c r="AA16" s="1">
        <v>98.2</v>
      </c>
      <c r="AB16" s="1">
        <v>128</v>
      </c>
      <c r="AC16" s="1">
        <v>99.2</v>
      </c>
      <c r="AD16" s="1">
        <v>113.8</v>
      </c>
      <c r="AE16" s="1" t="s">
        <v>66</v>
      </c>
      <c r="AF16" s="1">
        <f t="shared" si="7"/>
        <v>336</v>
      </c>
      <c r="AG16" s="7">
        <v>12</v>
      </c>
      <c r="AH16" s="9">
        <f t="shared" si="8"/>
        <v>112</v>
      </c>
      <c r="AI16" s="1">
        <f t="shared" si="9"/>
        <v>322.56</v>
      </c>
      <c r="AJ16" s="1">
        <v>14</v>
      </c>
      <c r="AK16" s="1">
        <v>70</v>
      </c>
      <c r="AL16" s="9">
        <f t="shared" si="10"/>
        <v>1.6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67</v>
      </c>
      <c r="B17" s="1" t="s">
        <v>42</v>
      </c>
      <c r="C17" s="1">
        <v>1300</v>
      </c>
      <c r="D17" s="1">
        <v>54</v>
      </c>
      <c r="E17" s="1">
        <v>265</v>
      </c>
      <c r="F17" s="1">
        <v>1037</v>
      </c>
      <c r="G17" s="7">
        <v>0.48</v>
      </c>
      <c r="H17" s="1">
        <v>180</v>
      </c>
      <c r="I17" s="1" t="s">
        <v>68</v>
      </c>
      <c r="J17" s="1"/>
      <c r="K17" s="1">
        <v>372</v>
      </c>
      <c r="L17" s="1">
        <f t="shared" si="2"/>
        <v>-107</v>
      </c>
      <c r="M17" s="1"/>
      <c r="N17" s="1"/>
      <c r="O17" s="1"/>
      <c r="P17" s="1">
        <f t="shared" si="3"/>
        <v>53</v>
      </c>
      <c r="Q17" s="5"/>
      <c r="R17" s="5">
        <f t="shared" si="6"/>
        <v>0</v>
      </c>
      <c r="S17" s="1">
        <f t="shared" si="4"/>
        <v>19.566037735849058</v>
      </c>
      <c r="T17" s="1">
        <f t="shared" si="5"/>
        <v>19.566037735849058</v>
      </c>
      <c r="U17" s="1">
        <v>11.8</v>
      </c>
      <c r="V17" s="1">
        <v>86.2</v>
      </c>
      <c r="W17" s="1">
        <v>77.2</v>
      </c>
      <c r="X17" s="1">
        <v>87</v>
      </c>
      <c r="Y17" s="1">
        <v>55.8</v>
      </c>
      <c r="Z17" s="1">
        <v>105</v>
      </c>
      <c r="AA17" s="1">
        <v>51.6</v>
      </c>
      <c r="AB17" s="1">
        <v>45.8</v>
      </c>
      <c r="AC17" s="1">
        <v>24.6</v>
      </c>
      <c r="AD17" s="1">
        <v>63.4</v>
      </c>
      <c r="AE17" s="19" t="s">
        <v>167</v>
      </c>
      <c r="AF17" s="1">
        <f t="shared" si="7"/>
        <v>0</v>
      </c>
      <c r="AG17" s="7">
        <v>8</v>
      </c>
      <c r="AH17" s="9">
        <f t="shared" si="8"/>
        <v>0</v>
      </c>
      <c r="AI17" s="1">
        <f t="shared" si="9"/>
        <v>0</v>
      </c>
      <c r="AJ17" s="1">
        <v>14</v>
      </c>
      <c r="AK17" s="1">
        <v>70</v>
      </c>
      <c r="AL17" s="9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69</v>
      </c>
      <c r="B18" s="1" t="s">
        <v>42</v>
      </c>
      <c r="C18" s="1">
        <v>2429</v>
      </c>
      <c r="D18" s="1">
        <v>305</v>
      </c>
      <c r="E18" s="1">
        <v>758</v>
      </c>
      <c r="F18" s="1">
        <v>1699</v>
      </c>
      <c r="G18" s="7">
        <v>0.09</v>
      </c>
      <c r="H18" s="1">
        <v>180</v>
      </c>
      <c r="I18" s="1" t="s">
        <v>70</v>
      </c>
      <c r="J18" s="1"/>
      <c r="K18" s="1">
        <v>1139</v>
      </c>
      <c r="L18" s="1">
        <f t="shared" si="2"/>
        <v>-381</v>
      </c>
      <c r="M18" s="1"/>
      <c r="N18" s="1"/>
      <c r="O18" s="1"/>
      <c r="P18" s="1">
        <f t="shared" si="3"/>
        <v>151.6</v>
      </c>
      <c r="Q18" s="5">
        <f t="shared" si="11"/>
        <v>423.40000000000009</v>
      </c>
      <c r="R18" s="5">
        <f t="shared" si="6"/>
        <v>336</v>
      </c>
      <c r="S18" s="1">
        <f t="shared" si="4"/>
        <v>13.423482849604222</v>
      </c>
      <c r="T18" s="1">
        <f t="shared" si="5"/>
        <v>11.207124010554089</v>
      </c>
      <c r="U18" s="1">
        <v>91.4</v>
      </c>
      <c r="V18" s="1">
        <v>192.4</v>
      </c>
      <c r="W18" s="1">
        <v>144</v>
      </c>
      <c r="X18" s="1">
        <v>106.6</v>
      </c>
      <c r="Y18" s="1">
        <v>204.8</v>
      </c>
      <c r="Z18" s="1">
        <v>108.4</v>
      </c>
      <c r="AA18" s="1">
        <v>84</v>
      </c>
      <c r="AB18" s="1">
        <v>140.19999999999999</v>
      </c>
      <c r="AC18" s="1">
        <v>86.8</v>
      </c>
      <c r="AD18" s="1">
        <v>117.6</v>
      </c>
      <c r="AE18" s="1"/>
      <c r="AF18" s="1">
        <f t="shared" si="7"/>
        <v>38.106000000000009</v>
      </c>
      <c r="AG18" s="7">
        <v>24</v>
      </c>
      <c r="AH18" s="9">
        <f t="shared" si="8"/>
        <v>14</v>
      </c>
      <c r="AI18" s="1">
        <f t="shared" si="9"/>
        <v>30.24</v>
      </c>
      <c r="AJ18" s="1">
        <v>14</v>
      </c>
      <c r="AK18" s="1">
        <v>126</v>
      </c>
      <c r="AL18" s="9">
        <f t="shared" si="10"/>
        <v>0.1111111111111111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71</v>
      </c>
      <c r="B19" s="1" t="s">
        <v>42</v>
      </c>
      <c r="C19" s="1">
        <v>278</v>
      </c>
      <c r="D19" s="1">
        <v>17</v>
      </c>
      <c r="E19" s="1">
        <v>120</v>
      </c>
      <c r="F19" s="1">
        <v>155</v>
      </c>
      <c r="G19" s="7">
        <v>0.36</v>
      </c>
      <c r="H19" s="1">
        <v>180</v>
      </c>
      <c r="I19" s="1" t="s">
        <v>72</v>
      </c>
      <c r="J19" s="1"/>
      <c r="K19" s="1">
        <v>207</v>
      </c>
      <c r="L19" s="1">
        <f t="shared" si="2"/>
        <v>-87</v>
      </c>
      <c r="M19" s="1"/>
      <c r="N19" s="1"/>
      <c r="O19" s="1"/>
      <c r="P19" s="1">
        <f t="shared" si="3"/>
        <v>24</v>
      </c>
      <c r="Q19" s="5">
        <f t="shared" si="11"/>
        <v>181</v>
      </c>
      <c r="R19" s="5">
        <f t="shared" si="6"/>
        <v>140</v>
      </c>
      <c r="S19" s="1">
        <f t="shared" si="4"/>
        <v>12.291666666666666</v>
      </c>
      <c r="T19" s="1">
        <f t="shared" si="5"/>
        <v>6.458333333333333</v>
      </c>
      <c r="U19" s="1">
        <v>15</v>
      </c>
      <c r="V19" s="1">
        <v>23.2</v>
      </c>
      <c r="W19" s="1">
        <v>21.6</v>
      </c>
      <c r="X19" s="1">
        <v>32.799999999999997</v>
      </c>
      <c r="Y19" s="1">
        <v>16.399999999999999</v>
      </c>
      <c r="Z19" s="1">
        <v>28.4</v>
      </c>
      <c r="AA19" s="1">
        <v>15.2</v>
      </c>
      <c r="AB19" s="1">
        <v>20.399999999999999</v>
      </c>
      <c r="AC19" s="1">
        <v>22</v>
      </c>
      <c r="AD19" s="1">
        <v>26.2</v>
      </c>
      <c r="AE19" s="1"/>
      <c r="AF19" s="1">
        <f t="shared" si="7"/>
        <v>65.16</v>
      </c>
      <c r="AG19" s="7">
        <v>10</v>
      </c>
      <c r="AH19" s="9">
        <f t="shared" si="8"/>
        <v>14</v>
      </c>
      <c r="AI19" s="1">
        <f t="shared" si="9"/>
        <v>50.4</v>
      </c>
      <c r="AJ19" s="1">
        <v>14</v>
      </c>
      <c r="AK19" s="1">
        <v>70</v>
      </c>
      <c r="AL19" s="9">
        <f t="shared" si="10"/>
        <v>0.2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3" t="s">
        <v>73</v>
      </c>
      <c r="B20" s="13" t="s">
        <v>42</v>
      </c>
      <c r="C20" s="13">
        <v>-18</v>
      </c>
      <c r="D20" s="13">
        <v>24</v>
      </c>
      <c r="E20" s="17">
        <v>56</v>
      </c>
      <c r="F20" s="17">
        <v>-74</v>
      </c>
      <c r="G20" s="14">
        <v>0</v>
      </c>
      <c r="H20" s="13"/>
      <c r="I20" s="13" t="s">
        <v>43</v>
      </c>
      <c r="J20" s="13" t="s">
        <v>74</v>
      </c>
      <c r="K20" s="13">
        <v>94</v>
      </c>
      <c r="L20" s="13">
        <f t="shared" si="2"/>
        <v>-38</v>
      </c>
      <c r="M20" s="13"/>
      <c r="N20" s="13"/>
      <c r="O20" s="13"/>
      <c r="P20" s="13">
        <f t="shared" si="3"/>
        <v>11.2</v>
      </c>
      <c r="Q20" s="15"/>
      <c r="R20" s="15"/>
      <c r="S20" s="13">
        <f t="shared" si="4"/>
        <v>-6.6071428571428577</v>
      </c>
      <c r="T20" s="13">
        <f t="shared" si="5"/>
        <v>-6.6071428571428577</v>
      </c>
      <c r="U20" s="13">
        <v>0</v>
      </c>
      <c r="V20" s="13">
        <v>6.4</v>
      </c>
      <c r="W20" s="13">
        <v>6.8</v>
      </c>
      <c r="X20" s="13">
        <v>6.8</v>
      </c>
      <c r="Y20" s="13">
        <v>4</v>
      </c>
      <c r="Z20" s="13">
        <v>4</v>
      </c>
      <c r="AA20" s="13">
        <v>0</v>
      </c>
      <c r="AB20" s="13">
        <v>0</v>
      </c>
      <c r="AC20" s="13">
        <v>0</v>
      </c>
      <c r="AD20" s="13">
        <v>0</v>
      </c>
      <c r="AE20" s="13"/>
      <c r="AF20" s="13"/>
      <c r="AG20" s="14"/>
      <c r="AH20" s="16"/>
      <c r="AI20" s="13"/>
      <c r="AJ20" s="13"/>
      <c r="AK20" s="13"/>
      <c r="AL20" s="16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74</v>
      </c>
      <c r="B21" s="1" t="s">
        <v>42</v>
      </c>
      <c r="C21" s="1">
        <v>955</v>
      </c>
      <c r="D21" s="1">
        <v>88</v>
      </c>
      <c r="E21" s="17">
        <f>256+E20</f>
        <v>312</v>
      </c>
      <c r="F21" s="17">
        <f>680+F20</f>
        <v>606</v>
      </c>
      <c r="G21" s="7">
        <v>0.2</v>
      </c>
      <c r="H21" s="1">
        <v>180</v>
      </c>
      <c r="I21" s="1" t="s">
        <v>75</v>
      </c>
      <c r="J21" s="1"/>
      <c r="K21" s="1">
        <v>363</v>
      </c>
      <c r="L21" s="1">
        <f t="shared" si="2"/>
        <v>-51</v>
      </c>
      <c r="M21" s="1"/>
      <c r="N21" s="1"/>
      <c r="O21" s="1"/>
      <c r="P21" s="1">
        <f t="shared" si="3"/>
        <v>62.4</v>
      </c>
      <c r="Q21" s="5">
        <f t="shared" ref="Q21:Q68" si="12">14*P21-F21</f>
        <v>267.60000000000002</v>
      </c>
      <c r="R21" s="5">
        <f t="shared" ref="R21:R68" si="13">AG21*AH21</f>
        <v>336</v>
      </c>
      <c r="S21" s="1">
        <f t="shared" si="4"/>
        <v>15.096153846153847</v>
      </c>
      <c r="T21" s="1">
        <f t="shared" si="5"/>
        <v>9.7115384615384617</v>
      </c>
      <c r="U21" s="1">
        <v>19.2</v>
      </c>
      <c r="V21" s="1">
        <v>68.599999999999994</v>
      </c>
      <c r="W21" s="1">
        <v>76.8</v>
      </c>
      <c r="X21" s="1">
        <v>84.6</v>
      </c>
      <c r="Y21" s="1">
        <v>47.4</v>
      </c>
      <c r="Z21" s="1">
        <v>44.2</v>
      </c>
      <c r="AA21" s="1">
        <v>37</v>
      </c>
      <c r="AB21" s="1">
        <v>32.6</v>
      </c>
      <c r="AC21" s="1">
        <v>12.6</v>
      </c>
      <c r="AD21" s="1">
        <v>30.4</v>
      </c>
      <c r="AE21" s="1"/>
      <c r="AF21" s="1">
        <f t="shared" ref="AF21:AF68" si="14">G21*Q21</f>
        <v>53.52000000000001</v>
      </c>
      <c r="AG21" s="7">
        <v>12</v>
      </c>
      <c r="AH21" s="9">
        <f t="shared" ref="AH21:AH68" si="15">MROUND(Q21, AG21*AJ21)/AG21</f>
        <v>28</v>
      </c>
      <c r="AI21" s="1">
        <f t="shared" ref="AI21:AI68" si="16">AH21*AG21*G21</f>
        <v>67.2</v>
      </c>
      <c r="AJ21" s="1">
        <v>14</v>
      </c>
      <c r="AK21" s="1">
        <v>70</v>
      </c>
      <c r="AL21" s="9">
        <f t="shared" ref="AL21:AL68" si="17">AH21/AK21</f>
        <v>0.4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76</v>
      </c>
      <c r="B22" s="1" t="s">
        <v>42</v>
      </c>
      <c r="C22" s="1">
        <v>2662</v>
      </c>
      <c r="D22" s="1">
        <v>384</v>
      </c>
      <c r="E22" s="1">
        <v>868</v>
      </c>
      <c r="F22" s="1">
        <v>1827</v>
      </c>
      <c r="G22" s="7">
        <v>0.2</v>
      </c>
      <c r="H22" s="1">
        <v>180</v>
      </c>
      <c r="I22" s="1" t="s">
        <v>77</v>
      </c>
      <c r="J22" s="1"/>
      <c r="K22" s="1">
        <v>1228</v>
      </c>
      <c r="L22" s="1">
        <f t="shared" si="2"/>
        <v>-360</v>
      </c>
      <c r="M22" s="1"/>
      <c r="N22" s="1"/>
      <c r="O22" s="1"/>
      <c r="P22" s="1">
        <f t="shared" si="3"/>
        <v>173.6</v>
      </c>
      <c r="Q22" s="5">
        <f t="shared" si="12"/>
        <v>603.40000000000009</v>
      </c>
      <c r="R22" s="5">
        <f t="shared" si="13"/>
        <v>672</v>
      </c>
      <c r="S22" s="1">
        <f t="shared" si="4"/>
        <v>14.395161290322582</v>
      </c>
      <c r="T22" s="1">
        <f t="shared" si="5"/>
        <v>10.524193548387098</v>
      </c>
      <c r="U22" s="1">
        <v>109</v>
      </c>
      <c r="V22" s="1">
        <v>215.8</v>
      </c>
      <c r="W22" s="1">
        <v>187.8</v>
      </c>
      <c r="X22" s="1">
        <v>182.2</v>
      </c>
      <c r="Y22" s="1">
        <v>166.4</v>
      </c>
      <c r="Z22" s="1">
        <v>226.8</v>
      </c>
      <c r="AA22" s="1">
        <v>155.19999999999999</v>
      </c>
      <c r="AB22" s="1">
        <v>153.6</v>
      </c>
      <c r="AC22" s="1">
        <v>222</v>
      </c>
      <c r="AD22" s="1">
        <v>179.8</v>
      </c>
      <c r="AE22" s="1"/>
      <c r="AF22" s="1">
        <f t="shared" si="14"/>
        <v>120.68000000000002</v>
      </c>
      <c r="AG22" s="7">
        <v>12</v>
      </c>
      <c r="AH22" s="9">
        <f t="shared" si="15"/>
        <v>56</v>
      </c>
      <c r="AI22" s="1">
        <f t="shared" si="16"/>
        <v>134.4</v>
      </c>
      <c r="AJ22" s="1">
        <v>14</v>
      </c>
      <c r="AK22" s="1">
        <v>70</v>
      </c>
      <c r="AL22" s="9">
        <f t="shared" si="17"/>
        <v>0.8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78</v>
      </c>
      <c r="B23" s="1" t="s">
        <v>42</v>
      </c>
      <c r="C23" s="1">
        <v>1442</v>
      </c>
      <c r="D23" s="1">
        <v>316</v>
      </c>
      <c r="E23" s="1">
        <v>709</v>
      </c>
      <c r="F23" s="1">
        <v>736</v>
      </c>
      <c r="G23" s="7">
        <v>0.2</v>
      </c>
      <c r="H23" s="1">
        <v>180</v>
      </c>
      <c r="I23" s="1" t="s">
        <v>79</v>
      </c>
      <c r="J23" s="1"/>
      <c r="K23" s="1">
        <v>1041</v>
      </c>
      <c r="L23" s="1">
        <f t="shared" si="2"/>
        <v>-332</v>
      </c>
      <c r="M23" s="1"/>
      <c r="N23" s="1"/>
      <c r="O23" s="1"/>
      <c r="P23" s="1">
        <f t="shared" si="3"/>
        <v>141.80000000000001</v>
      </c>
      <c r="Q23" s="5">
        <f t="shared" si="12"/>
        <v>1249.2000000000003</v>
      </c>
      <c r="R23" s="5">
        <f t="shared" si="13"/>
        <v>1176</v>
      </c>
      <c r="S23" s="1">
        <f t="shared" si="4"/>
        <v>13.483779971791254</v>
      </c>
      <c r="T23" s="1">
        <f t="shared" si="5"/>
        <v>5.1904090267983074</v>
      </c>
      <c r="U23" s="1">
        <v>69.400000000000006</v>
      </c>
      <c r="V23" s="1">
        <v>115</v>
      </c>
      <c r="W23" s="1">
        <v>125.6</v>
      </c>
      <c r="X23" s="1">
        <v>116.4</v>
      </c>
      <c r="Y23" s="1">
        <v>86.4</v>
      </c>
      <c r="Z23" s="1">
        <v>73.400000000000006</v>
      </c>
      <c r="AA23" s="1">
        <v>61.4</v>
      </c>
      <c r="AB23" s="1">
        <v>63.4</v>
      </c>
      <c r="AC23" s="1">
        <v>58.4</v>
      </c>
      <c r="AD23" s="1">
        <v>47</v>
      </c>
      <c r="AE23" s="1"/>
      <c r="AF23" s="1">
        <f t="shared" si="14"/>
        <v>249.84000000000006</v>
      </c>
      <c r="AG23" s="7">
        <v>12</v>
      </c>
      <c r="AH23" s="9">
        <f t="shared" si="15"/>
        <v>98</v>
      </c>
      <c r="AI23" s="1">
        <f t="shared" si="16"/>
        <v>235.20000000000002</v>
      </c>
      <c r="AJ23" s="1">
        <v>14</v>
      </c>
      <c r="AK23" s="1">
        <v>70</v>
      </c>
      <c r="AL23" s="9">
        <f t="shared" si="17"/>
        <v>1.4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80</v>
      </c>
      <c r="B24" s="1" t="s">
        <v>51</v>
      </c>
      <c r="C24" s="1">
        <v>618</v>
      </c>
      <c r="D24" s="1">
        <v>35</v>
      </c>
      <c r="E24" s="1">
        <v>165</v>
      </c>
      <c r="F24" s="1">
        <v>448</v>
      </c>
      <c r="G24" s="7">
        <v>1</v>
      </c>
      <c r="H24" s="1">
        <v>180</v>
      </c>
      <c r="I24" s="1" t="s">
        <v>81</v>
      </c>
      <c r="J24" s="1"/>
      <c r="K24" s="1">
        <v>205</v>
      </c>
      <c r="L24" s="1">
        <f t="shared" si="2"/>
        <v>-40</v>
      </c>
      <c r="M24" s="1"/>
      <c r="N24" s="1"/>
      <c r="O24" s="1"/>
      <c r="P24" s="1">
        <f t="shared" si="3"/>
        <v>33</v>
      </c>
      <c r="Q24" s="5"/>
      <c r="R24" s="5">
        <f t="shared" si="13"/>
        <v>0</v>
      </c>
      <c r="S24" s="1">
        <f t="shared" si="4"/>
        <v>13.575757575757576</v>
      </c>
      <c r="T24" s="1">
        <f t="shared" si="5"/>
        <v>13.575757575757576</v>
      </c>
      <c r="U24" s="1">
        <v>18</v>
      </c>
      <c r="V24" s="1">
        <v>48</v>
      </c>
      <c r="W24" s="1">
        <v>29</v>
      </c>
      <c r="X24" s="1">
        <v>53</v>
      </c>
      <c r="Y24" s="1">
        <v>42.1</v>
      </c>
      <c r="Z24" s="1">
        <v>38</v>
      </c>
      <c r="AA24" s="1">
        <v>41</v>
      </c>
      <c r="AB24" s="1">
        <v>36</v>
      </c>
      <c r="AC24" s="1">
        <v>23</v>
      </c>
      <c r="AD24" s="1">
        <v>30</v>
      </c>
      <c r="AE24" s="1"/>
      <c r="AF24" s="1">
        <f t="shared" si="14"/>
        <v>0</v>
      </c>
      <c r="AG24" s="7">
        <v>5</v>
      </c>
      <c r="AH24" s="9">
        <f t="shared" si="15"/>
        <v>0</v>
      </c>
      <c r="AI24" s="1">
        <f t="shared" si="16"/>
        <v>0</v>
      </c>
      <c r="AJ24" s="1">
        <v>12</v>
      </c>
      <c r="AK24" s="1">
        <v>84</v>
      </c>
      <c r="AL24" s="9">
        <f t="shared" si="17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82</v>
      </c>
      <c r="B25" s="1" t="s">
        <v>51</v>
      </c>
      <c r="C25" s="1">
        <v>440.5</v>
      </c>
      <c r="D25" s="1">
        <v>49.5</v>
      </c>
      <c r="E25" s="1">
        <v>131.5</v>
      </c>
      <c r="F25" s="1">
        <v>309</v>
      </c>
      <c r="G25" s="7">
        <v>1</v>
      </c>
      <c r="H25" s="1">
        <v>180</v>
      </c>
      <c r="I25" s="1" t="s">
        <v>83</v>
      </c>
      <c r="J25" s="1"/>
      <c r="K25" s="1">
        <v>181.5</v>
      </c>
      <c r="L25" s="1">
        <f t="shared" si="2"/>
        <v>-50</v>
      </c>
      <c r="M25" s="1"/>
      <c r="N25" s="1"/>
      <c r="O25" s="1"/>
      <c r="P25" s="1">
        <f t="shared" si="3"/>
        <v>26.3</v>
      </c>
      <c r="Q25" s="5">
        <f t="shared" si="12"/>
        <v>59.199999999999989</v>
      </c>
      <c r="R25" s="5">
        <f t="shared" si="13"/>
        <v>66</v>
      </c>
      <c r="S25" s="1">
        <f t="shared" si="4"/>
        <v>14.258555133079847</v>
      </c>
      <c r="T25" s="1">
        <f t="shared" si="5"/>
        <v>11.749049429657795</v>
      </c>
      <c r="U25" s="1">
        <v>12.1</v>
      </c>
      <c r="V25" s="1">
        <v>33.9</v>
      </c>
      <c r="W25" s="1">
        <v>19.8</v>
      </c>
      <c r="X25" s="1">
        <v>27.3</v>
      </c>
      <c r="Y25" s="1">
        <v>39.6</v>
      </c>
      <c r="Z25" s="1">
        <v>31.9</v>
      </c>
      <c r="AA25" s="1">
        <v>24.2</v>
      </c>
      <c r="AB25" s="1">
        <v>14.1</v>
      </c>
      <c r="AC25" s="1">
        <v>6.6</v>
      </c>
      <c r="AD25" s="1">
        <v>14.3</v>
      </c>
      <c r="AE25" s="1"/>
      <c r="AF25" s="1">
        <f t="shared" si="14"/>
        <v>59.199999999999989</v>
      </c>
      <c r="AG25" s="7">
        <v>5.5</v>
      </c>
      <c r="AH25" s="9">
        <f t="shared" si="15"/>
        <v>12</v>
      </c>
      <c r="AI25" s="1">
        <f t="shared" si="16"/>
        <v>66</v>
      </c>
      <c r="AJ25" s="1">
        <v>12</v>
      </c>
      <c r="AK25" s="1">
        <v>84</v>
      </c>
      <c r="AL25" s="9">
        <f t="shared" si="17"/>
        <v>0.14285714285714285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84</v>
      </c>
      <c r="B26" s="1" t="s">
        <v>51</v>
      </c>
      <c r="C26" s="1">
        <v>393</v>
      </c>
      <c r="D26" s="1">
        <v>50</v>
      </c>
      <c r="E26" s="1">
        <v>145</v>
      </c>
      <c r="F26" s="1">
        <v>252</v>
      </c>
      <c r="G26" s="7">
        <v>1</v>
      </c>
      <c r="H26" s="1">
        <v>180</v>
      </c>
      <c r="I26" s="1" t="s">
        <v>85</v>
      </c>
      <c r="J26" s="1"/>
      <c r="K26" s="1">
        <v>190</v>
      </c>
      <c r="L26" s="1">
        <f t="shared" si="2"/>
        <v>-45</v>
      </c>
      <c r="M26" s="1"/>
      <c r="N26" s="1"/>
      <c r="O26" s="1"/>
      <c r="P26" s="1">
        <f t="shared" si="3"/>
        <v>29</v>
      </c>
      <c r="Q26" s="5">
        <f t="shared" si="12"/>
        <v>154</v>
      </c>
      <c r="R26" s="5">
        <f t="shared" si="13"/>
        <v>168</v>
      </c>
      <c r="S26" s="1">
        <f t="shared" si="4"/>
        <v>14.482758620689655</v>
      </c>
      <c r="T26" s="1">
        <f t="shared" si="5"/>
        <v>8.6896551724137936</v>
      </c>
      <c r="U26" s="1">
        <v>12</v>
      </c>
      <c r="V26" s="1">
        <v>31.6</v>
      </c>
      <c r="W26" s="1">
        <v>16.2</v>
      </c>
      <c r="X26" s="1">
        <v>37</v>
      </c>
      <c r="Y26" s="1">
        <v>40.200000000000003</v>
      </c>
      <c r="Z26" s="1">
        <v>25.2</v>
      </c>
      <c r="AA26" s="1">
        <v>25.2</v>
      </c>
      <c r="AB26" s="1">
        <v>24</v>
      </c>
      <c r="AC26" s="1">
        <v>22.2</v>
      </c>
      <c r="AD26" s="1">
        <v>17.399999999999999</v>
      </c>
      <c r="AE26" s="1"/>
      <c r="AF26" s="1">
        <f t="shared" si="14"/>
        <v>154</v>
      </c>
      <c r="AG26" s="7">
        <v>3</v>
      </c>
      <c r="AH26" s="9">
        <f t="shared" si="15"/>
        <v>56</v>
      </c>
      <c r="AI26" s="1">
        <f t="shared" si="16"/>
        <v>168</v>
      </c>
      <c r="AJ26" s="1">
        <v>14</v>
      </c>
      <c r="AK26" s="1">
        <v>126</v>
      </c>
      <c r="AL26" s="9">
        <f t="shared" si="17"/>
        <v>0.44444444444444442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86</v>
      </c>
      <c r="B27" s="1" t="s">
        <v>42</v>
      </c>
      <c r="C27" s="1">
        <v>1355</v>
      </c>
      <c r="D27" s="1">
        <v>216</v>
      </c>
      <c r="E27" s="1">
        <v>603</v>
      </c>
      <c r="F27" s="1">
        <v>770</v>
      </c>
      <c r="G27" s="7">
        <v>0.25</v>
      </c>
      <c r="H27" s="1">
        <v>365</v>
      </c>
      <c r="I27" s="1" t="s">
        <v>87</v>
      </c>
      <c r="J27" s="1"/>
      <c r="K27" s="1">
        <v>848</v>
      </c>
      <c r="L27" s="1">
        <f t="shared" si="2"/>
        <v>-245</v>
      </c>
      <c r="M27" s="1"/>
      <c r="N27" s="1"/>
      <c r="O27" s="1"/>
      <c r="P27" s="1">
        <f t="shared" si="3"/>
        <v>120.6</v>
      </c>
      <c r="Q27" s="5">
        <f t="shared" si="12"/>
        <v>918.39999999999986</v>
      </c>
      <c r="R27" s="5">
        <f t="shared" si="13"/>
        <v>924</v>
      </c>
      <c r="S27" s="1">
        <f t="shared" si="4"/>
        <v>14.046434494195688</v>
      </c>
      <c r="T27" s="1">
        <f t="shared" si="5"/>
        <v>6.384742951907131</v>
      </c>
      <c r="U27" s="1">
        <v>67.8</v>
      </c>
      <c r="V27" s="1">
        <v>113.8</v>
      </c>
      <c r="W27" s="1">
        <v>104.2</v>
      </c>
      <c r="X27" s="1">
        <v>114.6</v>
      </c>
      <c r="Y27" s="1">
        <v>85.8</v>
      </c>
      <c r="Z27" s="1">
        <v>67.8</v>
      </c>
      <c r="AA27" s="1">
        <v>47</v>
      </c>
      <c r="AB27" s="1">
        <v>55.4</v>
      </c>
      <c r="AC27" s="1">
        <v>55.4</v>
      </c>
      <c r="AD27" s="1">
        <v>42.4</v>
      </c>
      <c r="AE27" s="1"/>
      <c r="AF27" s="1">
        <f t="shared" si="14"/>
        <v>229.59999999999997</v>
      </c>
      <c r="AG27" s="7">
        <v>6</v>
      </c>
      <c r="AH27" s="9">
        <f t="shared" si="15"/>
        <v>154</v>
      </c>
      <c r="AI27" s="1">
        <f t="shared" si="16"/>
        <v>231</v>
      </c>
      <c r="AJ27" s="1">
        <v>14</v>
      </c>
      <c r="AK27" s="1">
        <v>140</v>
      </c>
      <c r="AL27" s="9">
        <f t="shared" si="17"/>
        <v>1.1000000000000001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88</v>
      </c>
      <c r="B28" s="1" t="s">
        <v>42</v>
      </c>
      <c r="C28" s="1">
        <v>1702</v>
      </c>
      <c r="D28" s="1">
        <v>201</v>
      </c>
      <c r="E28" s="1">
        <v>492</v>
      </c>
      <c r="F28" s="1">
        <v>1232</v>
      </c>
      <c r="G28" s="7">
        <v>0.25</v>
      </c>
      <c r="H28" s="1">
        <v>365</v>
      </c>
      <c r="I28" s="1" t="s">
        <v>89</v>
      </c>
      <c r="J28" s="1"/>
      <c r="K28" s="1">
        <v>717</v>
      </c>
      <c r="L28" s="1">
        <f t="shared" si="2"/>
        <v>-225</v>
      </c>
      <c r="M28" s="1"/>
      <c r="N28" s="1"/>
      <c r="O28" s="1"/>
      <c r="P28" s="1">
        <f t="shared" si="3"/>
        <v>98.4</v>
      </c>
      <c r="Q28" s="5">
        <f t="shared" si="12"/>
        <v>145.60000000000014</v>
      </c>
      <c r="R28" s="5">
        <f t="shared" si="13"/>
        <v>168</v>
      </c>
      <c r="S28" s="1">
        <f t="shared" si="4"/>
        <v>14.227642276422763</v>
      </c>
      <c r="T28" s="1">
        <f t="shared" si="5"/>
        <v>12.520325203252032</v>
      </c>
      <c r="U28" s="1">
        <v>17.399999999999999</v>
      </c>
      <c r="V28" s="1">
        <v>118.2</v>
      </c>
      <c r="W28" s="1">
        <v>98.8</v>
      </c>
      <c r="X28" s="1">
        <v>92.8</v>
      </c>
      <c r="Y28" s="1">
        <v>76.8</v>
      </c>
      <c r="Z28" s="1">
        <v>96</v>
      </c>
      <c r="AA28" s="1">
        <v>70</v>
      </c>
      <c r="AB28" s="1">
        <v>80</v>
      </c>
      <c r="AC28" s="1">
        <v>69.8</v>
      </c>
      <c r="AD28" s="1">
        <v>64.8</v>
      </c>
      <c r="AE28" s="1"/>
      <c r="AF28" s="1">
        <f t="shared" si="14"/>
        <v>36.400000000000034</v>
      </c>
      <c r="AG28" s="7">
        <v>6</v>
      </c>
      <c r="AH28" s="9">
        <f t="shared" si="15"/>
        <v>28</v>
      </c>
      <c r="AI28" s="1">
        <f t="shared" si="16"/>
        <v>42</v>
      </c>
      <c r="AJ28" s="1">
        <v>14</v>
      </c>
      <c r="AK28" s="1">
        <v>140</v>
      </c>
      <c r="AL28" s="9">
        <f t="shared" si="17"/>
        <v>0.2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90</v>
      </c>
      <c r="B29" s="1" t="s">
        <v>51</v>
      </c>
      <c r="C29" s="1">
        <v>654</v>
      </c>
      <c r="D29" s="1">
        <v>78</v>
      </c>
      <c r="E29" s="1">
        <v>286</v>
      </c>
      <c r="F29" s="1">
        <v>362</v>
      </c>
      <c r="G29" s="7">
        <v>1</v>
      </c>
      <c r="H29" s="1">
        <v>180</v>
      </c>
      <c r="I29" s="1" t="s">
        <v>91</v>
      </c>
      <c r="J29" s="1"/>
      <c r="K29" s="1">
        <v>466</v>
      </c>
      <c r="L29" s="1">
        <f t="shared" si="2"/>
        <v>-180</v>
      </c>
      <c r="M29" s="1"/>
      <c r="N29" s="1"/>
      <c r="O29" s="1"/>
      <c r="P29" s="1">
        <f t="shared" si="3"/>
        <v>57.2</v>
      </c>
      <c r="Q29" s="5">
        <f t="shared" si="12"/>
        <v>438.80000000000007</v>
      </c>
      <c r="R29" s="5">
        <f t="shared" si="13"/>
        <v>432</v>
      </c>
      <c r="S29" s="1">
        <f t="shared" si="4"/>
        <v>13.88111888111888</v>
      </c>
      <c r="T29" s="1">
        <f t="shared" si="5"/>
        <v>6.3286713286713283</v>
      </c>
      <c r="U29" s="1">
        <v>16.8</v>
      </c>
      <c r="V29" s="1">
        <v>55.2</v>
      </c>
      <c r="W29" s="1">
        <v>60.8</v>
      </c>
      <c r="X29" s="1">
        <v>58.6</v>
      </c>
      <c r="Y29" s="1">
        <v>66</v>
      </c>
      <c r="Z29" s="1">
        <v>58.2</v>
      </c>
      <c r="AA29" s="1">
        <v>51.4</v>
      </c>
      <c r="AB29" s="1">
        <v>42</v>
      </c>
      <c r="AC29" s="1">
        <v>45</v>
      </c>
      <c r="AD29" s="1">
        <v>48</v>
      </c>
      <c r="AE29" s="1"/>
      <c r="AF29" s="1">
        <f t="shared" si="14"/>
        <v>438.80000000000007</v>
      </c>
      <c r="AG29" s="7">
        <v>6</v>
      </c>
      <c r="AH29" s="9">
        <f t="shared" si="15"/>
        <v>72</v>
      </c>
      <c r="AI29" s="1">
        <f t="shared" si="16"/>
        <v>432</v>
      </c>
      <c r="AJ29" s="1">
        <v>12</v>
      </c>
      <c r="AK29" s="1">
        <v>84</v>
      </c>
      <c r="AL29" s="9">
        <f t="shared" si="17"/>
        <v>0.8571428571428571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92</v>
      </c>
      <c r="B30" s="1" t="s">
        <v>42</v>
      </c>
      <c r="C30" s="1">
        <v>2170</v>
      </c>
      <c r="D30" s="1">
        <v>257</v>
      </c>
      <c r="E30" s="1">
        <v>507</v>
      </c>
      <c r="F30" s="1">
        <v>1687</v>
      </c>
      <c r="G30" s="7">
        <v>0.23</v>
      </c>
      <c r="H30" s="1">
        <v>180</v>
      </c>
      <c r="I30" s="18" t="s">
        <v>93</v>
      </c>
      <c r="J30" s="1"/>
      <c r="K30" s="1">
        <v>749</v>
      </c>
      <c r="L30" s="1">
        <f t="shared" si="2"/>
        <v>-242</v>
      </c>
      <c r="M30" s="1"/>
      <c r="N30" s="1"/>
      <c r="O30" s="1"/>
      <c r="P30" s="1">
        <f t="shared" si="3"/>
        <v>101.4</v>
      </c>
      <c r="Q30" s="5"/>
      <c r="R30" s="5">
        <f t="shared" si="13"/>
        <v>0</v>
      </c>
      <c r="S30" s="1">
        <f t="shared" si="4"/>
        <v>16.637080867850099</v>
      </c>
      <c r="T30" s="1">
        <f t="shared" si="5"/>
        <v>16.637080867850099</v>
      </c>
      <c r="U30" s="1">
        <v>66.400000000000006</v>
      </c>
      <c r="V30" s="1">
        <v>230.8</v>
      </c>
      <c r="W30" s="1">
        <v>197</v>
      </c>
      <c r="X30" s="1">
        <v>74.8</v>
      </c>
      <c r="Y30" s="1">
        <v>140.19999999999999</v>
      </c>
      <c r="Z30" s="1">
        <v>59.4</v>
      </c>
      <c r="AA30" s="1">
        <v>47.2</v>
      </c>
      <c r="AB30" s="1">
        <v>63.8</v>
      </c>
      <c r="AC30" s="1">
        <v>57.2</v>
      </c>
      <c r="AD30" s="1">
        <v>48.8</v>
      </c>
      <c r="AE30" s="19" t="s">
        <v>167</v>
      </c>
      <c r="AF30" s="1">
        <f t="shared" si="14"/>
        <v>0</v>
      </c>
      <c r="AG30" s="7">
        <v>12</v>
      </c>
      <c r="AH30" s="9">
        <f t="shared" si="15"/>
        <v>0</v>
      </c>
      <c r="AI30" s="1">
        <f t="shared" si="16"/>
        <v>0</v>
      </c>
      <c r="AJ30" s="1">
        <v>14</v>
      </c>
      <c r="AK30" s="1">
        <v>70</v>
      </c>
      <c r="AL30" s="9">
        <f t="shared" si="17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94</v>
      </c>
      <c r="B31" s="1" t="s">
        <v>42</v>
      </c>
      <c r="C31" s="1">
        <v>2277</v>
      </c>
      <c r="D31" s="1">
        <v>474</v>
      </c>
      <c r="E31" s="1">
        <v>1241</v>
      </c>
      <c r="F31" s="1">
        <v>1047</v>
      </c>
      <c r="G31" s="7">
        <v>0.25</v>
      </c>
      <c r="H31" s="1">
        <v>365</v>
      </c>
      <c r="I31" s="1" t="s">
        <v>95</v>
      </c>
      <c r="J31" s="1"/>
      <c r="K31" s="1">
        <v>1906</v>
      </c>
      <c r="L31" s="1">
        <f t="shared" si="2"/>
        <v>-665</v>
      </c>
      <c r="M31" s="1"/>
      <c r="N31" s="1"/>
      <c r="O31" s="1"/>
      <c r="P31" s="1">
        <f t="shared" si="3"/>
        <v>248.2</v>
      </c>
      <c r="Q31" s="5">
        <f>13*P31-F31</f>
        <v>2179.6</v>
      </c>
      <c r="R31" s="5">
        <f t="shared" si="13"/>
        <v>2184</v>
      </c>
      <c r="S31" s="1">
        <f t="shared" si="4"/>
        <v>13.017727639000807</v>
      </c>
      <c r="T31" s="1">
        <f t="shared" si="5"/>
        <v>4.2183722804190174</v>
      </c>
      <c r="U31" s="1">
        <v>146.19999999999999</v>
      </c>
      <c r="V31" s="1">
        <v>200.6</v>
      </c>
      <c r="W31" s="1">
        <v>208.4</v>
      </c>
      <c r="X31" s="1">
        <v>185.6</v>
      </c>
      <c r="Y31" s="1">
        <v>184</v>
      </c>
      <c r="Z31" s="1">
        <v>181.2</v>
      </c>
      <c r="AA31" s="1">
        <v>168.8</v>
      </c>
      <c r="AB31" s="1">
        <v>175.8</v>
      </c>
      <c r="AC31" s="1">
        <v>188.6</v>
      </c>
      <c r="AD31" s="1">
        <v>146.6</v>
      </c>
      <c r="AE31" s="1"/>
      <c r="AF31" s="1">
        <f t="shared" si="14"/>
        <v>544.9</v>
      </c>
      <c r="AG31" s="7">
        <v>12</v>
      </c>
      <c r="AH31" s="9">
        <f t="shared" si="15"/>
        <v>182</v>
      </c>
      <c r="AI31" s="1">
        <f t="shared" si="16"/>
        <v>546</v>
      </c>
      <c r="AJ31" s="1">
        <v>14</v>
      </c>
      <c r="AK31" s="1">
        <v>70</v>
      </c>
      <c r="AL31" s="9">
        <f t="shared" si="17"/>
        <v>2.6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96</v>
      </c>
      <c r="B32" s="1" t="s">
        <v>42</v>
      </c>
      <c r="C32" s="1">
        <v>2093</v>
      </c>
      <c r="D32" s="1">
        <v>398</v>
      </c>
      <c r="E32" s="1">
        <v>1036</v>
      </c>
      <c r="F32" s="1">
        <v>1076</v>
      </c>
      <c r="G32" s="7">
        <v>0.25</v>
      </c>
      <c r="H32" s="1">
        <v>365</v>
      </c>
      <c r="I32" s="1" t="s">
        <v>97</v>
      </c>
      <c r="J32" s="1"/>
      <c r="K32" s="1">
        <v>1483</v>
      </c>
      <c r="L32" s="1">
        <f t="shared" si="2"/>
        <v>-447</v>
      </c>
      <c r="M32" s="1"/>
      <c r="N32" s="1"/>
      <c r="O32" s="1"/>
      <c r="P32" s="1">
        <f t="shared" si="3"/>
        <v>207.2</v>
      </c>
      <c r="Q32" s="5">
        <f t="shared" si="12"/>
        <v>1824.7999999999997</v>
      </c>
      <c r="R32" s="5">
        <f t="shared" si="13"/>
        <v>1848</v>
      </c>
      <c r="S32" s="1">
        <f t="shared" si="4"/>
        <v>14.111969111969113</v>
      </c>
      <c r="T32" s="1">
        <f t="shared" si="5"/>
        <v>5.1930501930501931</v>
      </c>
      <c r="U32" s="1">
        <v>101.4</v>
      </c>
      <c r="V32" s="1">
        <v>172</v>
      </c>
      <c r="W32" s="1">
        <v>179.4</v>
      </c>
      <c r="X32" s="1">
        <v>147.80000000000001</v>
      </c>
      <c r="Y32" s="1">
        <v>128.4</v>
      </c>
      <c r="Z32" s="1">
        <v>146.4</v>
      </c>
      <c r="AA32" s="1">
        <v>113.2</v>
      </c>
      <c r="AB32" s="1">
        <v>126.2</v>
      </c>
      <c r="AC32" s="1">
        <v>144.80000000000001</v>
      </c>
      <c r="AD32" s="1">
        <v>100.2</v>
      </c>
      <c r="AE32" s="1"/>
      <c r="AF32" s="1">
        <f t="shared" si="14"/>
        <v>456.19999999999993</v>
      </c>
      <c r="AG32" s="7">
        <v>12</v>
      </c>
      <c r="AH32" s="9">
        <f t="shared" si="15"/>
        <v>154</v>
      </c>
      <c r="AI32" s="1">
        <f t="shared" si="16"/>
        <v>462</v>
      </c>
      <c r="AJ32" s="1">
        <v>14</v>
      </c>
      <c r="AK32" s="1">
        <v>70</v>
      </c>
      <c r="AL32" s="9">
        <f t="shared" si="17"/>
        <v>2.2000000000000002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98</v>
      </c>
      <c r="B33" s="1" t="s">
        <v>42</v>
      </c>
      <c r="C33" s="1">
        <v>1532</v>
      </c>
      <c r="D33" s="1">
        <v>265</v>
      </c>
      <c r="E33" s="1">
        <v>574</v>
      </c>
      <c r="F33" s="1">
        <v>1016</v>
      </c>
      <c r="G33" s="7">
        <v>0.25</v>
      </c>
      <c r="H33" s="1">
        <v>180</v>
      </c>
      <c r="I33" s="1" t="s">
        <v>99</v>
      </c>
      <c r="J33" s="1"/>
      <c r="K33" s="1">
        <v>834</v>
      </c>
      <c r="L33" s="1">
        <f t="shared" si="2"/>
        <v>-260</v>
      </c>
      <c r="M33" s="1"/>
      <c r="N33" s="1"/>
      <c r="O33" s="1"/>
      <c r="P33" s="1">
        <f t="shared" si="3"/>
        <v>114.8</v>
      </c>
      <c r="Q33" s="5">
        <f t="shared" si="12"/>
        <v>591.20000000000005</v>
      </c>
      <c r="R33" s="5">
        <f t="shared" si="13"/>
        <v>672</v>
      </c>
      <c r="S33" s="1">
        <f t="shared" si="4"/>
        <v>14.703832752613241</v>
      </c>
      <c r="T33" s="1">
        <f t="shared" si="5"/>
        <v>8.8501742160278756</v>
      </c>
      <c r="U33" s="1">
        <v>63.6</v>
      </c>
      <c r="V33" s="1">
        <v>124.6</v>
      </c>
      <c r="W33" s="1">
        <v>128.80000000000001</v>
      </c>
      <c r="X33" s="1">
        <v>117.8</v>
      </c>
      <c r="Y33" s="1">
        <v>114.4</v>
      </c>
      <c r="Z33" s="1">
        <v>108</v>
      </c>
      <c r="AA33" s="1">
        <v>84.6</v>
      </c>
      <c r="AB33" s="1">
        <v>75.8</v>
      </c>
      <c r="AC33" s="1">
        <v>106.8</v>
      </c>
      <c r="AD33" s="1">
        <v>78.400000000000006</v>
      </c>
      <c r="AE33" s="1"/>
      <c r="AF33" s="1">
        <f t="shared" si="14"/>
        <v>147.80000000000001</v>
      </c>
      <c r="AG33" s="7">
        <v>12</v>
      </c>
      <c r="AH33" s="9">
        <f t="shared" si="15"/>
        <v>56</v>
      </c>
      <c r="AI33" s="1">
        <f t="shared" si="16"/>
        <v>168</v>
      </c>
      <c r="AJ33" s="1">
        <v>14</v>
      </c>
      <c r="AK33" s="1">
        <v>70</v>
      </c>
      <c r="AL33" s="9">
        <f t="shared" si="17"/>
        <v>0.8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100</v>
      </c>
      <c r="B34" s="1" t="s">
        <v>42</v>
      </c>
      <c r="C34" s="1">
        <v>743</v>
      </c>
      <c r="D34" s="1">
        <v>193</v>
      </c>
      <c r="E34" s="1">
        <v>379</v>
      </c>
      <c r="F34" s="1">
        <v>355</v>
      </c>
      <c r="G34" s="7">
        <v>0.25</v>
      </c>
      <c r="H34" s="1">
        <v>180</v>
      </c>
      <c r="I34" s="1" t="s">
        <v>101</v>
      </c>
      <c r="J34" s="1"/>
      <c r="K34" s="1">
        <v>589</v>
      </c>
      <c r="L34" s="1">
        <f t="shared" si="2"/>
        <v>-210</v>
      </c>
      <c r="M34" s="1"/>
      <c r="N34" s="1"/>
      <c r="O34" s="1"/>
      <c r="P34" s="1">
        <f t="shared" si="3"/>
        <v>75.8</v>
      </c>
      <c r="Q34" s="5">
        <f t="shared" si="12"/>
        <v>706.2</v>
      </c>
      <c r="R34" s="5">
        <f t="shared" si="13"/>
        <v>672</v>
      </c>
      <c r="S34" s="1">
        <f t="shared" si="4"/>
        <v>13.548812664907652</v>
      </c>
      <c r="T34" s="1">
        <f t="shared" si="5"/>
        <v>4.683377308707124</v>
      </c>
      <c r="U34" s="1">
        <v>49.6</v>
      </c>
      <c r="V34" s="1">
        <v>59.6</v>
      </c>
      <c r="W34" s="1">
        <v>75.8</v>
      </c>
      <c r="X34" s="1">
        <v>61.4</v>
      </c>
      <c r="Y34" s="1">
        <v>40.6</v>
      </c>
      <c r="Z34" s="1">
        <v>44.6</v>
      </c>
      <c r="AA34" s="1">
        <v>33</v>
      </c>
      <c r="AB34" s="1">
        <v>36</v>
      </c>
      <c r="AC34" s="1">
        <v>18.2</v>
      </c>
      <c r="AD34" s="1">
        <v>19</v>
      </c>
      <c r="AE34" s="1"/>
      <c r="AF34" s="1">
        <f t="shared" si="14"/>
        <v>176.55</v>
      </c>
      <c r="AG34" s="7">
        <v>12</v>
      </c>
      <c r="AH34" s="9">
        <f t="shared" si="15"/>
        <v>56</v>
      </c>
      <c r="AI34" s="1">
        <f t="shared" si="16"/>
        <v>168</v>
      </c>
      <c r="AJ34" s="1">
        <v>14</v>
      </c>
      <c r="AK34" s="1">
        <v>70</v>
      </c>
      <c r="AL34" s="9">
        <f t="shared" si="17"/>
        <v>0.8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102</v>
      </c>
      <c r="B35" s="1" t="s">
        <v>42</v>
      </c>
      <c r="C35" s="1">
        <v>729</v>
      </c>
      <c r="D35" s="1">
        <v>85</v>
      </c>
      <c r="E35" s="1">
        <v>307</v>
      </c>
      <c r="F35" s="1">
        <v>441</v>
      </c>
      <c r="G35" s="7">
        <v>0.7</v>
      </c>
      <c r="H35" s="1">
        <v>180</v>
      </c>
      <c r="I35" s="1" t="s">
        <v>103</v>
      </c>
      <c r="J35" s="1"/>
      <c r="K35" s="1">
        <v>388</v>
      </c>
      <c r="L35" s="1">
        <f t="shared" si="2"/>
        <v>-81</v>
      </c>
      <c r="M35" s="1"/>
      <c r="N35" s="1"/>
      <c r="O35" s="1"/>
      <c r="P35" s="1">
        <f t="shared" si="3"/>
        <v>61.4</v>
      </c>
      <c r="Q35" s="5">
        <f t="shared" si="12"/>
        <v>418.6</v>
      </c>
      <c r="R35" s="5">
        <f t="shared" si="13"/>
        <v>384</v>
      </c>
      <c r="S35" s="1">
        <f t="shared" si="4"/>
        <v>13.436482084690555</v>
      </c>
      <c r="T35" s="1">
        <f t="shared" si="5"/>
        <v>7.1824104234527688</v>
      </c>
      <c r="U35" s="1">
        <v>34.4</v>
      </c>
      <c r="V35" s="1">
        <v>60.6</v>
      </c>
      <c r="W35" s="1">
        <v>78.2</v>
      </c>
      <c r="X35" s="1">
        <v>57.4</v>
      </c>
      <c r="Y35" s="1">
        <v>49.6</v>
      </c>
      <c r="Z35" s="1">
        <v>41.2</v>
      </c>
      <c r="AA35" s="1">
        <v>30.8</v>
      </c>
      <c r="AB35" s="1">
        <v>22.8</v>
      </c>
      <c r="AC35" s="1">
        <v>26.4</v>
      </c>
      <c r="AD35" s="1">
        <v>31.4</v>
      </c>
      <c r="AE35" s="1"/>
      <c r="AF35" s="1">
        <f t="shared" si="14"/>
        <v>293.02</v>
      </c>
      <c r="AG35" s="7">
        <v>8</v>
      </c>
      <c r="AH35" s="9">
        <f t="shared" si="15"/>
        <v>48</v>
      </c>
      <c r="AI35" s="1">
        <f t="shared" si="16"/>
        <v>268.79999999999995</v>
      </c>
      <c r="AJ35" s="1">
        <v>12</v>
      </c>
      <c r="AK35" s="1">
        <v>84</v>
      </c>
      <c r="AL35" s="9">
        <f t="shared" si="17"/>
        <v>0.5714285714285714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104</v>
      </c>
      <c r="B36" s="1" t="s">
        <v>42</v>
      </c>
      <c r="C36" s="1">
        <v>565</v>
      </c>
      <c r="D36" s="1">
        <v>44</v>
      </c>
      <c r="E36" s="1">
        <v>169</v>
      </c>
      <c r="F36" s="1">
        <v>396</v>
      </c>
      <c r="G36" s="7">
        <v>0.7</v>
      </c>
      <c r="H36" s="1">
        <v>180</v>
      </c>
      <c r="I36" s="1" t="s">
        <v>105</v>
      </c>
      <c r="J36" s="1"/>
      <c r="K36" s="1">
        <v>239</v>
      </c>
      <c r="L36" s="1">
        <f t="shared" si="2"/>
        <v>-70</v>
      </c>
      <c r="M36" s="1"/>
      <c r="N36" s="1"/>
      <c r="O36" s="1"/>
      <c r="P36" s="1">
        <f t="shared" si="3"/>
        <v>33.799999999999997</v>
      </c>
      <c r="Q36" s="5">
        <f t="shared" si="12"/>
        <v>77.199999999999932</v>
      </c>
      <c r="R36" s="5">
        <f t="shared" si="13"/>
        <v>96</v>
      </c>
      <c r="S36" s="1">
        <f t="shared" si="4"/>
        <v>14.55621301775148</v>
      </c>
      <c r="T36" s="1">
        <f t="shared" si="5"/>
        <v>11.715976331360947</v>
      </c>
      <c r="U36" s="1">
        <v>6</v>
      </c>
      <c r="V36" s="1">
        <v>38.799999999999997</v>
      </c>
      <c r="W36" s="1">
        <v>37.4</v>
      </c>
      <c r="X36" s="1">
        <v>41.4</v>
      </c>
      <c r="Y36" s="1">
        <v>38.6</v>
      </c>
      <c r="Z36" s="1">
        <v>24.8</v>
      </c>
      <c r="AA36" s="1">
        <v>26</v>
      </c>
      <c r="AB36" s="1">
        <v>28</v>
      </c>
      <c r="AC36" s="1">
        <v>24.8</v>
      </c>
      <c r="AD36" s="1">
        <v>34.799999999999997</v>
      </c>
      <c r="AE36" s="1"/>
      <c r="AF36" s="1">
        <f t="shared" si="14"/>
        <v>54.039999999999949</v>
      </c>
      <c r="AG36" s="7">
        <v>8</v>
      </c>
      <c r="AH36" s="9">
        <f t="shared" si="15"/>
        <v>12</v>
      </c>
      <c r="AI36" s="1">
        <f t="shared" si="16"/>
        <v>67.199999999999989</v>
      </c>
      <c r="AJ36" s="1">
        <v>12</v>
      </c>
      <c r="AK36" s="1">
        <v>84</v>
      </c>
      <c r="AL36" s="9">
        <f t="shared" si="17"/>
        <v>0.14285714285714285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106</v>
      </c>
      <c r="B37" s="1" t="s">
        <v>42</v>
      </c>
      <c r="C37" s="1">
        <v>618</v>
      </c>
      <c r="D37" s="1">
        <v>82</v>
      </c>
      <c r="E37" s="1">
        <v>270</v>
      </c>
      <c r="F37" s="1">
        <v>352</v>
      </c>
      <c r="G37" s="7">
        <v>0.7</v>
      </c>
      <c r="H37" s="1">
        <v>180</v>
      </c>
      <c r="I37" s="1" t="s">
        <v>107</v>
      </c>
      <c r="J37" s="1"/>
      <c r="K37" s="1">
        <v>375</v>
      </c>
      <c r="L37" s="1">
        <f t="shared" si="2"/>
        <v>-105</v>
      </c>
      <c r="M37" s="1"/>
      <c r="N37" s="1"/>
      <c r="O37" s="1"/>
      <c r="P37" s="1">
        <f t="shared" si="3"/>
        <v>54</v>
      </c>
      <c r="Q37" s="5">
        <f t="shared" si="12"/>
        <v>404</v>
      </c>
      <c r="R37" s="5">
        <f t="shared" si="13"/>
        <v>384</v>
      </c>
      <c r="S37" s="1">
        <f t="shared" si="4"/>
        <v>13.62962962962963</v>
      </c>
      <c r="T37" s="1">
        <f t="shared" si="5"/>
        <v>6.5185185185185182</v>
      </c>
      <c r="U37" s="1">
        <v>29</v>
      </c>
      <c r="V37" s="1">
        <v>49.6</v>
      </c>
      <c r="W37" s="1">
        <v>66.2</v>
      </c>
      <c r="X37" s="1">
        <v>68.400000000000006</v>
      </c>
      <c r="Y37" s="1">
        <v>73.2</v>
      </c>
      <c r="Z37" s="1">
        <v>44.2</v>
      </c>
      <c r="AA37" s="1">
        <v>47.8</v>
      </c>
      <c r="AB37" s="1">
        <v>51.2</v>
      </c>
      <c r="AC37" s="1">
        <v>44.6</v>
      </c>
      <c r="AD37" s="1">
        <v>44</v>
      </c>
      <c r="AE37" s="1"/>
      <c r="AF37" s="1">
        <f t="shared" si="14"/>
        <v>282.79999999999995</v>
      </c>
      <c r="AG37" s="7">
        <v>8</v>
      </c>
      <c r="AH37" s="9">
        <f t="shared" si="15"/>
        <v>48</v>
      </c>
      <c r="AI37" s="1">
        <f t="shared" si="16"/>
        <v>268.79999999999995</v>
      </c>
      <c r="AJ37" s="1">
        <v>12</v>
      </c>
      <c r="AK37" s="1">
        <v>84</v>
      </c>
      <c r="AL37" s="9">
        <f t="shared" si="17"/>
        <v>0.5714285714285714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108</v>
      </c>
      <c r="B38" s="1" t="s">
        <v>42</v>
      </c>
      <c r="C38" s="1">
        <v>1380</v>
      </c>
      <c r="D38" s="1">
        <v>338</v>
      </c>
      <c r="E38" s="1">
        <v>618</v>
      </c>
      <c r="F38" s="1">
        <v>788</v>
      </c>
      <c r="G38" s="7">
        <v>0.7</v>
      </c>
      <c r="H38" s="1">
        <v>180</v>
      </c>
      <c r="I38" s="18" t="s">
        <v>109</v>
      </c>
      <c r="J38" s="1"/>
      <c r="K38" s="1">
        <v>962</v>
      </c>
      <c r="L38" s="1">
        <f t="shared" ref="L38:L69" si="18">E38-K38</f>
        <v>-344</v>
      </c>
      <c r="M38" s="1"/>
      <c r="N38" s="1"/>
      <c r="O38" s="1"/>
      <c r="P38" s="1">
        <f t="shared" ref="P38:P69" si="19">E38/5</f>
        <v>123.6</v>
      </c>
      <c r="Q38" s="5">
        <v>200</v>
      </c>
      <c r="R38" s="5">
        <f t="shared" si="13"/>
        <v>240</v>
      </c>
      <c r="S38" s="1">
        <f t="shared" ref="S38:S69" si="20">(F38+R38)/P38</f>
        <v>8.3171521035598701</v>
      </c>
      <c r="T38" s="1">
        <f t="shared" ref="T38:T69" si="21">F38/P38</f>
        <v>6.375404530744337</v>
      </c>
      <c r="U38" s="1">
        <v>37.200000000000003</v>
      </c>
      <c r="V38" s="1">
        <v>58.6</v>
      </c>
      <c r="W38" s="1">
        <v>23.4</v>
      </c>
      <c r="X38" s="1">
        <v>73</v>
      </c>
      <c r="Y38" s="1">
        <v>37.4</v>
      </c>
      <c r="Z38" s="1">
        <v>41.2</v>
      </c>
      <c r="AA38" s="1">
        <v>57.2</v>
      </c>
      <c r="AB38" s="1">
        <v>39</v>
      </c>
      <c r="AC38" s="1">
        <v>46</v>
      </c>
      <c r="AD38" s="1">
        <v>129.80000000000001</v>
      </c>
      <c r="AE38" s="1" t="s">
        <v>66</v>
      </c>
      <c r="AF38" s="1">
        <f t="shared" si="14"/>
        <v>140</v>
      </c>
      <c r="AG38" s="7">
        <v>10</v>
      </c>
      <c r="AH38" s="9">
        <f t="shared" si="15"/>
        <v>24</v>
      </c>
      <c r="AI38" s="1">
        <f t="shared" si="16"/>
        <v>168</v>
      </c>
      <c r="AJ38" s="1">
        <v>12</v>
      </c>
      <c r="AK38" s="1">
        <v>84</v>
      </c>
      <c r="AL38" s="9">
        <f t="shared" si="17"/>
        <v>0.2857142857142857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110</v>
      </c>
      <c r="B39" s="1" t="s">
        <v>42</v>
      </c>
      <c r="C39" s="1">
        <v>1003</v>
      </c>
      <c r="D39" s="1">
        <v>91</v>
      </c>
      <c r="E39" s="1">
        <v>308</v>
      </c>
      <c r="F39" s="1">
        <v>695</v>
      </c>
      <c r="G39" s="7">
        <v>0.7</v>
      </c>
      <c r="H39" s="1">
        <v>180</v>
      </c>
      <c r="I39" s="1" t="s">
        <v>111</v>
      </c>
      <c r="J39" s="1"/>
      <c r="K39" s="1">
        <v>457</v>
      </c>
      <c r="L39" s="1">
        <f t="shared" si="18"/>
        <v>-149</v>
      </c>
      <c r="M39" s="1"/>
      <c r="N39" s="1"/>
      <c r="O39" s="1"/>
      <c r="P39" s="1">
        <f t="shared" si="19"/>
        <v>61.6</v>
      </c>
      <c r="Q39" s="5">
        <f t="shared" si="12"/>
        <v>167.39999999999998</v>
      </c>
      <c r="R39" s="5">
        <f t="shared" si="13"/>
        <v>120</v>
      </c>
      <c r="S39" s="1">
        <f t="shared" si="20"/>
        <v>13.230519480519479</v>
      </c>
      <c r="T39" s="1">
        <f t="shared" si="21"/>
        <v>11.282467532467532</v>
      </c>
      <c r="U39" s="1">
        <v>3.6</v>
      </c>
      <c r="V39" s="1">
        <v>67</v>
      </c>
      <c r="W39" s="1">
        <v>51.6</v>
      </c>
      <c r="X39" s="1">
        <v>19</v>
      </c>
      <c r="Y39" s="1">
        <v>103.4</v>
      </c>
      <c r="Z39" s="1">
        <v>19.2</v>
      </c>
      <c r="AA39" s="1">
        <v>40.200000000000003</v>
      </c>
      <c r="AB39" s="1">
        <v>9.4</v>
      </c>
      <c r="AC39" s="1">
        <v>6</v>
      </c>
      <c r="AD39" s="1">
        <v>0.4</v>
      </c>
      <c r="AE39" s="1"/>
      <c r="AF39" s="1">
        <f t="shared" si="14"/>
        <v>117.17999999999998</v>
      </c>
      <c r="AG39" s="7">
        <v>10</v>
      </c>
      <c r="AH39" s="9">
        <f t="shared" si="15"/>
        <v>12</v>
      </c>
      <c r="AI39" s="1">
        <f t="shared" si="16"/>
        <v>84</v>
      </c>
      <c r="AJ39" s="1">
        <v>12</v>
      </c>
      <c r="AK39" s="1">
        <v>84</v>
      </c>
      <c r="AL39" s="9">
        <f t="shared" si="17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112</v>
      </c>
      <c r="B40" s="1" t="s">
        <v>42</v>
      </c>
      <c r="C40" s="1">
        <v>959</v>
      </c>
      <c r="D40" s="1">
        <v>60</v>
      </c>
      <c r="E40" s="1">
        <v>186</v>
      </c>
      <c r="F40" s="1">
        <v>791</v>
      </c>
      <c r="G40" s="7">
        <v>0.4</v>
      </c>
      <c r="H40" s="1">
        <v>180</v>
      </c>
      <c r="I40" s="1" t="s">
        <v>113</v>
      </c>
      <c r="J40" s="1"/>
      <c r="K40" s="1">
        <v>450</v>
      </c>
      <c r="L40" s="1">
        <f t="shared" si="18"/>
        <v>-264</v>
      </c>
      <c r="M40" s="1"/>
      <c r="N40" s="1"/>
      <c r="O40" s="1"/>
      <c r="P40" s="1">
        <f t="shared" si="19"/>
        <v>37.200000000000003</v>
      </c>
      <c r="Q40" s="5"/>
      <c r="R40" s="5">
        <f t="shared" si="13"/>
        <v>0</v>
      </c>
      <c r="S40" s="1">
        <f t="shared" si="20"/>
        <v>21.263440860215052</v>
      </c>
      <c r="T40" s="1">
        <f t="shared" si="21"/>
        <v>21.263440860215052</v>
      </c>
      <c r="U40" s="1">
        <v>2.4</v>
      </c>
      <c r="V40" s="1">
        <v>63</v>
      </c>
      <c r="W40" s="1">
        <v>37.4</v>
      </c>
      <c r="X40" s="1">
        <v>27.4</v>
      </c>
      <c r="Y40" s="1">
        <v>85.8</v>
      </c>
      <c r="Z40" s="1">
        <v>29.8</v>
      </c>
      <c r="AA40" s="1">
        <v>34.4</v>
      </c>
      <c r="AB40" s="1">
        <v>7</v>
      </c>
      <c r="AC40" s="1">
        <v>4.4000000000000004</v>
      </c>
      <c r="AD40" s="1">
        <v>0.4</v>
      </c>
      <c r="AE40" s="19" t="s">
        <v>167</v>
      </c>
      <c r="AF40" s="1">
        <f t="shared" si="14"/>
        <v>0</v>
      </c>
      <c r="AG40" s="7">
        <v>16</v>
      </c>
      <c r="AH40" s="9">
        <f t="shared" si="15"/>
        <v>0</v>
      </c>
      <c r="AI40" s="1">
        <f t="shared" si="16"/>
        <v>0</v>
      </c>
      <c r="AJ40" s="1">
        <v>12</v>
      </c>
      <c r="AK40" s="1">
        <v>84</v>
      </c>
      <c r="AL40" s="9">
        <f t="shared" si="17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114</v>
      </c>
      <c r="B41" s="1" t="s">
        <v>42</v>
      </c>
      <c r="C41" s="1">
        <v>1180</v>
      </c>
      <c r="D41" s="1">
        <v>163</v>
      </c>
      <c r="E41" s="1">
        <v>358</v>
      </c>
      <c r="F41" s="1">
        <v>850</v>
      </c>
      <c r="G41" s="7">
        <v>0.7</v>
      </c>
      <c r="H41" s="1">
        <v>180</v>
      </c>
      <c r="I41" s="1" t="s">
        <v>115</v>
      </c>
      <c r="J41" s="1"/>
      <c r="K41" s="1">
        <v>614</v>
      </c>
      <c r="L41" s="1">
        <f t="shared" si="18"/>
        <v>-256</v>
      </c>
      <c r="M41" s="1"/>
      <c r="N41" s="1"/>
      <c r="O41" s="1"/>
      <c r="P41" s="1">
        <f t="shared" si="19"/>
        <v>71.599999999999994</v>
      </c>
      <c r="Q41" s="5">
        <f t="shared" si="12"/>
        <v>152.39999999999986</v>
      </c>
      <c r="R41" s="5">
        <f t="shared" si="13"/>
        <v>120</v>
      </c>
      <c r="S41" s="1">
        <f t="shared" si="20"/>
        <v>13.547486033519554</v>
      </c>
      <c r="T41" s="1">
        <f t="shared" si="21"/>
        <v>11.871508379888269</v>
      </c>
      <c r="U41" s="1">
        <v>42</v>
      </c>
      <c r="V41" s="1">
        <v>90.6</v>
      </c>
      <c r="W41" s="1">
        <v>72.8</v>
      </c>
      <c r="X41" s="1">
        <v>62.2</v>
      </c>
      <c r="Y41" s="1">
        <v>55</v>
      </c>
      <c r="Z41" s="1">
        <v>35</v>
      </c>
      <c r="AA41" s="1">
        <v>51.6</v>
      </c>
      <c r="AB41" s="1">
        <v>34.200000000000003</v>
      </c>
      <c r="AC41" s="1">
        <v>39.6</v>
      </c>
      <c r="AD41" s="1">
        <v>35.799999999999997</v>
      </c>
      <c r="AE41" s="1"/>
      <c r="AF41" s="1">
        <f t="shared" si="14"/>
        <v>106.67999999999989</v>
      </c>
      <c r="AG41" s="7">
        <v>10</v>
      </c>
      <c r="AH41" s="9">
        <f t="shared" si="15"/>
        <v>12</v>
      </c>
      <c r="AI41" s="1">
        <f t="shared" si="16"/>
        <v>84</v>
      </c>
      <c r="AJ41" s="1">
        <v>12</v>
      </c>
      <c r="AK41" s="1">
        <v>84</v>
      </c>
      <c r="AL41" s="9">
        <f t="shared" si="17"/>
        <v>0.14285714285714285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116</v>
      </c>
      <c r="B42" s="1" t="s">
        <v>42</v>
      </c>
      <c r="C42" s="1">
        <v>1234</v>
      </c>
      <c r="D42" s="1">
        <v>376</v>
      </c>
      <c r="E42" s="1">
        <v>597</v>
      </c>
      <c r="F42" s="1">
        <v>675</v>
      </c>
      <c r="G42" s="7">
        <v>0.7</v>
      </c>
      <c r="H42" s="1">
        <v>180</v>
      </c>
      <c r="I42" s="1" t="s">
        <v>117</v>
      </c>
      <c r="J42" s="1"/>
      <c r="K42" s="1">
        <v>945</v>
      </c>
      <c r="L42" s="1">
        <f t="shared" si="18"/>
        <v>-348</v>
      </c>
      <c r="M42" s="1"/>
      <c r="N42" s="1"/>
      <c r="O42" s="1"/>
      <c r="P42" s="1">
        <f t="shared" si="19"/>
        <v>119.4</v>
      </c>
      <c r="Q42" s="5">
        <f t="shared" si="12"/>
        <v>996.60000000000014</v>
      </c>
      <c r="R42" s="5">
        <f t="shared" si="13"/>
        <v>960</v>
      </c>
      <c r="S42" s="1">
        <f t="shared" si="20"/>
        <v>13.693467336683417</v>
      </c>
      <c r="T42" s="1">
        <f t="shared" si="21"/>
        <v>5.6532663316582914</v>
      </c>
      <c r="U42" s="1">
        <v>88.6</v>
      </c>
      <c r="V42" s="1">
        <v>110</v>
      </c>
      <c r="W42" s="1">
        <v>102.6</v>
      </c>
      <c r="X42" s="1">
        <v>95.2</v>
      </c>
      <c r="Y42" s="1">
        <v>112.4</v>
      </c>
      <c r="Z42" s="1">
        <v>77</v>
      </c>
      <c r="AA42" s="1">
        <v>56.2</v>
      </c>
      <c r="AB42" s="1">
        <v>47</v>
      </c>
      <c r="AC42" s="1">
        <v>39.6</v>
      </c>
      <c r="AD42" s="1">
        <v>57.8</v>
      </c>
      <c r="AE42" s="1"/>
      <c r="AF42" s="1">
        <f t="shared" si="14"/>
        <v>697.62</v>
      </c>
      <c r="AG42" s="7">
        <v>10</v>
      </c>
      <c r="AH42" s="9">
        <f t="shared" si="15"/>
        <v>96</v>
      </c>
      <c r="AI42" s="1">
        <f t="shared" si="16"/>
        <v>672</v>
      </c>
      <c r="AJ42" s="1">
        <v>12</v>
      </c>
      <c r="AK42" s="1">
        <v>84</v>
      </c>
      <c r="AL42" s="9">
        <f t="shared" si="17"/>
        <v>1.1428571428571428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118</v>
      </c>
      <c r="B43" s="1" t="s">
        <v>51</v>
      </c>
      <c r="C43" s="1">
        <v>755.1</v>
      </c>
      <c r="D43" s="1">
        <v>45</v>
      </c>
      <c r="E43" s="1">
        <v>440</v>
      </c>
      <c r="F43" s="1">
        <v>315.10000000000002</v>
      </c>
      <c r="G43" s="7">
        <v>1</v>
      </c>
      <c r="H43" s="1">
        <v>180</v>
      </c>
      <c r="I43" s="1" t="s">
        <v>119</v>
      </c>
      <c r="J43" s="1"/>
      <c r="K43" s="1">
        <v>577</v>
      </c>
      <c r="L43" s="1">
        <f t="shared" si="18"/>
        <v>-137</v>
      </c>
      <c r="M43" s="1"/>
      <c r="N43" s="1"/>
      <c r="O43" s="1"/>
      <c r="P43" s="1">
        <f t="shared" si="19"/>
        <v>88</v>
      </c>
      <c r="Q43" s="5">
        <f>13*P43-F43</f>
        <v>828.9</v>
      </c>
      <c r="R43" s="5">
        <f t="shared" si="13"/>
        <v>840</v>
      </c>
      <c r="S43" s="1">
        <f t="shared" si="20"/>
        <v>13.126136363636363</v>
      </c>
      <c r="T43" s="1">
        <f t="shared" si="21"/>
        <v>3.5806818181818185</v>
      </c>
      <c r="U43" s="1">
        <v>23</v>
      </c>
      <c r="V43" s="1">
        <v>61.98</v>
      </c>
      <c r="W43" s="1">
        <v>65</v>
      </c>
      <c r="X43" s="1">
        <v>96</v>
      </c>
      <c r="Y43" s="1">
        <v>85</v>
      </c>
      <c r="Z43" s="1">
        <v>71</v>
      </c>
      <c r="AA43" s="1">
        <v>51</v>
      </c>
      <c r="AB43" s="1">
        <v>63</v>
      </c>
      <c r="AC43" s="1">
        <v>60</v>
      </c>
      <c r="AD43" s="1">
        <v>71</v>
      </c>
      <c r="AE43" s="1"/>
      <c r="AF43" s="1">
        <f t="shared" si="14"/>
        <v>828.9</v>
      </c>
      <c r="AG43" s="7">
        <v>5</v>
      </c>
      <c r="AH43" s="9">
        <f t="shared" si="15"/>
        <v>168</v>
      </c>
      <c r="AI43" s="1">
        <f t="shared" si="16"/>
        <v>840</v>
      </c>
      <c r="AJ43" s="1">
        <v>12</v>
      </c>
      <c r="AK43" s="1">
        <v>144</v>
      </c>
      <c r="AL43" s="9">
        <f t="shared" si="17"/>
        <v>1.1666666666666667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120</v>
      </c>
      <c r="B44" s="1" t="s">
        <v>42</v>
      </c>
      <c r="C44" s="1">
        <v>2098</v>
      </c>
      <c r="D44" s="1">
        <v>148</v>
      </c>
      <c r="E44" s="1">
        <v>358</v>
      </c>
      <c r="F44" s="1">
        <v>1749</v>
      </c>
      <c r="G44" s="7">
        <v>0.4</v>
      </c>
      <c r="H44" s="1">
        <v>180</v>
      </c>
      <c r="I44" s="1" t="s">
        <v>121</v>
      </c>
      <c r="J44" s="1"/>
      <c r="K44" s="1">
        <v>529</v>
      </c>
      <c r="L44" s="1">
        <f t="shared" si="18"/>
        <v>-171</v>
      </c>
      <c r="M44" s="1"/>
      <c r="N44" s="1"/>
      <c r="O44" s="1"/>
      <c r="P44" s="1">
        <f t="shared" si="19"/>
        <v>71.599999999999994</v>
      </c>
      <c r="Q44" s="5"/>
      <c r="R44" s="5">
        <f t="shared" si="13"/>
        <v>0</v>
      </c>
      <c r="S44" s="1">
        <f t="shared" si="20"/>
        <v>24.427374301675979</v>
      </c>
      <c r="T44" s="1">
        <f t="shared" si="21"/>
        <v>24.427374301675979</v>
      </c>
      <c r="U44" s="1">
        <v>41.8</v>
      </c>
      <c r="V44" s="1">
        <v>70.400000000000006</v>
      </c>
      <c r="W44" s="1">
        <v>26.6</v>
      </c>
      <c r="X44" s="1">
        <v>57</v>
      </c>
      <c r="Y44" s="1">
        <v>69</v>
      </c>
      <c r="Z44" s="1">
        <v>200.6</v>
      </c>
      <c r="AA44" s="1">
        <v>169.8</v>
      </c>
      <c r="AB44" s="1">
        <v>112</v>
      </c>
      <c r="AC44" s="1">
        <v>39.4</v>
      </c>
      <c r="AD44" s="1">
        <v>36</v>
      </c>
      <c r="AE44" s="19" t="s">
        <v>167</v>
      </c>
      <c r="AF44" s="1">
        <f t="shared" si="14"/>
        <v>0</v>
      </c>
      <c r="AG44" s="7">
        <v>16</v>
      </c>
      <c r="AH44" s="9">
        <f t="shared" si="15"/>
        <v>0</v>
      </c>
      <c r="AI44" s="1">
        <f t="shared" si="16"/>
        <v>0</v>
      </c>
      <c r="AJ44" s="1">
        <v>12</v>
      </c>
      <c r="AK44" s="1">
        <v>84</v>
      </c>
      <c r="AL44" s="9">
        <f t="shared" si="17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122</v>
      </c>
      <c r="B45" s="1" t="s">
        <v>42</v>
      </c>
      <c r="C45" s="1">
        <v>1515</v>
      </c>
      <c r="D45" s="1">
        <v>366</v>
      </c>
      <c r="E45" s="1">
        <v>983</v>
      </c>
      <c r="F45" s="1">
        <v>503</v>
      </c>
      <c r="G45" s="7">
        <v>0.7</v>
      </c>
      <c r="H45" s="1">
        <v>180</v>
      </c>
      <c r="I45" s="1" t="s">
        <v>123</v>
      </c>
      <c r="J45" s="1"/>
      <c r="K45" s="1">
        <v>1504</v>
      </c>
      <c r="L45" s="1">
        <f t="shared" si="18"/>
        <v>-521</v>
      </c>
      <c r="M45" s="1"/>
      <c r="N45" s="1"/>
      <c r="O45" s="1"/>
      <c r="P45" s="1">
        <f t="shared" si="19"/>
        <v>196.6</v>
      </c>
      <c r="Q45" s="5">
        <f>12*P45-F45</f>
        <v>1856.1999999999998</v>
      </c>
      <c r="R45" s="5">
        <f t="shared" si="13"/>
        <v>1800</v>
      </c>
      <c r="S45" s="1">
        <f t="shared" si="20"/>
        <v>11.714140386571719</v>
      </c>
      <c r="T45" s="1">
        <f t="shared" si="21"/>
        <v>2.5584944048830112</v>
      </c>
      <c r="U45" s="1">
        <v>72.8</v>
      </c>
      <c r="V45" s="1">
        <v>129.80000000000001</v>
      </c>
      <c r="W45" s="1">
        <v>107.6</v>
      </c>
      <c r="X45" s="1">
        <v>123.2</v>
      </c>
      <c r="Y45" s="1">
        <v>107</v>
      </c>
      <c r="Z45" s="1">
        <v>89</v>
      </c>
      <c r="AA45" s="1">
        <v>61.2</v>
      </c>
      <c r="AB45" s="1">
        <v>78.8</v>
      </c>
      <c r="AC45" s="1">
        <v>68.8</v>
      </c>
      <c r="AD45" s="1">
        <v>71.599999999999994</v>
      </c>
      <c r="AE45" s="1"/>
      <c r="AF45" s="1">
        <f t="shared" si="14"/>
        <v>1299.3399999999997</v>
      </c>
      <c r="AG45" s="7">
        <v>10</v>
      </c>
      <c r="AH45" s="9">
        <f t="shared" si="15"/>
        <v>180</v>
      </c>
      <c r="AI45" s="1">
        <f t="shared" si="16"/>
        <v>1260</v>
      </c>
      <c r="AJ45" s="1">
        <v>12</v>
      </c>
      <c r="AK45" s="1">
        <v>84</v>
      </c>
      <c r="AL45" s="9">
        <f t="shared" si="17"/>
        <v>2.1428571428571428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124</v>
      </c>
      <c r="B46" s="1" t="s">
        <v>42</v>
      </c>
      <c r="C46" s="1">
        <v>565</v>
      </c>
      <c r="D46" s="1">
        <v>32</v>
      </c>
      <c r="E46" s="1">
        <v>362</v>
      </c>
      <c r="F46" s="1">
        <v>196</v>
      </c>
      <c r="G46" s="7">
        <v>0.4</v>
      </c>
      <c r="H46" s="1">
        <v>180</v>
      </c>
      <c r="I46" s="1" t="s">
        <v>125</v>
      </c>
      <c r="J46" s="1"/>
      <c r="K46" s="1">
        <v>958</v>
      </c>
      <c r="L46" s="1">
        <f t="shared" si="18"/>
        <v>-596</v>
      </c>
      <c r="M46" s="1"/>
      <c r="N46" s="1"/>
      <c r="O46" s="1"/>
      <c r="P46" s="1">
        <f t="shared" si="19"/>
        <v>72.400000000000006</v>
      </c>
      <c r="Q46" s="5">
        <f>12*P46-F46</f>
        <v>672.80000000000007</v>
      </c>
      <c r="R46" s="5">
        <f t="shared" si="13"/>
        <v>768</v>
      </c>
      <c r="S46" s="1">
        <f t="shared" si="20"/>
        <v>13.314917127071823</v>
      </c>
      <c r="T46" s="1">
        <f t="shared" si="21"/>
        <v>2.7071823204419889</v>
      </c>
      <c r="U46" s="1">
        <v>25.8</v>
      </c>
      <c r="V46" s="1">
        <v>47.8</v>
      </c>
      <c r="W46" s="1">
        <v>27</v>
      </c>
      <c r="X46" s="1">
        <v>42.8</v>
      </c>
      <c r="Y46" s="1">
        <v>26.6</v>
      </c>
      <c r="Z46" s="1">
        <v>31.8</v>
      </c>
      <c r="AA46" s="1">
        <v>12.6</v>
      </c>
      <c r="AB46" s="1">
        <v>27.2</v>
      </c>
      <c r="AC46" s="1">
        <v>24.2</v>
      </c>
      <c r="AD46" s="1">
        <v>20</v>
      </c>
      <c r="AE46" s="1"/>
      <c r="AF46" s="1">
        <f t="shared" si="14"/>
        <v>269.12000000000006</v>
      </c>
      <c r="AG46" s="7">
        <v>16</v>
      </c>
      <c r="AH46" s="9">
        <f t="shared" si="15"/>
        <v>48</v>
      </c>
      <c r="AI46" s="1">
        <f t="shared" si="16"/>
        <v>307.20000000000005</v>
      </c>
      <c r="AJ46" s="1">
        <v>12</v>
      </c>
      <c r="AK46" s="1">
        <v>84</v>
      </c>
      <c r="AL46" s="9">
        <f t="shared" si="17"/>
        <v>0.5714285714285714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49</v>
      </c>
      <c r="B47" s="1" t="s">
        <v>42</v>
      </c>
      <c r="C47" s="1">
        <v>2192</v>
      </c>
      <c r="D47" s="1">
        <v>646</v>
      </c>
      <c r="E47" s="17">
        <f>1009+E8</f>
        <v>1137</v>
      </c>
      <c r="F47" s="17">
        <f>937+F8</f>
        <v>1122</v>
      </c>
      <c r="G47" s="7">
        <v>0.7</v>
      </c>
      <c r="H47" s="1">
        <v>180</v>
      </c>
      <c r="I47" s="1" t="s">
        <v>126</v>
      </c>
      <c r="J47" s="1"/>
      <c r="K47" s="1">
        <v>1425</v>
      </c>
      <c r="L47" s="1">
        <f t="shared" si="18"/>
        <v>-288</v>
      </c>
      <c r="M47" s="1"/>
      <c r="N47" s="1"/>
      <c r="O47" s="1"/>
      <c r="P47" s="1">
        <f t="shared" si="19"/>
        <v>227.4</v>
      </c>
      <c r="Q47" s="5">
        <f t="shared" si="12"/>
        <v>2061.6</v>
      </c>
      <c r="R47" s="5">
        <f t="shared" si="13"/>
        <v>2040</v>
      </c>
      <c r="S47" s="1">
        <f t="shared" si="20"/>
        <v>13.905013192612136</v>
      </c>
      <c r="T47" s="1">
        <f t="shared" si="21"/>
        <v>4.9340369393139838</v>
      </c>
      <c r="U47" s="1">
        <v>79.400000000000006</v>
      </c>
      <c r="V47" s="1">
        <v>181.6</v>
      </c>
      <c r="W47" s="1">
        <v>193</v>
      </c>
      <c r="X47" s="1">
        <v>186.4</v>
      </c>
      <c r="Y47" s="1">
        <v>201</v>
      </c>
      <c r="Z47" s="1">
        <v>197</v>
      </c>
      <c r="AA47" s="1">
        <v>157.6</v>
      </c>
      <c r="AB47" s="1">
        <v>173.6</v>
      </c>
      <c r="AC47" s="1">
        <v>138.80000000000001</v>
      </c>
      <c r="AD47" s="1">
        <v>148.4</v>
      </c>
      <c r="AE47" s="1"/>
      <c r="AF47" s="1">
        <f t="shared" si="14"/>
        <v>1443.12</v>
      </c>
      <c r="AG47" s="7">
        <v>10</v>
      </c>
      <c r="AH47" s="9">
        <f t="shared" si="15"/>
        <v>204</v>
      </c>
      <c r="AI47" s="1">
        <f t="shared" si="16"/>
        <v>1428</v>
      </c>
      <c r="AJ47" s="1">
        <v>12</v>
      </c>
      <c r="AK47" s="1">
        <v>84</v>
      </c>
      <c r="AL47" s="9">
        <f t="shared" si="17"/>
        <v>2.4285714285714284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127</v>
      </c>
      <c r="B48" s="1" t="s">
        <v>42</v>
      </c>
      <c r="C48" s="1">
        <v>248</v>
      </c>
      <c r="D48" s="1">
        <v>10</v>
      </c>
      <c r="E48" s="1">
        <v>76</v>
      </c>
      <c r="F48" s="1">
        <v>172</v>
      </c>
      <c r="G48" s="7">
        <v>0.8</v>
      </c>
      <c r="H48" s="1"/>
      <c r="I48" s="1" t="s">
        <v>128</v>
      </c>
      <c r="J48" s="1"/>
      <c r="K48" s="1">
        <v>103</v>
      </c>
      <c r="L48" s="1">
        <f t="shared" si="18"/>
        <v>-27</v>
      </c>
      <c r="M48" s="1"/>
      <c r="N48" s="1"/>
      <c r="O48" s="1"/>
      <c r="P48" s="1">
        <f t="shared" si="19"/>
        <v>15.2</v>
      </c>
      <c r="Q48" s="5">
        <f>16*P48-F48</f>
        <v>71.199999999999989</v>
      </c>
      <c r="R48" s="5">
        <f t="shared" si="13"/>
        <v>96</v>
      </c>
      <c r="S48" s="1">
        <f t="shared" si="20"/>
        <v>17.631578947368421</v>
      </c>
      <c r="T48" s="1">
        <f t="shared" si="21"/>
        <v>11.315789473684211</v>
      </c>
      <c r="U48" s="1">
        <v>0.8</v>
      </c>
      <c r="V48" s="1">
        <v>8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 t="s">
        <v>169</v>
      </c>
      <c r="AF48" s="1">
        <f t="shared" si="14"/>
        <v>56.959999999999994</v>
      </c>
      <c r="AG48" s="7">
        <v>8</v>
      </c>
      <c r="AH48" s="9">
        <f t="shared" si="15"/>
        <v>12</v>
      </c>
      <c r="AI48" s="1">
        <f t="shared" si="16"/>
        <v>76.800000000000011</v>
      </c>
      <c r="AJ48" s="1">
        <v>12</v>
      </c>
      <c r="AK48" s="1">
        <v>84</v>
      </c>
      <c r="AL48" s="9">
        <f t="shared" si="17"/>
        <v>0.14285714285714285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129</v>
      </c>
      <c r="B49" s="1" t="s">
        <v>42</v>
      </c>
      <c r="C49" s="1">
        <v>1699</v>
      </c>
      <c r="D49" s="1">
        <v>188</v>
      </c>
      <c r="E49" s="1">
        <v>800</v>
      </c>
      <c r="F49" s="1">
        <v>915</v>
      </c>
      <c r="G49" s="7">
        <v>1</v>
      </c>
      <c r="H49" s="1">
        <v>180</v>
      </c>
      <c r="I49" s="1" t="s">
        <v>130</v>
      </c>
      <c r="J49" s="1"/>
      <c r="K49" s="1">
        <v>1133</v>
      </c>
      <c r="L49" s="1">
        <f t="shared" si="18"/>
        <v>-333</v>
      </c>
      <c r="M49" s="1"/>
      <c r="N49" s="1"/>
      <c r="O49" s="1"/>
      <c r="P49" s="1">
        <f t="shared" si="19"/>
        <v>160</v>
      </c>
      <c r="Q49" s="5">
        <f t="shared" si="12"/>
        <v>1325</v>
      </c>
      <c r="R49" s="5">
        <f t="shared" si="13"/>
        <v>1320</v>
      </c>
      <c r="S49" s="1">
        <f t="shared" si="20"/>
        <v>13.96875</v>
      </c>
      <c r="T49" s="1">
        <f t="shared" si="21"/>
        <v>5.71875</v>
      </c>
      <c r="U49" s="1">
        <v>57.8</v>
      </c>
      <c r="V49" s="1">
        <v>136</v>
      </c>
      <c r="W49" s="1">
        <v>134.4</v>
      </c>
      <c r="X49" s="1">
        <v>135.19999999999999</v>
      </c>
      <c r="Y49" s="1">
        <v>143.4</v>
      </c>
      <c r="Z49" s="1">
        <v>123.4</v>
      </c>
      <c r="AA49" s="1">
        <v>103.2</v>
      </c>
      <c r="AB49" s="1">
        <v>81.8</v>
      </c>
      <c r="AC49" s="1">
        <v>87.8</v>
      </c>
      <c r="AD49" s="1">
        <v>92.2</v>
      </c>
      <c r="AE49" s="1"/>
      <c r="AF49" s="1">
        <f t="shared" si="14"/>
        <v>1325</v>
      </c>
      <c r="AG49" s="7">
        <v>5</v>
      </c>
      <c r="AH49" s="9">
        <f t="shared" si="15"/>
        <v>264</v>
      </c>
      <c r="AI49" s="1">
        <f t="shared" si="16"/>
        <v>1320</v>
      </c>
      <c r="AJ49" s="1">
        <v>12</v>
      </c>
      <c r="AK49" s="1">
        <v>84</v>
      </c>
      <c r="AL49" s="9">
        <f t="shared" si="17"/>
        <v>3.1428571428571428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44</v>
      </c>
      <c r="B50" s="1" t="s">
        <v>42</v>
      </c>
      <c r="C50" s="1">
        <v>242</v>
      </c>
      <c r="D50" s="1">
        <v>31</v>
      </c>
      <c r="E50" s="1">
        <v>177</v>
      </c>
      <c r="F50" s="17">
        <f>64+F6</f>
        <v>352</v>
      </c>
      <c r="G50" s="7">
        <v>0.9</v>
      </c>
      <c r="H50" s="1">
        <v>180</v>
      </c>
      <c r="I50" s="1" t="s">
        <v>131</v>
      </c>
      <c r="J50" s="1"/>
      <c r="K50" s="1">
        <v>237</v>
      </c>
      <c r="L50" s="1">
        <f t="shared" si="18"/>
        <v>-60</v>
      </c>
      <c r="M50" s="1"/>
      <c r="N50" s="1"/>
      <c r="O50" s="1"/>
      <c r="P50" s="1">
        <f t="shared" si="19"/>
        <v>35.4</v>
      </c>
      <c r="Q50" s="5">
        <f t="shared" si="12"/>
        <v>143.59999999999997</v>
      </c>
      <c r="R50" s="5">
        <f t="shared" si="13"/>
        <v>96</v>
      </c>
      <c r="S50" s="1">
        <f t="shared" si="20"/>
        <v>12.655367231638419</v>
      </c>
      <c r="T50" s="1">
        <f t="shared" si="21"/>
        <v>9.9435028248587578</v>
      </c>
      <c r="U50" s="1">
        <v>6.6</v>
      </c>
      <c r="V50" s="1">
        <v>41.8</v>
      </c>
      <c r="W50" s="1">
        <v>26.4</v>
      </c>
      <c r="X50" s="1">
        <v>32.6</v>
      </c>
      <c r="Y50" s="1">
        <v>7.4</v>
      </c>
      <c r="Z50" s="1">
        <v>17.8</v>
      </c>
      <c r="AA50" s="1">
        <v>16.600000000000001</v>
      </c>
      <c r="AB50" s="1">
        <v>19.399999999999999</v>
      </c>
      <c r="AC50" s="1">
        <v>16</v>
      </c>
      <c r="AD50" s="1">
        <v>15.8</v>
      </c>
      <c r="AE50" s="1"/>
      <c r="AF50" s="1">
        <f t="shared" si="14"/>
        <v>129.23999999999998</v>
      </c>
      <c r="AG50" s="7">
        <v>8</v>
      </c>
      <c r="AH50" s="9">
        <f t="shared" si="15"/>
        <v>12</v>
      </c>
      <c r="AI50" s="1">
        <f t="shared" si="16"/>
        <v>86.4</v>
      </c>
      <c r="AJ50" s="1">
        <v>12</v>
      </c>
      <c r="AK50" s="1">
        <v>84</v>
      </c>
      <c r="AL50" s="9">
        <f t="shared" si="17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132</v>
      </c>
      <c r="B51" s="1" t="s">
        <v>51</v>
      </c>
      <c r="C51" s="1">
        <v>745</v>
      </c>
      <c r="D51" s="1">
        <v>35</v>
      </c>
      <c r="E51" s="1">
        <v>265</v>
      </c>
      <c r="F51" s="1">
        <v>475</v>
      </c>
      <c r="G51" s="7">
        <v>1</v>
      </c>
      <c r="H51" s="1">
        <v>180</v>
      </c>
      <c r="I51" s="1" t="s">
        <v>133</v>
      </c>
      <c r="J51" s="1"/>
      <c r="K51" s="1">
        <v>480</v>
      </c>
      <c r="L51" s="1">
        <f t="shared" si="18"/>
        <v>-215</v>
      </c>
      <c r="M51" s="1"/>
      <c r="N51" s="1"/>
      <c r="O51" s="1"/>
      <c r="P51" s="1">
        <f t="shared" si="19"/>
        <v>53</v>
      </c>
      <c r="Q51" s="5">
        <f t="shared" si="12"/>
        <v>267</v>
      </c>
      <c r="R51" s="5">
        <f t="shared" si="13"/>
        <v>240</v>
      </c>
      <c r="S51" s="1">
        <f t="shared" si="20"/>
        <v>13.490566037735849</v>
      </c>
      <c r="T51" s="1">
        <f t="shared" si="21"/>
        <v>8.9622641509433958</v>
      </c>
      <c r="U51" s="1">
        <v>16</v>
      </c>
      <c r="V51" s="1">
        <v>54</v>
      </c>
      <c r="W51" s="1">
        <v>58</v>
      </c>
      <c r="X51" s="1">
        <v>53</v>
      </c>
      <c r="Y51" s="1">
        <v>59</v>
      </c>
      <c r="Z51" s="1">
        <v>41</v>
      </c>
      <c r="AA51" s="1">
        <v>41</v>
      </c>
      <c r="AB51" s="1">
        <v>47</v>
      </c>
      <c r="AC51" s="1">
        <v>39</v>
      </c>
      <c r="AD51" s="1">
        <v>37</v>
      </c>
      <c r="AE51" s="1"/>
      <c r="AF51" s="1">
        <f t="shared" si="14"/>
        <v>267</v>
      </c>
      <c r="AG51" s="7">
        <v>5</v>
      </c>
      <c r="AH51" s="9">
        <f t="shared" si="15"/>
        <v>48</v>
      </c>
      <c r="AI51" s="1">
        <f t="shared" si="16"/>
        <v>240</v>
      </c>
      <c r="AJ51" s="1">
        <v>12</v>
      </c>
      <c r="AK51" s="1">
        <v>144</v>
      </c>
      <c r="AL51" s="9">
        <f t="shared" si="17"/>
        <v>0.33333333333333331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134</v>
      </c>
      <c r="B52" s="1" t="s">
        <v>42</v>
      </c>
      <c r="C52" s="1">
        <v>73</v>
      </c>
      <c r="D52" s="1"/>
      <c r="E52" s="1">
        <v>13</v>
      </c>
      <c r="F52" s="1">
        <v>60</v>
      </c>
      <c r="G52" s="7">
        <v>1</v>
      </c>
      <c r="H52" s="1">
        <v>180</v>
      </c>
      <c r="I52" s="1" t="s">
        <v>135</v>
      </c>
      <c r="J52" s="1"/>
      <c r="K52" s="1">
        <v>15</v>
      </c>
      <c r="L52" s="1">
        <f t="shared" si="18"/>
        <v>-2</v>
      </c>
      <c r="M52" s="1"/>
      <c r="N52" s="1"/>
      <c r="O52" s="1"/>
      <c r="P52" s="1">
        <f t="shared" si="19"/>
        <v>2.6</v>
      </c>
      <c r="Q52" s="5"/>
      <c r="R52" s="5">
        <f t="shared" si="13"/>
        <v>0</v>
      </c>
      <c r="S52" s="1">
        <f t="shared" si="20"/>
        <v>23.076923076923077</v>
      </c>
      <c r="T52" s="1">
        <f t="shared" si="21"/>
        <v>23.076923076923077</v>
      </c>
      <c r="U52" s="1">
        <v>0.8</v>
      </c>
      <c r="V52" s="1">
        <v>1.4</v>
      </c>
      <c r="W52" s="1">
        <v>3.4</v>
      </c>
      <c r="X52" s="1">
        <v>1.2</v>
      </c>
      <c r="Y52" s="1">
        <v>6.2</v>
      </c>
      <c r="Z52" s="1">
        <v>3</v>
      </c>
      <c r="AA52" s="1">
        <v>4</v>
      </c>
      <c r="AB52" s="1">
        <v>6.4</v>
      </c>
      <c r="AC52" s="1">
        <v>10.199999999999999</v>
      </c>
      <c r="AD52" s="1">
        <v>5.2</v>
      </c>
      <c r="AE52" s="19" t="s">
        <v>167</v>
      </c>
      <c r="AF52" s="1">
        <f t="shared" si="14"/>
        <v>0</v>
      </c>
      <c r="AG52" s="7">
        <v>5</v>
      </c>
      <c r="AH52" s="9">
        <f t="shared" si="15"/>
        <v>0</v>
      </c>
      <c r="AI52" s="1">
        <f t="shared" si="16"/>
        <v>0</v>
      </c>
      <c r="AJ52" s="1">
        <v>12</v>
      </c>
      <c r="AK52" s="1">
        <v>84</v>
      </c>
      <c r="AL52" s="9">
        <f t="shared" si="17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52</v>
      </c>
      <c r="B53" s="1" t="s">
        <v>51</v>
      </c>
      <c r="C53" s="1">
        <v>392.8</v>
      </c>
      <c r="D53" s="1">
        <v>48.1</v>
      </c>
      <c r="E53" s="1">
        <v>111</v>
      </c>
      <c r="F53" s="17">
        <f>281.8+F9</f>
        <v>274.40000000000003</v>
      </c>
      <c r="G53" s="7">
        <v>1</v>
      </c>
      <c r="H53" s="1">
        <v>180</v>
      </c>
      <c r="I53" s="1" t="s">
        <v>136</v>
      </c>
      <c r="J53" s="1"/>
      <c r="K53" s="1">
        <v>187.3</v>
      </c>
      <c r="L53" s="1">
        <f t="shared" si="18"/>
        <v>-76.300000000000011</v>
      </c>
      <c r="M53" s="1"/>
      <c r="N53" s="1"/>
      <c r="O53" s="1"/>
      <c r="P53" s="1">
        <f t="shared" si="19"/>
        <v>22.2</v>
      </c>
      <c r="Q53" s="5">
        <f t="shared" si="12"/>
        <v>36.399999999999977</v>
      </c>
      <c r="R53" s="5">
        <f t="shared" si="13"/>
        <v>51.800000000000004</v>
      </c>
      <c r="S53" s="1">
        <f t="shared" si="20"/>
        <v>14.693693693693696</v>
      </c>
      <c r="T53" s="1">
        <f t="shared" si="21"/>
        <v>12.360360360360362</v>
      </c>
      <c r="U53" s="1">
        <v>7.4</v>
      </c>
      <c r="V53" s="1">
        <v>27.77999999999999</v>
      </c>
      <c r="W53" s="1">
        <v>19.239999999999998</v>
      </c>
      <c r="X53" s="1">
        <v>32.32</v>
      </c>
      <c r="Y53" s="1">
        <v>30.3</v>
      </c>
      <c r="Z53" s="1">
        <v>37.739999999999988</v>
      </c>
      <c r="AA53" s="1">
        <v>39.22</v>
      </c>
      <c r="AB53" s="1">
        <v>27.2</v>
      </c>
      <c r="AC53" s="1">
        <v>13.32</v>
      </c>
      <c r="AD53" s="1">
        <v>29</v>
      </c>
      <c r="AE53" s="1"/>
      <c r="AF53" s="1">
        <f t="shared" si="14"/>
        <v>36.399999999999977</v>
      </c>
      <c r="AG53" s="7">
        <v>3.7</v>
      </c>
      <c r="AH53" s="9">
        <f t="shared" si="15"/>
        <v>14</v>
      </c>
      <c r="AI53" s="1">
        <f t="shared" si="16"/>
        <v>51.800000000000004</v>
      </c>
      <c r="AJ53" s="1">
        <v>14</v>
      </c>
      <c r="AK53" s="1">
        <v>126</v>
      </c>
      <c r="AL53" s="9">
        <f t="shared" si="17"/>
        <v>0.1111111111111111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137</v>
      </c>
      <c r="B54" s="1" t="s">
        <v>42</v>
      </c>
      <c r="C54" s="1">
        <v>1516</v>
      </c>
      <c r="D54" s="1">
        <v>162</v>
      </c>
      <c r="E54" s="1">
        <v>419</v>
      </c>
      <c r="F54" s="1">
        <v>1125</v>
      </c>
      <c r="G54" s="7">
        <v>0.23</v>
      </c>
      <c r="H54" s="1">
        <v>180</v>
      </c>
      <c r="I54" s="20" t="s">
        <v>168</v>
      </c>
      <c r="J54" s="1"/>
      <c r="K54" s="1">
        <v>572</v>
      </c>
      <c r="L54" s="1">
        <f t="shared" si="18"/>
        <v>-153</v>
      </c>
      <c r="M54" s="1"/>
      <c r="N54" s="1"/>
      <c r="O54" s="1"/>
      <c r="P54" s="1">
        <f t="shared" si="19"/>
        <v>83.8</v>
      </c>
      <c r="Q54" s="5">
        <f t="shared" si="12"/>
        <v>48.200000000000045</v>
      </c>
      <c r="R54" s="5">
        <f t="shared" si="13"/>
        <v>84</v>
      </c>
      <c r="S54" s="1">
        <f t="shared" si="20"/>
        <v>14.427207637231504</v>
      </c>
      <c r="T54" s="1">
        <f t="shared" si="21"/>
        <v>13.424821002386635</v>
      </c>
      <c r="U54" s="1">
        <v>31.2</v>
      </c>
      <c r="V54" s="1">
        <v>145.4</v>
      </c>
      <c r="W54" s="1">
        <v>96.2</v>
      </c>
      <c r="X54" s="1">
        <v>43.6</v>
      </c>
      <c r="Y54" s="1">
        <v>120.2</v>
      </c>
      <c r="Z54" s="1">
        <v>59</v>
      </c>
      <c r="AA54" s="1">
        <v>70.400000000000006</v>
      </c>
      <c r="AB54" s="1">
        <v>81</v>
      </c>
      <c r="AC54" s="1">
        <v>13.6</v>
      </c>
      <c r="AD54" s="1">
        <v>102.8</v>
      </c>
      <c r="AE54" s="1"/>
      <c r="AF54" s="1">
        <f t="shared" si="14"/>
        <v>11.086000000000011</v>
      </c>
      <c r="AG54" s="7">
        <v>6</v>
      </c>
      <c r="AH54" s="9">
        <f t="shared" si="15"/>
        <v>14</v>
      </c>
      <c r="AI54" s="1">
        <f t="shared" si="16"/>
        <v>19.32</v>
      </c>
      <c r="AJ54" s="1">
        <v>14</v>
      </c>
      <c r="AK54" s="1">
        <v>140</v>
      </c>
      <c r="AL54" s="9">
        <f t="shared" si="17"/>
        <v>0.1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138</v>
      </c>
      <c r="B55" s="1" t="s">
        <v>42</v>
      </c>
      <c r="C55" s="1">
        <v>1300</v>
      </c>
      <c r="D55" s="1">
        <v>406</v>
      </c>
      <c r="E55" s="1">
        <v>919</v>
      </c>
      <c r="F55" s="1">
        <v>462</v>
      </c>
      <c r="G55" s="7">
        <v>0.25</v>
      </c>
      <c r="H55" s="1">
        <v>180</v>
      </c>
      <c r="I55" s="1" t="s">
        <v>139</v>
      </c>
      <c r="J55" s="1"/>
      <c r="K55" s="1">
        <v>1288</v>
      </c>
      <c r="L55" s="1">
        <f t="shared" si="18"/>
        <v>-369</v>
      </c>
      <c r="M55" s="1"/>
      <c r="N55" s="1"/>
      <c r="O55" s="1"/>
      <c r="P55" s="1">
        <f t="shared" si="19"/>
        <v>183.8</v>
      </c>
      <c r="Q55" s="5">
        <f>12*P55-F55</f>
        <v>1743.6000000000004</v>
      </c>
      <c r="R55" s="5">
        <f t="shared" si="13"/>
        <v>1680</v>
      </c>
      <c r="S55" s="1">
        <f t="shared" si="20"/>
        <v>11.653971708378672</v>
      </c>
      <c r="T55" s="1">
        <f t="shared" si="21"/>
        <v>2.5136017410228506</v>
      </c>
      <c r="U55" s="1">
        <v>119.6</v>
      </c>
      <c r="V55" s="1">
        <v>135</v>
      </c>
      <c r="W55" s="1">
        <v>121</v>
      </c>
      <c r="X55" s="1">
        <v>139</v>
      </c>
      <c r="Y55" s="1">
        <v>132.19999999999999</v>
      </c>
      <c r="Z55" s="1">
        <v>156.6</v>
      </c>
      <c r="AA55" s="1">
        <v>92.8</v>
      </c>
      <c r="AB55" s="1">
        <v>82.4</v>
      </c>
      <c r="AC55" s="1">
        <v>64</v>
      </c>
      <c r="AD55" s="1">
        <v>106.8</v>
      </c>
      <c r="AE55" s="1"/>
      <c r="AF55" s="1">
        <f t="shared" si="14"/>
        <v>435.90000000000009</v>
      </c>
      <c r="AG55" s="7">
        <v>12</v>
      </c>
      <c r="AH55" s="9">
        <f t="shared" si="15"/>
        <v>140</v>
      </c>
      <c r="AI55" s="1">
        <f t="shared" si="16"/>
        <v>420</v>
      </c>
      <c r="AJ55" s="1">
        <v>14</v>
      </c>
      <c r="AK55" s="1">
        <v>70</v>
      </c>
      <c r="AL55" s="9">
        <f t="shared" si="17"/>
        <v>2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140</v>
      </c>
      <c r="B56" s="1" t="s">
        <v>42</v>
      </c>
      <c r="C56" s="1">
        <v>1522</v>
      </c>
      <c r="D56" s="1">
        <v>145</v>
      </c>
      <c r="E56" s="1">
        <v>512</v>
      </c>
      <c r="F56" s="1">
        <v>1034</v>
      </c>
      <c r="G56" s="7">
        <v>0.25</v>
      </c>
      <c r="H56" s="1">
        <v>180</v>
      </c>
      <c r="I56" s="1" t="s">
        <v>141</v>
      </c>
      <c r="J56" s="1"/>
      <c r="K56" s="1">
        <v>701</v>
      </c>
      <c r="L56" s="1">
        <f t="shared" si="18"/>
        <v>-189</v>
      </c>
      <c r="M56" s="1"/>
      <c r="N56" s="1"/>
      <c r="O56" s="1"/>
      <c r="P56" s="1">
        <f t="shared" si="19"/>
        <v>102.4</v>
      </c>
      <c r="Q56" s="5">
        <f t="shared" si="12"/>
        <v>399.60000000000014</v>
      </c>
      <c r="R56" s="5">
        <f t="shared" si="13"/>
        <v>336</v>
      </c>
      <c r="S56" s="1">
        <f t="shared" si="20"/>
        <v>13.37890625</v>
      </c>
      <c r="T56" s="1">
        <f t="shared" si="21"/>
        <v>10.09765625</v>
      </c>
      <c r="U56" s="1">
        <v>41</v>
      </c>
      <c r="V56" s="1">
        <v>114.8</v>
      </c>
      <c r="W56" s="1">
        <v>106.8</v>
      </c>
      <c r="X56" s="1">
        <v>118.6</v>
      </c>
      <c r="Y56" s="1">
        <v>146.80000000000001</v>
      </c>
      <c r="Z56" s="1">
        <v>100.8</v>
      </c>
      <c r="AA56" s="1">
        <v>85.8</v>
      </c>
      <c r="AB56" s="1">
        <v>69.2</v>
      </c>
      <c r="AC56" s="1">
        <v>65.2</v>
      </c>
      <c r="AD56" s="1">
        <v>65</v>
      </c>
      <c r="AE56" s="1"/>
      <c r="AF56" s="1">
        <f t="shared" si="14"/>
        <v>99.900000000000034</v>
      </c>
      <c r="AG56" s="7">
        <v>12</v>
      </c>
      <c r="AH56" s="9">
        <f t="shared" si="15"/>
        <v>28</v>
      </c>
      <c r="AI56" s="1">
        <f t="shared" si="16"/>
        <v>84</v>
      </c>
      <c r="AJ56" s="1">
        <v>14</v>
      </c>
      <c r="AK56" s="1">
        <v>70</v>
      </c>
      <c r="AL56" s="9">
        <f t="shared" si="17"/>
        <v>0.4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142</v>
      </c>
      <c r="B57" s="1" t="s">
        <v>42</v>
      </c>
      <c r="C57" s="1">
        <v>486</v>
      </c>
      <c r="D57" s="1">
        <v>44</v>
      </c>
      <c r="E57" s="1">
        <v>149</v>
      </c>
      <c r="F57" s="1">
        <v>343</v>
      </c>
      <c r="G57" s="7">
        <v>0.18</v>
      </c>
      <c r="H57" s="1">
        <v>180</v>
      </c>
      <c r="I57" s="1" t="s">
        <v>143</v>
      </c>
      <c r="J57" s="1"/>
      <c r="K57" s="1">
        <v>190</v>
      </c>
      <c r="L57" s="1">
        <f t="shared" si="18"/>
        <v>-41</v>
      </c>
      <c r="M57" s="1"/>
      <c r="N57" s="1"/>
      <c r="O57" s="1"/>
      <c r="P57" s="1">
        <f t="shared" si="19"/>
        <v>29.8</v>
      </c>
      <c r="Q57" s="5">
        <f t="shared" si="12"/>
        <v>74.199999999999989</v>
      </c>
      <c r="R57" s="5">
        <f t="shared" si="13"/>
        <v>84</v>
      </c>
      <c r="S57" s="1">
        <f t="shared" si="20"/>
        <v>14.328859060402685</v>
      </c>
      <c r="T57" s="1">
        <f t="shared" si="21"/>
        <v>11.51006711409396</v>
      </c>
      <c r="U57" s="1">
        <v>6.4</v>
      </c>
      <c r="V57" s="1">
        <v>25.8</v>
      </c>
      <c r="W57" s="1">
        <v>37</v>
      </c>
      <c r="X57" s="1">
        <v>52.4</v>
      </c>
      <c r="Y57" s="1">
        <v>19.2</v>
      </c>
      <c r="Z57" s="1">
        <v>20</v>
      </c>
      <c r="AA57" s="1">
        <v>31.4</v>
      </c>
      <c r="AB57" s="1">
        <v>23.4</v>
      </c>
      <c r="AC57" s="1">
        <v>12.2</v>
      </c>
      <c r="AD57" s="1">
        <v>69</v>
      </c>
      <c r="AE57" s="1"/>
      <c r="AF57" s="1">
        <f t="shared" si="14"/>
        <v>13.355999999999998</v>
      </c>
      <c r="AG57" s="7">
        <v>6</v>
      </c>
      <c r="AH57" s="9">
        <f t="shared" si="15"/>
        <v>14</v>
      </c>
      <c r="AI57" s="1">
        <f t="shared" si="16"/>
        <v>15.12</v>
      </c>
      <c r="AJ57" s="1">
        <v>14</v>
      </c>
      <c r="AK57" s="1">
        <v>140</v>
      </c>
      <c r="AL57" s="9">
        <f t="shared" si="17"/>
        <v>0.1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144</v>
      </c>
      <c r="B58" s="1" t="s">
        <v>42</v>
      </c>
      <c r="C58" s="1">
        <v>368</v>
      </c>
      <c r="D58" s="1">
        <v>53</v>
      </c>
      <c r="E58" s="1">
        <v>156</v>
      </c>
      <c r="F58" s="1">
        <v>212</v>
      </c>
      <c r="G58" s="7">
        <v>0.18</v>
      </c>
      <c r="H58" s="1">
        <v>180</v>
      </c>
      <c r="I58" s="1" t="s">
        <v>145</v>
      </c>
      <c r="J58" s="1"/>
      <c r="K58" s="1">
        <v>297</v>
      </c>
      <c r="L58" s="1">
        <f t="shared" si="18"/>
        <v>-141</v>
      </c>
      <c r="M58" s="1"/>
      <c r="N58" s="1"/>
      <c r="O58" s="1"/>
      <c r="P58" s="1">
        <f t="shared" si="19"/>
        <v>31.2</v>
      </c>
      <c r="Q58" s="5">
        <f t="shared" si="12"/>
        <v>224.8</v>
      </c>
      <c r="R58" s="5">
        <f t="shared" si="13"/>
        <v>252</v>
      </c>
      <c r="S58" s="1">
        <f t="shared" si="20"/>
        <v>14.871794871794872</v>
      </c>
      <c r="T58" s="1">
        <f t="shared" si="21"/>
        <v>6.7948717948717947</v>
      </c>
      <c r="U58" s="1">
        <v>3.8</v>
      </c>
      <c r="V58" s="1">
        <v>27.8</v>
      </c>
      <c r="W58" s="1">
        <v>37.6</v>
      </c>
      <c r="X58" s="1">
        <v>46.6</v>
      </c>
      <c r="Y58" s="1">
        <v>66.2</v>
      </c>
      <c r="Z58" s="1">
        <v>29.2</v>
      </c>
      <c r="AA58" s="1">
        <v>53</v>
      </c>
      <c r="AB58" s="1">
        <v>22.6</v>
      </c>
      <c r="AC58" s="1">
        <v>31</v>
      </c>
      <c r="AD58" s="1">
        <v>81.8</v>
      </c>
      <c r="AE58" s="1"/>
      <c r="AF58" s="1">
        <f t="shared" si="14"/>
        <v>40.463999999999999</v>
      </c>
      <c r="AG58" s="7">
        <v>6</v>
      </c>
      <c r="AH58" s="9">
        <f t="shared" si="15"/>
        <v>42</v>
      </c>
      <c r="AI58" s="1">
        <f t="shared" si="16"/>
        <v>45.36</v>
      </c>
      <c r="AJ58" s="1">
        <v>14</v>
      </c>
      <c r="AK58" s="1">
        <v>140</v>
      </c>
      <c r="AL58" s="9">
        <f t="shared" si="17"/>
        <v>0.3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146</v>
      </c>
      <c r="B59" s="1" t="s">
        <v>42</v>
      </c>
      <c r="C59" s="1">
        <v>23</v>
      </c>
      <c r="D59" s="1">
        <v>5</v>
      </c>
      <c r="E59" s="1">
        <v>15</v>
      </c>
      <c r="F59" s="1">
        <v>8</v>
      </c>
      <c r="G59" s="7">
        <v>0.18</v>
      </c>
      <c r="H59" s="1">
        <v>180</v>
      </c>
      <c r="I59" s="1" t="s">
        <v>147</v>
      </c>
      <c r="J59" s="1"/>
      <c r="K59" s="1">
        <v>44</v>
      </c>
      <c r="L59" s="1">
        <f t="shared" si="18"/>
        <v>-29</v>
      </c>
      <c r="M59" s="1"/>
      <c r="N59" s="1"/>
      <c r="O59" s="1"/>
      <c r="P59" s="1">
        <f t="shared" si="19"/>
        <v>3</v>
      </c>
      <c r="Q59" s="5">
        <v>50</v>
      </c>
      <c r="R59" s="5">
        <f t="shared" si="13"/>
        <v>84</v>
      </c>
      <c r="S59" s="1">
        <f t="shared" si="20"/>
        <v>30.666666666666668</v>
      </c>
      <c r="T59" s="1">
        <f t="shared" si="21"/>
        <v>2.6666666666666665</v>
      </c>
      <c r="U59" s="1">
        <v>0.4</v>
      </c>
      <c r="V59" s="1">
        <v>2.4</v>
      </c>
      <c r="W59" s="1">
        <v>2.2000000000000002</v>
      </c>
      <c r="X59" s="1">
        <v>2</v>
      </c>
      <c r="Y59" s="1">
        <v>2.2000000000000002</v>
      </c>
      <c r="Z59" s="1">
        <v>2.8</v>
      </c>
      <c r="AA59" s="1">
        <v>2</v>
      </c>
      <c r="AB59" s="1">
        <v>2</v>
      </c>
      <c r="AC59" s="1">
        <v>2</v>
      </c>
      <c r="AD59" s="1">
        <v>6.8</v>
      </c>
      <c r="AE59" s="1"/>
      <c r="AF59" s="1">
        <f t="shared" si="14"/>
        <v>9</v>
      </c>
      <c r="AG59" s="7">
        <v>6</v>
      </c>
      <c r="AH59" s="9">
        <f t="shared" si="15"/>
        <v>14</v>
      </c>
      <c r="AI59" s="1">
        <f t="shared" si="16"/>
        <v>15.12</v>
      </c>
      <c r="AJ59" s="1">
        <v>14</v>
      </c>
      <c r="AK59" s="1">
        <v>140</v>
      </c>
      <c r="AL59" s="9">
        <f t="shared" si="17"/>
        <v>0.1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148</v>
      </c>
      <c r="B60" s="1" t="s">
        <v>42</v>
      </c>
      <c r="C60" s="1">
        <v>2370</v>
      </c>
      <c r="D60" s="1">
        <v>339</v>
      </c>
      <c r="E60" s="1">
        <v>947</v>
      </c>
      <c r="F60" s="1">
        <v>1442</v>
      </c>
      <c r="G60" s="7">
        <v>0.3</v>
      </c>
      <c r="H60" s="1">
        <v>180</v>
      </c>
      <c r="I60" s="1" t="s">
        <v>149</v>
      </c>
      <c r="J60" s="1"/>
      <c r="K60" s="1">
        <v>1314</v>
      </c>
      <c r="L60" s="1">
        <f t="shared" si="18"/>
        <v>-367</v>
      </c>
      <c r="M60" s="1"/>
      <c r="N60" s="1"/>
      <c r="O60" s="1"/>
      <c r="P60" s="1">
        <f t="shared" si="19"/>
        <v>189.4</v>
      </c>
      <c r="Q60" s="5">
        <f t="shared" si="12"/>
        <v>1209.5999999999999</v>
      </c>
      <c r="R60" s="5">
        <f t="shared" si="13"/>
        <v>1176</v>
      </c>
      <c r="S60" s="1">
        <f t="shared" si="20"/>
        <v>13.82259767687434</v>
      </c>
      <c r="T60" s="1">
        <f t="shared" si="21"/>
        <v>7.6135163674762403</v>
      </c>
      <c r="U60" s="1">
        <v>87.2</v>
      </c>
      <c r="V60" s="1">
        <v>193</v>
      </c>
      <c r="W60" s="1">
        <v>187.2</v>
      </c>
      <c r="X60" s="1">
        <v>161.6</v>
      </c>
      <c r="Y60" s="1">
        <v>159.19999999999999</v>
      </c>
      <c r="Z60" s="1">
        <v>146.4</v>
      </c>
      <c r="AA60" s="1">
        <v>138.4</v>
      </c>
      <c r="AB60" s="1">
        <v>166.2</v>
      </c>
      <c r="AC60" s="1">
        <v>161.19999999999999</v>
      </c>
      <c r="AD60" s="1">
        <v>122.6</v>
      </c>
      <c r="AE60" s="1"/>
      <c r="AF60" s="1">
        <f t="shared" si="14"/>
        <v>362.87999999999994</v>
      </c>
      <c r="AG60" s="7">
        <v>12</v>
      </c>
      <c r="AH60" s="9">
        <f t="shared" si="15"/>
        <v>98</v>
      </c>
      <c r="AI60" s="1">
        <f t="shared" si="16"/>
        <v>352.8</v>
      </c>
      <c r="AJ60" s="1">
        <v>14</v>
      </c>
      <c r="AK60" s="1">
        <v>70</v>
      </c>
      <c r="AL60" s="9">
        <f t="shared" si="17"/>
        <v>1.4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150</v>
      </c>
      <c r="B61" s="1" t="s">
        <v>42</v>
      </c>
      <c r="C61" s="1">
        <v>1552</v>
      </c>
      <c r="D61" s="1">
        <v>214</v>
      </c>
      <c r="E61" s="1">
        <v>424</v>
      </c>
      <c r="F61" s="1">
        <v>1202</v>
      </c>
      <c r="G61" s="7">
        <v>0.3</v>
      </c>
      <c r="H61" s="1">
        <v>180</v>
      </c>
      <c r="I61" s="1" t="s">
        <v>151</v>
      </c>
      <c r="J61" s="1"/>
      <c r="K61" s="1">
        <v>594</v>
      </c>
      <c r="L61" s="1">
        <f t="shared" si="18"/>
        <v>-170</v>
      </c>
      <c r="M61" s="1"/>
      <c r="N61" s="1"/>
      <c r="O61" s="1"/>
      <c r="P61" s="1">
        <f t="shared" si="19"/>
        <v>84.8</v>
      </c>
      <c r="Q61" s="5"/>
      <c r="R61" s="5">
        <f t="shared" si="13"/>
        <v>0</v>
      </c>
      <c r="S61" s="1">
        <f t="shared" si="20"/>
        <v>14.174528301886793</v>
      </c>
      <c r="T61" s="1">
        <f t="shared" si="21"/>
        <v>14.174528301886793</v>
      </c>
      <c r="U61" s="1">
        <v>67</v>
      </c>
      <c r="V61" s="1">
        <v>126.6</v>
      </c>
      <c r="W61" s="1">
        <v>117.4</v>
      </c>
      <c r="X61" s="1">
        <v>114.6</v>
      </c>
      <c r="Y61" s="1">
        <v>112.4</v>
      </c>
      <c r="Z61" s="1">
        <v>100.4</v>
      </c>
      <c r="AA61" s="1">
        <v>70.8</v>
      </c>
      <c r="AB61" s="1">
        <v>92.4</v>
      </c>
      <c r="AC61" s="1">
        <v>77.599999999999994</v>
      </c>
      <c r="AD61" s="1">
        <v>85.2</v>
      </c>
      <c r="AE61" s="1"/>
      <c r="AF61" s="1">
        <f t="shared" si="14"/>
        <v>0</v>
      </c>
      <c r="AG61" s="7">
        <v>12</v>
      </c>
      <c r="AH61" s="9">
        <f t="shared" si="15"/>
        <v>0</v>
      </c>
      <c r="AI61" s="1">
        <f t="shared" si="16"/>
        <v>0</v>
      </c>
      <c r="AJ61" s="1">
        <v>14</v>
      </c>
      <c r="AK61" s="1">
        <v>70</v>
      </c>
      <c r="AL61" s="9">
        <f t="shared" si="17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152</v>
      </c>
      <c r="B62" s="1" t="s">
        <v>42</v>
      </c>
      <c r="C62" s="1">
        <v>1559</v>
      </c>
      <c r="D62" s="1">
        <v>167</v>
      </c>
      <c r="E62" s="1">
        <v>316</v>
      </c>
      <c r="F62" s="1">
        <v>1327</v>
      </c>
      <c r="G62" s="7">
        <v>0.3</v>
      </c>
      <c r="H62" s="1">
        <v>180</v>
      </c>
      <c r="I62" s="1" t="s">
        <v>153</v>
      </c>
      <c r="J62" s="1"/>
      <c r="K62" s="1">
        <v>410</v>
      </c>
      <c r="L62" s="1">
        <f t="shared" si="18"/>
        <v>-94</v>
      </c>
      <c r="M62" s="1"/>
      <c r="N62" s="1"/>
      <c r="O62" s="1"/>
      <c r="P62" s="1">
        <f t="shared" si="19"/>
        <v>63.2</v>
      </c>
      <c r="Q62" s="5"/>
      <c r="R62" s="5">
        <f t="shared" si="13"/>
        <v>0</v>
      </c>
      <c r="S62" s="1">
        <f t="shared" si="20"/>
        <v>20.996835443037973</v>
      </c>
      <c r="T62" s="1">
        <f t="shared" si="21"/>
        <v>20.996835443037973</v>
      </c>
      <c r="U62" s="1">
        <v>57.8</v>
      </c>
      <c r="V62" s="1">
        <v>129.6</v>
      </c>
      <c r="W62" s="1">
        <v>107.4</v>
      </c>
      <c r="X62" s="1">
        <v>95</v>
      </c>
      <c r="Y62" s="1">
        <v>105.4</v>
      </c>
      <c r="Z62" s="1">
        <v>91.8</v>
      </c>
      <c r="AA62" s="1">
        <v>36.799999999999997</v>
      </c>
      <c r="AB62" s="1">
        <v>84.4</v>
      </c>
      <c r="AC62" s="1">
        <v>0</v>
      </c>
      <c r="AD62" s="1">
        <v>53.6</v>
      </c>
      <c r="AE62" s="19" t="s">
        <v>167</v>
      </c>
      <c r="AF62" s="1">
        <f t="shared" si="14"/>
        <v>0</v>
      </c>
      <c r="AG62" s="7">
        <v>14</v>
      </c>
      <c r="AH62" s="9">
        <f t="shared" si="15"/>
        <v>0</v>
      </c>
      <c r="AI62" s="1">
        <f t="shared" si="16"/>
        <v>0</v>
      </c>
      <c r="AJ62" s="1">
        <v>14</v>
      </c>
      <c r="AK62" s="1">
        <v>70</v>
      </c>
      <c r="AL62" s="9">
        <f t="shared" si="17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154</v>
      </c>
      <c r="B63" s="1" t="s">
        <v>42</v>
      </c>
      <c r="C63" s="1">
        <v>3461</v>
      </c>
      <c r="D63" s="1">
        <v>881</v>
      </c>
      <c r="E63" s="1">
        <v>1941</v>
      </c>
      <c r="F63" s="1">
        <v>1535</v>
      </c>
      <c r="G63" s="7">
        <v>0.25</v>
      </c>
      <c r="H63" s="1">
        <v>180</v>
      </c>
      <c r="I63" s="18" t="s">
        <v>155</v>
      </c>
      <c r="J63" s="1"/>
      <c r="K63" s="1">
        <v>2797</v>
      </c>
      <c r="L63" s="1">
        <f t="shared" si="18"/>
        <v>-856</v>
      </c>
      <c r="M63" s="1"/>
      <c r="N63" s="1"/>
      <c r="O63" s="1"/>
      <c r="P63" s="1">
        <f t="shared" si="19"/>
        <v>388.2</v>
      </c>
      <c r="Q63" s="5">
        <v>1500</v>
      </c>
      <c r="R63" s="5">
        <f t="shared" si="13"/>
        <v>1512</v>
      </c>
      <c r="S63" s="1">
        <f t="shared" si="20"/>
        <v>7.8490468830499749</v>
      </c>
      <c r="T63" s="1">
        <f t="shared" si="21"/>
        <v>3.9541473467284907</v>
      </c>
      <c r="U63" s="1">
        <v>212</v>
      </c>
      <c r="V63" s="1">
        <v>317.60000000000002</v>
      </c>
      <c r="W63" s="1">
        <v>359.4</v>
      </c>
      <c r="X63" s="1">
        <v>215.8</v>
      </c>
      <c r="Y63" s="1">
        <v>216.4</v>
      </c>
      <c r="Z63" s="1">
        <v>262.8</v>
      </c>
      <c r="AA63" s="1">
        <v>204.4</v>
      </c>
      <c r="AB63" s="1">
        <v>184</v>
      </c>
      <c r="AC63" s="1">
        <v>194.2</v>
      </c>
      <c r="AD63" s="1">
        <v>226.4</v>
      </c>
      <c r="AE63" s="1" t="s">
        <v>156</v>
      </c>
      <c r="AF63" s="1">
        <f t="shared" si="14"/>
        <v>375</v>
      </c>
      <c r="AG63" s="7">
        <v>12</v>
      </c>
      <c r="AH63" s="9">
        <f t="shared" si="15"/>
        <v>126</v>
      </c>
      <c r="AI63" s="1">
        <f t="shared" si="16"/>
        <v>378</v>
      </c>
      <c r="AJ63" s="1">
        <v>14</v>
      </c>
      <c r="AK63" s="1">
        <v>70</v>
      </c>
      <c r="AL63" s="9">
        <f t="shared" si="17"/>
        <v>1.8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54</v>
      </c>
      <c r="B64" s="1" t="s">
        <v>42</v>
      </c>
      <c r="C64" s="1">
        <v>3191</v>
      </c>
      <c r="D64" s="1">
        <v>566</v>
      </c>
      <c r="E64" s="17">
        <f>1346+E10</f>
        <v>1379</v>
      </c>
      <c r="F64" s="17">
        <f>1854+F10</f>
        <v>2067</v>
      </c>
      <c r="G64" s="7">
        <v>0.25</v>
      </c>
      <c r="H64" s="1">
        <v>180</v>
      </c>
      <c r="I64" s="1" t="s">
        <v>157</v>
      </c>
      <c r="J64" s="1"/>
      <c r="K64" s="1">
        <v>1944</v>
      </c>
      <c r="L64" s="1">
        <f t="shared" si="18"/>
        <v>-565</v>
      </c>
      <c r="M64" s="1"/>
      <c r="N64" s="1"/>
      <c r="O64" s="1"/>
      <c r="P64" s="1">
        <f t="shared" si="19"/>
        <v>275.8</v>
      </c>
      <c r="Q64" s="5">
        <f t="shared" si="12"/>
        <v>1794.2000000000003</v>
      </c>
      <c r="R64" s="5">
        <f t="shared" si="13"/>
        <v>1848</v>
      </c>
      <c r="S64" s="1">
        <f t="shared" si="20"/>
        <v>14.195068890500362</v>
      </c>
      <c r="T64" s="1">
        <f t="shared" si="21"/>
        <v>7.4945612762871647</v>
      </c>
      <c r="U64" s="1">
        <v>183.8</v>
      </c>
      <c r="V64" s="1">
        <v>281.8</v>
      </c>
      <c r="W64" s="1">
        <v>287.39999999999998</v>
      </c>
      <c r="X64" s="1">
        <v>251.6</v>
      </c>
      <c r="Y64" s="1">
        <v>171</v>
      </c>
      <c r="Z64" s="1">
        <v>356.2</v>
      </c>
      <c r="AA64" s="1">
        <v>210.2</v>
      </c>
      <c r="AB64" s="1">
        <v>214.6</v>
      </c>
      <c r="AC64" s="1">
        <v>183</v>
      </c>
      <c r="AD64" s="1">
        <v>166.4</v>
      </c>
      <c r="AE64" s="1"/>
      <c r="AF64" s="1">
        <f t="shared" si="14"/>
        <v>448.55000000000007</v>
      </c>
      <c r="AG64" s="7">
        <v>12</v>
      </c>
      <c r="AH64" s="9">
        <f t="shared" si="15"/>
        <v>154</v>
      </c>
      <c r="AI64" s="1">
        <f t="shared" si="16"/>
        <v>462</v>
      </c>
      <c r="AJ64" s="1">
        <v>14</v>
      </c>
      <c r="AK64" s="1">
        <v>70</v>
      </c>
      <c r="AL64" s="9">
        <f t="shared" si="17"/>
        <v>2.2000000000000002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158</v>
      </c>
      <c r="B65" s="1" t="s">
        <v>42</v>
      </c>
      <c r="C65" s="1">
        <v>1259</v>
      </c>
      <c r="D65" s="1">
        <v>155</v>
      </c>
      <c r="E65" s="1">
        <v>451</v>
      </c>
      <c r="F65" s="1">
        <v>818</v>
      </c>
      <c r="G65" s="7">
        <v>0.2</v>
      </c>
      <c r="H65" s="1">
        <v>365</v>
      </c>
      <c r="I65" s="1" t="s">
        <v>159</v>
      </c>
      <c r="J65" s="1"/>
      <c r="K65" s="1">
        <v>635</v>
      </c>
      <c r="L65" s="1">
        <f t="shared" si="18"/>
        <v>-184</v>
      </c>
      <c r="M65" s="1"/>
      <c r="N65" s="1"/>
      <c r="O65" s="1"/>
      <c r="P65" s="1">
        <f t="shared" si="19"/>
        <v>90.2</v>
      </c>
      <c r="Q65" s="5">
        <f t="shared" si="12"/>
        <v>444.79999999999995</v>
      </c>
      <c r="R65" s="5">
        <f t="shared" si="13"/>
        <v>420</v>
      </c>
      <c r="S65" s="1">
        <f t="shared" si="20"/>
        <v>13.725055432372505</v>
      </c>
      <c r="T65" s="1">
        <f t="shared" si="21"/>
        <v>9.0687361419068733</v>
      </c>
      <c r="U65" s="1">
        <v>11.6</v>
      </c>
      <c r="V65" s="1">
        <v>86</v>
      </c>
      <c r="W65" s="1">
        <v>68</v>
      </c>
      <c r="X65" s="1">
        <v>85.8</v>
      </c>
      <c r="Y65" s="1">
        <v>79</v>
      </c>
      <c r="Z65" s="1">
        <v>60.2</v>
      </c>
      <c r="AA65" s="1">
        <v>69</v>
      </c>
      <c r="AB65" s="1">
        <v>48</v>
      </c>
      <c r="AC65" s="1">
        <v>50.2</v>
      </c>
      <c r="AD65" s="1">
        <v>44.2</v>
      </c>
      <c r="AE65" s="1"/>
      <c r="AF65" s="1">
        <f t="shared" si="14"/>
        <v>88.96</v>
      </c>
      <c r="AG65" s="7">
        <v>6</v>
      </c>
      <c r="AH65" s="9">
        <f t="shared" si="15"/>
        <v>70</v>
      </c>
      <c r="AI65" s="1">
        <f t="shared" si="16"/>
        <v>84</v>
      </c>
      <c r="AJ65" s="1">
        <v>14</v>
      </c>
      <c r="AK65" s="1">
        <v>140</v>
      </c>
      <c r="AL65" s="9">
        <f t="shared" si="17"/>
        <v>0.5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160</v>
      </c>
      <c r="B66" s="1" t="s">
        <v>42</v>
      </c>
      <c r="C66" s="1">
        <v>1497</v>
      </c>
      <c r="D66" s="1">
        <v>268</v>
      </c>
      <c r="E66" s="1">
        <v>672</v>
      </c>
      <c r="F66" s="1">
        <v>861</v>
      </c>
      <c r="G66" s="7">
        <v>0.23</v>
      </c>
      <c r="H66" s="1">
        <v>180</v>
      </c>
      <c r="I66" s="1" t="s">
        <v>161</v>
      </c>
      <c r="J66" s="1"/>
      <c r="K66" s="1">
        <v>924</v>
      </c>
      <c r="L66" s="1">
        <f t="shared" si="18"/>
        <v>-252</v>
      </c>
      <c r="M66" s="1"/>
      <c r="N66" s="1"/>
      <c r="O66" s="1"/>
      <c r="P66" s="1">
        <f t="shared" si="19"/>
        <v>134.4</v>
      </c>
      <c r="Q66" s="5">
        <f t="shared" si="12"/>
        <v>1020.6000000000001</v>
      </c>
      <c r="R66" s="5">
        <f t="shared" si="13"/>
        <v>1008</v>
      </c>
      <c r="S66" s="1">
        <f t="shared" si="20"/>
        <v>13.90625</v>
      </c>
      <c r="T66" s="1">
        <f t="shared" si="21"/>
        <v>6.40625</v>
      </c>
      <c r="U66" s="1">
        <v>32.6</v>
      </c>
      <c r="V66" s="1">
        <v>116.8</v>
      </c>
      <c r="W66" s="1">
        <v>112</v>
      </c>
      <c r="X66" s="1">
        <v>147.80000000000001</v>
      </c>
      <c r="Y66" s="1">
        <v>153.19999999999999</v>
      </c>
      <c r="Z66" s="1">
        <v>121.4</v>
      </c>
      <c r="AA66" s="1">
        <v>114</v>
      </c>
      <c r="AB66" s="1">
        <v>105.8</v>
      </c>
      <c r="AC66" s="1">
        <v>94</v>
      </c>
      <c r="AD66" s="1">
        <v>142.19999999999999</v>
      </c>
      <c r="AE66" s="1"/>
      <c r="AF66" s="1">
        <f t="shared" si="14"/>
        <v>234.73800000000003</v>
      </c>
      <c r="AG66" s="7">
        <v>6</v>
      </c>
      <c r="AH66" s="9">
        <f t="shared" si="15"/>
        <v>168</v>
      </c>
      <c r="AI66" s="1">
        <f t="shared" si="16"/>
        <v>231.84</v>
      </c>
      <c r="AJ66" s="1">
        <v>14</v>
      </c>
      <c r="AK66" s="1">
        <v>140</v>
      </c>
      <c r="AL66" s="9">
        <f t="shared" si="17"/>
        <v>1.2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162</v>
      </c>
      <c r="B67" s="1" t="s">
        <v>51</v>
      </c>
      <c r="C67" s="1">
        <v>94.5</v>
      </c>
      <c r="D67" s="1">
        <v>27</v>
      </c>
      <c r="E67" s="1">
        <v>43.2</v>
      </c>
      <c r="F67" s="1">
        <v>51.3</v>
      </c>
      <c r="G67" s="7">
        <v>1</v>
      </c>
      <c r="H67" s="1">
        <v>180</v>
      </c>
      <c r="I67" s="1" t="s">
        <v>163</v>
      </c>
      <c r="J67" s="1"/>
      <c r="K67" s="1">
        <v>75.5</v>
      </c>
      <c r="L67" s="1">
        <f t="shared" si="18"/>
        <v>-32.299999999999997</v>
      </c>
      <c r="M67" s="1"/>
      <c r="N67" s="1"/>
      <c r="O67" s="1"/>
      <c r="P67" s="1">
        <f t="shared" si="19"/>
        <v>8.64</v>
      </c>
      <c r="Q67" s="5">
        <f t="shared" si="12"/>
        <v>69.660000000000011</v>
      </c>
      <c r="R67" s="5">
        <f t="shared" si="13"/>
        <v>75.600000000000009</v>
      </c>
      <c r="S67" s="1">
        <f t="shared" si="20"/>
        <v>14.6875</v>
      </c>
      <c r="T67" s="1">
        <f t="shared" si="21"/>
        <v>5.9374999999999991</v>
      </c>
      <c r="U67" s="1">
        <v>2.16</v>
      </c>
      <c r="V67" s="1">
        <v>7.56</v>
      </c>
      <c r="W67" s="1">
        <v>7.56</v>
      </c>
      <c r="X67" s="1">
        <v>7.58</v>
      </c>
      <c r="Y67" s="1">
        <v>6.94</v>
      </c>
      <c r="Z67" s="1">
        <v>7.56</v>
      </c>
      <c r="AA67" s="1">
        <v>2.62</v>
      </c>
      <c r="AB67" s="1">
        <v>8.64</v>
      </c>
      <c r="AC67" s="1">
        <v>6.48</v>
      </c>
      <c r="AD67" s="1">
        <v>5.94</v>
      </c>
      <c r="AE67" s="1"/>
      <c r="AF67" s="1">
        <f t="shared" si="14"/>
        <v>69.660000000000011</v>
      </c>
      <c r="AG67" s="7">
        <v>2.7</v>
      </c>
      <c r="AH67" s="9">
        <f t="shared" si="15"/>
        <v>28</v>
      </c>
      <c r="AI67" s="1">
        <f t="shared" si="16"/>
        <v>75.600000000000009</v>
      </c>
      <c r="AJ67" s="1">
        <v>14</v>
      </c>
      <c r="AK67" s="1">
        <v>126</v>
      </c>
      <c r="AL67" s="9">
        <f t="shared" si="17"/>
        <v>0.22222222222222221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164</v>
      </c>
      <c r="B68" s="1" t="s">
        <v>51</v>
      </c>
      <c r="C68" s="1">
        <v>1142.5</v>
      </c>
      <c r="D68" s="1">
        <v>25</v>
      </c>
      <c r="E68" s="17">
        <f>360+E69</f>
        <v>435</v>
      </c>
      <c r="F68" s="17">
        <f>782.5+F69</f>
        <v>685</v>
      </c>
      <c r="G68" s="7">
        <v>1</v>
      </c>
      <c r="H68" s="1">
        <v>180</v>
      </c>
      <c r="I68" s="1" t="s">
        <v>165</v>
      </c>
      <c r="J68" s="1"/>
      <c r="K68" s="1">
        <v>470</v>
      </c>
      <c r="L68" s="1">
        <f t="shared" si="18"/>
        <v>-35</v>
      </c>
      <c r="M68" s="1"/>
      <c r="N68" s="1"/>
      <c r="O68" s="1"/>
      <c r="P68" s="1">
        <f t="shared" si="19"/>
        <v>87</v>
      </c>
      <c r="Q68" s="5">
        <f t="shared" si="12"/>
        <v>533</v>
      </c>
      <c r="R68" s="5">
        <f t="shared" si="13"/>
        <v>540</v>
      </c>
      <c r="S68" s="1">
        <f t="shared" si="20"/>
        <v>14.080459770114942</v>
      </c>
      <c r="T68" s="1">
        <f t="shared" si="21"/>
        <v>7.8735632183908049</v>
      </c>
      <c r="U68" s="1">
        <v>20</v>
      </c>
      <c r="V68" s="1">
        <v>87</v>
      </c>
      <c r="W68" s="1">
        <v>60</v>
      </c>
      <c r="X68" s="1">
        <v>72</v>
      </c>
      <c r="Y68" s="1">
        <v>78.539999999999992</v>
      </c>
      <c r="Z68" s="1">
        <v>52.54</v>
      </c>
      <c r="AA68" s="1">
        <v>82</v>
      </c>
      <c r="AB68" s="1">
        <v>17</v>
      </c>
      <c r="AC68" s="1">
        <v>59</v>
      </c>
      <c r="AD68" s="1">
        <v>55</v>
      </c>
      <c r="AE68" s="1"/>
      <c r="AF68" s="1">
        <f t="shared" si="14"/>
        <v>533</v>
      </c>
      <c r="AG68" s="7">
        <v>5</v>
      </c>
      <c r="AH68" s="9">
        <f t="shared" si="15"/>
        <v>108</v>
      </c>
      <c r="AI68" s="1">
        <f t="shared" si="16"/>
        <v>540</v>
      </c>
      <c r="AJ68" s="1">
        <v>12</v>
      </c>
      <c r="AK68" s="1">
        <v>84</v>
      </c>
      <c r="AL68" s="9">
        <f t="shared" si="17"/>
        <v>1.2857142857142858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3" t="s">
        <v>166</v>
      </c>
      <c r="B69" s="13" t="s">
        <v>51</v>
      </c>
      <c r="C69" s="13">
        <v>-22.5</v>
      </c>
      <c r="D69" s="13">
        <v>20</v>
      </c>
      <c r="E69" s="17">
        <v>75</v>
      </c>
      <c r="F69" s="17">
        <v>-97.5</v>
      </c>
      <c r="G69" s="14">
        <v>0</v>
      </c>
      <c r="H69" s="13"/>
      <c r="I69" s="13" t="s">
        <v>43</v>
      </c>
      <c r="J69" s="13" t="s">
        <v>164</v>
      </c>
      <c r="K69" s="13">
        <v>90</v>
      </c>
      <c r="L69" s="13">
        <f t="shared" si="18"/>
        <v>-15</v>
      </c>
      <c r="M69" s="13"/>
      <c r="N69" s="13"/>
      <c r="O69" s="13"/>
      <c r="P69" s="13">
        <f t="shared" si="19"/>
        <v>15</v>
      </c>
      <c r="Q69" s="15"/>
      <c r="R69" s="15"/>
      <c r="S69" s="13">
        <f t="shared" si="20"/>
        <v>-6.5</v>
      </c>
      <c r="T69" s="13">
        <f t="shared" si="21"/>
        <v>-6.5</v>
      </c>
      <c r="U69" s="13">
        <v>7</v>
      </c>
      <c r="V69" s="13">
        <v>13</v>
      </c>
      <c r="W69" s="13">
        <v>3</v>
      </c>
      <c r="X69" s="13">
        <v>27</v>
      </c>
      <c r="Y69" s="13">
        <v>32.54</v>
      </c>
      <c r="Z69" s="13">
        <v>35</v>
      </c>
      <c r="AA69" s="13">
        <v>34</v>
      </c>
      <c r="AB69" s="13">
        <v>45</v>
      </c>
      <c r="AC69" s="13">
        <v>6</v>
      </c>
      <c r="AD69" s="13">
        <v>0</v>
      </c>
      <c r="AE69" s="13"/>
      <c r="AF69" s="13"/>
      <c r="AG69" s="14"/>
      <c r="AH69" s="16"/>
      <c r="AI69" s="13"/>
      <c r="AJ69" s="13"/>
      <c r="AK69" s="13"/>
      <c r="AL69" s="16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9"/>
      <c r="AI70" s="1"/>
      <c r="AJ70" s="1"/>
      <c r="AK70" s="1"/>
      <c r="AL70" s="9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L69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2026-07-30T10:43:01Z</dcterms:created>
  <dcterms:modified xsi:type="dcterms:W3CDTF">2026-07-30T11:06:21Z</dcterms:modified>
</cp:coreProperties>
</file>