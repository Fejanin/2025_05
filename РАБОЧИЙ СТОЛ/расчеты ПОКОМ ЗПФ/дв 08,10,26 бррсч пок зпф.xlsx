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B6CEFA58-9EF6-4D3D-B15B-0BB5B59DD31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Sheet!$A$3:$AM$81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1" i="1" l="1"/>
  <c r="AI80" i="1" l="1"/>
  <c r="AJ80" i="1" s="1"/>
  <c r="AI81" i="1"/>
  <c r="AM81" i="1" s="1"/>
  <c r="AG80" i="1"/>
  <c r="AG81" i="1"/>
  <c r="S81" i="1" l="1"/>
  <c r="AJ81" i="1"/>
  <c r="AM80" i="1"/>
  <c r="S80" i="1"/>
  <c r="P81" i="1" l="1"/>
  <c r="U81" i="1" s="1"/>
  <c r="P80" i="1"/>
  <c r="U80" i="1" s="1"/>
  <c r="T80" i="1" l="1"/>
  <c r="T81" i="1"/>
  <c r="AG78" i="1"/>
  <c r="AG70" i="1"/>
  <c r="AI63" i="1"/>
  <c r="AJ63" i="1" s="1"/>
  <c r="AI56" i="1"/>
  <c r="AI46" i="1"/>
  <c r="P79" i="1"/>
  <c r="R79" i="1" s="1"/>
  <c r="L79" i="1"/>
  <c r="P78" i="1"/>
  <c r="U78" i="1" s="1"/>
  <c r="L78" i="1"/>
  <c r="P77" i="1"/>
  <c r="L77" i="1"/>
  <c r="P76" i="1"/>
  <c r="L76" i="1"/>
  <c r="P75" i="1"/>
  <c r="L75" i="1"/>
  <c r="P74" i="1"/>
  <c r="U74" i="1" s="1"/>
  <c r="L74" i="1"/>
  <c r="P73" i="1"/>
  <c r="L73" i="1"/>
  <c r="P72" i="1"/>
  <c r="L72" i="1"/>
  <c r="P71" i="1"/>
  <c r="R71" i="1" s="1"/>
  <c r="L71" i="1"/>
  <c r="AI70" i="1"/>
  <c r="AJ70" i="1" s="1"/>
  <c r="P70" i="1"/>
  <c r="U70" i="1" s="1"/>
  <c r="L70" i="1"/>
  <c r="P69" i="1"/>
  <c r="L69" i="1"/>
  <c r="P68" i="1"/>
  <c r="L68" i="1"/>
  <c r="P67" i="1"/>
  <c r="T67" i="1" s="1"/>
  <c r="L67" i="1"/>
  <c r="P66" i="1"/>
  <c r="T66" i="1" s="1"/>
  <c r="L66" i="1"/>
  <c r="F65" i="1"/>
  <c r="E65" i="1"/>
  <c r="P65" i="1" s="1"/>
  <c r="F64" i="1"/>
  <c r="E64" i="1"/>
  <c r="L64" i="1" s="1"/>
  <c r="P63" i="1"/>
  <c r="U63" i="1" s="1"/>
  <c r="L63" i="1"/>
  <c r="P62" i="1"/>
  <c r="L62" i="1"/>
  <c r="P61" i="1"/>
  <c r="U61" i="1" s="1"/>
  <c r="L61" i="1"/>
  <c r="P60" i="1"/>
  <c r="U60" i="1" s="1"/>
  <c r="L60" i="1"/>
  <c r="P59" i="1"/>
  <c r="L59" i="1"/>
  <c r="F59" i="1"/>
  <c r="U59" i="1" s="1"/>
  <c r="P58" i="1"/>
  <c r="L58" i="1"/>
  <c r="P57" i="1"/>
  <c r="L57" i="1"/>
  <c r="P56" i="1"/>
  <c r="U56" i="1" s="1"/>
  <c r="L56" i="1"/>
  <c r="P55" i="1"/>
  <c r="U55" i="1" s="1"/>
  <c r="L55" i="1"/>
  <c r="P54" i="1"/>
  <c r="L54" i="1"/>
  <c r="P53" i="1"/>
  <c r="L53" i="1"/>
  <c r="P52" i="1"/>
  <c r="L52" i="1"/>
  <c r="P51" i="1"/>
  <c r="R51" i="1" s="1"/>
  <c r="L51" i="1"/>
  <c r="P50" i="1"/>
  <c r="L50" i="1"/>
  <c r="P49" i="1"/>
  <c r="L49" i="1"/>
  <c r="P48" i="1"/>
  <c r="L48" i="1"/>
  <c r="P47" i="1"/>
  <c r="L47" i="1"/>
  <c r="AG46" i="1"/>
  <c r="P46" i="1"/>
  <c r="U46" i="1" s="1"/>
  <c r="L46" i="1"/>
  <c r="P45" i="1"/>
  <c r="U45" i="1" s="1"/>
  <c r="L45" i="1"/>
  <c r="P44" i="1"/>
  <c r="L44" i="1"/>
  <c r="P43" i="1"/>
  <c r="U43" i="1" s="1"/>
  <c r="L43" i="1"/>
  <c r="P42" i="1"/>
  <c r="U42" i="1" s="1"/>
  <c r="L42" i="1"/>
  <c r="P41" i="1"/>
  <c r="L41" i="1"/>
  <c r="F40" i="1"/>
  <c r="E40" i="1"/>
  <c r="L40" i="1" s="1"/>
  <c r="P39" i="1"/>
  <c r="L39" i="1"/>
  <c r="P38" i="1"/>
  <c r="L38" i="1"/>
  <c r="P37" i="1"/>
  <c r="L37" i="1"/>
  <c r="P36" i="1"/>
  <c r="U36" i="1" s="1"/>
  <c r="L36" i="1"/>
  <c r="F35" i="1"/>
  <c r="E35" i="1"/>
  <c r="L35" i="1" s="1"/>
  <c r="P34" i="1"/>
  <c r="T34" i="1" s="1"/>
  <c r="L34" i="1"/>
  <c r="P33" i="1"/>
  <c r="L33" i="1"/>
  <c r="F32" i="1"/>
  <c r="E32" i="1"/>
  <c r="L32" i="1" s="1"/>
  <c r="P31" i="1"/>
  <c r="L31" i="1"/>
  <c r="P30" i="1"/>
  <c r="L30" i="1"/>
  <c r="F29" i="1"/>
  <c r="E29" i="1"/>
  <c r="P29" i="1" s="1"/>
  <c r="P28" i="1"/>
  <c r="AG28" i="1" s="1"/>
  <c r="L28" i="1"/>
  <c r="F28" i="1"/>
  <c r="U28" i="1" s="1"/>
  <c r="P27" i="1"/>
  <c r="U27" i="1" s="1"/>
  <c r="L27" i="1"/>
  <c r="P26" i="1"/>
  <c r="L26" i="1"/>
  <c r="P25" i="1"/>
  <c r="U25" i="1" s="1"/>
  <c r="L25" i="1"/>
  <c r="F24" i="1"/>
  <c r="E24" i="1"/>
  <c r="P24" i="1" s="1"/>
  <c r="F23" i="1"/>
  <c r="E23" i="1"/>
  <c r="L23" i="1" s="1"/>
  <c r="P22" i="1"/>
  <c r="T22" i="1" s="1"/>
  <c r="L22" i="1"/>
  <c r="P21" i="1"/>
  <c r="T21" i="1" s="1"/>
  <c r="L21" i="1"/>
  <c r="P20" i="1"/>
  <c r="R20" i="1" s="1"/>
  <c r="L20" i="1"/>
  <c r="F19" i="1"/>
  <c r="E19" i="1"/>
  <c r="L19" i="1" s="1"/>
  <c r="P18" i="1"/>
  <c r="T18" i="1" s="1"/>
  <c r="L18" i="1"/>
  <c r="P17" i="1"/>
  <c r="R17" i="1" s="1"/>
  <c r="L17" i="1"/>
  <c r="P16" i="1"/>
  <c r="L16" i="1"/>
  <c r="F16" i="1"/>
  <c r="U16" i="1" s="1"/>
  <c r="P15" i="1"/>
  <c r="U15" i="1" s="1"/>
  <c r="L15" i="1"/>
  <c r="P14" i="1"/>
  <c r="U14" i="1" s="1"/>
  <c r="L14" i="1"/>
  <c r="P13" i="1"/>
  <c r="L13" i="1"/>
  <c r="P12" i="1"/>
  <c r="U12" i="1" s="1"/>
  <c r="L12" i="1"/>
  <c r="P11" i="1"/>
  <c r="U11" i="1" s="1"/>
  <c r="L11" i="1"/>
  <c r="P10" i="1"/>
  <c r="L10" i="1"/>
  <c r="F10" i="1"/>
  <c r="U10" i="1" s="1"/>
  <c r="P9" i="1"/>
  <c r="L9" i="1"/>
  <c r="P8" i="1"/>
  <c r="U8" i="1" s="1"/>
  <c r="L8" i="1"/>
  <c r="P7" i="1"/>
  <c r="T7" i="1" s="1"/>
  <c r="L7" i="1"/>
  <c r="P6" i="1"/>
  <c r="T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U31" i="1" l="1"/>
  <c r="R31" i="1"/>
  <c r="AI31" i="1" s="1"/>
  <c r="U33" i="1"/>
  <c r="R33" i="1"/>
  <c r="U37" i="1"/>
  <c r="R37" i="1"/>
  <c r="U38" i="1"/>
  <c r="R38" i="1"/>
  <c r="U44" i="1"/>
  <c r="R44" i="1"/>
  <c r="AG44" i="1" s="1"/>
  <c r="U69" i="1"/>
  <c r="R69" i="1"/>
  <c r="R16" i="1"/>
  <c r="AG16" i="1" s="1"/>
  <c r="U48" i="1"/>
  <c r="R48" i="1"/>
  <c r="U49" i="1"/>
  <c r="R49" i="1"/>
  <c r="U50" i="1"/>
  <c r="U52" i="1"/>
  <c r="R52" i="1"/>
  <c r="U54" i="1"/>
  <c r="R54" i="1"/>
  <c r="U58" i="1"/>
  <c r="R58" i="1"/>
  <c r="AI58" i="1" s="1"/>
  <c r="AJ58" i="1" s="1"/>
  <c r="R65" i="1"/>
  <c r="AI65" i="1" s="1"/>
  <c r="U72" i="1"/>
  <c r="R72" i="1"/>
  <c r="U73" i="1"/>
  <c r="R73" i="1"/>
  <c r="U75" i="1"/>
  <c r="R75" i="1"/>
  <c r="U76" i="1"/>
  <c r="R76" i="1"/>
  <c r="U77" i="1"/>
  <c r="R77" i="1"/>
  <c r="T11" i="1"/>
  <c r="AI72" i="1"/>
  <c r="AM72" i="1" s="1"/>
  <c r="T15" i="1"/>
  <c r="T60" i="1"/>
  <c r="U9" i="1"/>
  <c r="T9" i="1"/>
  <c r="AG29" i="1"/>
  <c r="AI29" i="1"/>
  <c r="U13" i="1"/>
  <c r="T13" i="1"/>
  <c r="U20" i="1"/>
  <c r="AI28" i="1"/>
  <c r="U39" i="1"/>
  <c r="U41" i="1"/>
  <c r="U62" i="1"/>
  <c r="T62" i="1"/>
  <c r="U71" i="1"/>
  <c r="U17" i="1"/>
  <c r="U26" i="1"/>
  <c r="U30" i="1"/>
  <c r="U47" i="1"/>
  <c r="U51" i="1"/>
  <c r="U53" i="1"/>
  <c r="AG56" i="1"/>
  <c r="U57" i="1"/>
  <c r="AG63" i="1"/>
  <c r="T68" i="1"/>
  <c r="U68" i="1"/>
  <c r="AI78" i="1"/>
  <c r="AJ78" i="1" s="1"/>
  <c r="U79" i="1"/>
  <c r="AG42" i="1"/>
  <c r="AI42" i="1"/>
  <c r="AJ42" i="1" s="1"/>
  <c r="U29" i="1"/>
  <c r="AM46" i="1"/>
  <c r="S46" i="1"/>
  <c r="T46" i="1" s="1"/>
  <c r="AJ46" i="1"/>
  <c r="AM56" i="1"/>
  <c r="S56" i="1"/>
  <c r="T56" i="1" s="1"/>
  <c r="P19" i="1"/>
  <c r="R19" i="1" s="1"/>
  <c r="P35" i="1"/>
  <c r="R35" i="1" s="1"/>
  <c r="P64" i="1"/>
  <c r="F5" i="1"/>
  <c r="T12" i="1"/>
  <c r="T14" i="1"/>
  <c r="P23" i="1"/>
  <c r="R23" i="1" s="1"/>
  <c r="P32" i="1"/>
  <c r="R32" i="1" s="1"/>
  <c r="P40" i="1"/>
  <c r="U40" i="1" s="1"/>
  <c r="AJ56" i="1"/>
  <c r="T61" i="1"/>
  <c r="U65" i="1"/>
  <c r="U66" i="1"/>
  <c r="S70" i="1"/>
  <c r="T70" i="1" s="1"/>
  <c r="AM70" i="1"/>
  <c r="U24" i="1"/>
  <c r="U6" i="1"/>
  <c r="U7" i="1"/>
  <c r="U18" i="1"/>
  <c r="U21" i="1"/>
  <c r="U22" i="1"/>
  <c r="L24" i="1"/>
  <c r="L29" i="1"/>
  <c r="U34" i="1"/>
  <c r="L65" i="1"/>
  <c r="E5" i="1"/>
  <c r="S63" i="1"/>
  <c r="T63" i="1" s="1"/>
  <c r="AM63" i="1"/>
  <c r="U67" i="1"/>
  <c r="AI16" i="1" l="1"/>
  <c r="AJ16" i="1" s="1"/>
  <c r="AG58" i="1"/>
  <c r="U35" i="1"/>
  <c r="AM78" i="1"/>
  <c r="AG72" i="1"/>
  <c r="AG31" i="1"/>
  <c r="AG65" i="1"/>
  <c r="AJ65" i="1"/>
  <c r="S65" i="1"/>
  <c r="T65" i="1" s="1"/>
  <c r="AJ31" i="1"/>
  <c r="S31" i="1"/>
  <c r="T31" i="1" s="1"/>
  <c r="AI44" i="1"/>
  <c r="AJ44" i="1" s="1"/>
  <c r="AI38" i="1"/>
  <c r="AG38" i="1"/>
  <c r="S78" i="1"/>
  <c r="T78" i="1" s="1"/>
  <c r="U23" i="1"/>
  <c r="U19" i="1"/>
  <c r="AG75" i="1"/>
  <c r="AI75" i="1"/>
  <c r="AG69" i="1"/>
  <c r="AI69" i="1"/>
  <c r="AG49" i="1"/>
  <c r="AI49" i="1"/>
  <c r="AI43" i="1"/>
  <c r="AG43" i="1"/>
  <c r="AJ72" i="1"/>
  <c r="S72" i="1"/>
  <c r="T72" i="1" s="1"/>
  <c r="AM58" i="1"/>
  <c r="S58" i="1"/>
  <c r="T58" i="1" s="1"/>
  <c r="AI54" i="1"/>
  <c r="AG54" i="1"/>
  <c r="AM42" i="1"/>
  <c r="S42" i="1"/>
  <c r="T42" i="1" s="1"/>
  <c r="AG33" i="1"/>
  <c r="AI33" i="1"/>
  <c r="AG8" i="1"/>
  <c r="AI8" i="1"/>
  <c r="AI53" i="1"/>
  <c r="AG53" i="1"/>
  <c r="AG51" i="1"/>
  <c r="AI51" i="1"/>
  <c r="AG47" i="1"/>
  <c r="AI47" i="1"/>
  <c r="AI30" i="1"/>
  <c r="AG30" i="1"/>
  <c r="AG26" i="1"/>
  <c r="AI26" i="1"/>
  <c r="AG24" i="1"/>
  <c r="AI24" i="1"/>
  <c r="AI74" i="1"/>
  <c r="AG74" i="1"/>
  <c r="AI48" i="1"/>
  <c r="AG48" i="1"/>
  <c r="AG27" i="1"/>
  <c r="AI27" i="1"/>
  <c r="AI41" i="1"/>
  <c r="AG41" i="1"/>
  <c r="AM28" i="1"/>
  <c r="S28" i="1"/>
  <c r="T28" i="1" s="1"/>
  <c r="AJ29" i="1"/>
  <c r="S29" i="1"/>
  <c r="T29" i="1" s="1"/>
  <c r="AM65" i="1"/>
  <c r="AM31" i="1"/>
  <c r="AM29" i="1"/>
  <c r="AJ28" i="1"/>
  <c r="AI35" i="1"/>
  <c r="AG35" i="1"/>
  <c r="AG77" i="1"/>
  <c r="AI77" i="1"/>
  <c r="AG73" i="1"/>
  <c r="AI73" i="1"/>
  <c r="AI55" i="1"/>
  <c r="AG55" i="1"/>
  <c r="AG45" i="1"/>
  <c r="AI45" i="1"/>
  <c r="AI37" i="1"/>
  <c r="AG37" i="1"/>
  <c r="AI76" i="1"/>
  <c r="AG76" i="1"/>
  <c r="AG50" i="1"/>
  <c r="AI50" i="1"/>
  <c r="AG25" i="1"/>
  <c r="AI25" i="1"/>
  <c r="AI79" i="1"/>
  <c r="AG79" i="1"/>
  <c r="AI57" i="1"/>
  <c r="AG57" i="1"/>
  <c r="AG17" i="1"/>
  <c r="AI17" i="1"/>
  <c r="AG52" i="1"/>
  <c r="AI52" i="1"/>
  <c r="AI36" i="1"/>
  <c r="AG36" i="1"/>
  <c r="AI71" i="1"/>
  <c r="AG71" i="1"/>
  <c r="AI59" i="1"/>
  <c r="AG59" i="1"/>
  <c r="AI39" i="1"/>
  <c r="AG39" i="1"/>
  <c r="AG20" i="1"/>
  <c r="AI20" i="1"/>
  <c r="AI10" i="1"/>
  <c r="AG10" i="1"/>
  <c r="U32" i="1"/>
  <c r="U64" i="1"/>
  <c r="L5" i="1"/>
  <c r="P5" i="1"/>
  <c r="S16" i="1" l="1"/>
  <c r="T16" i="1" s="1"/>
  <c r="S44" i="1"/>
  <c r="T44" i="1" s="1"/>
  <c r="AM16" i="1"/>
  <c r="AM44" i="1"/>
  <c r="S38" i="1"/>
  <c r="T38" i="1" s="1"/>
  <c r="AJ38" i="1"/>
  <c r="AM38" i="1"/>
  <c r="AJ20" i="1"/>
  <c r="S20" i="1"/>
  <c r="T20" i="1" s="1"/>
  <c r="AM20" i="1"/>
  <c r="AM52" i="1"/>
  <c r="S52" i="1"/>
  <c r="T52" i="1" s="1"/>
  <c r="AJ52" i="1"/>
  <c r="AJ17" i="1"/>
  <c r="S17" i="1"/>
  <c r="T17" i="1" s="1"/>
  <c r="AM17" i="1"/>
  <c r="AM25" i="1"/>
  <c r="S25" i="1"/>
  <c r="T25" i="1" s="1"/>
  <c r="AJ25" i="1"/>
  <c r="AM50" i="1"/>
  <c r="S50" i="1"/>
  <c r="T50" i="1" s="1"/>
  <c r="AJ50" i="1"/>
  <c r="AJ45" i="1"/>
  <c r="AM45" i="1"/>
  <c r="S45" i="1"/>
  <c r="T45" i="1" s="1"/>
  <c r="AM73" i="1"/>
  <c r="S73" i="1"/>
  <c r="T73" i="1" s="1"/>
  <c r="AJ73" i="1"/>
  <c r="AM77" i="1"/>
  <c r="AJ77" i="1"/>
  <c r="S77" i="1"/>
  <c r="T77" i="1" s="1"/>
  <c r="AM27" i="1"/>
  <c r="S27" i="1"/>
  <c r="T27" i="1" s="1"/>
  <c r="AJ27" i="1"/>
  <c r="AJ24" i="1"/>
  <c r="S24" i="1"/>
  <c r="T24" i="1" s="1"/>
  <c r="AM24" i="1"/>
  <c r="AJ26" i="1"/>
  <c r="AM26" i="1"/>
  <c r="S26" i="1"/>
  <c r="T26" i="1" s="1"/>
  <c r="AJ47" i="1"/>
  <c r="AM47" i="1"/>
  <c r="S47" i="1"/>
  <c r="T47" i="1" s="1"/>
  <c r="AJ51" i="1"/>
  <c r="S51" i="1"/>
  <c r="T51" i="1" s="1"/>
  <c r="AM51" i="1"/>
  <c r="AM8" i="1"/>
  <c r="S8" i="1"/>
  <c r="AJ8" i="1"/>
  <c r="AJ33" i="1"/>
  <c r="S33" i="1"/>
  <c r="T33" i="1" s="1"/>
  <c r="AM33" i="1"/>
  <c r="AJ49" i="1"/>
  <c r="S49" i="1"/>
  <c r="T49" i="1" s="1"/>
  <c r="AM49" i="1"/>
  <c r="AM69" i="1"/>
  <c r="AJ69" i="1"/>
  <c r="S69" i="1"/>
  <c r="T69" i="1" s="1"/>
  <c r="AM75" i="1"/>
  <c r="S75" i="1"/>
  <c r="T75" i="1" s="1"/>
  <c r="AJ75" i="1"/>
  <c r="AG19" i="1"/>
  <c r="AI19" i="1"/>
  <c r="R5" i="1"/>
  <c r="AI64" i="1"/>
  <c r="AG64" i="1"/>
  <c r="AG23" i="1"/>
  <c r="AI23" i="1"/>
  <c r="AM10" i="1"/>
  <c r="S10" i="1"/>
  <c r="T10" i="1" s="1"/>
  <c r="AJ10" i="1"/>
  <c r="AJ39" i="1"/>
  <c r="S39" i="1"/>
  <c r="T39" i="1" s="1"/>
  <c r="AM39" i="1"/>
  <c r="AM59" i="1"/>
  <c r="S59" i="1"/>
  <c r="T59" i="1" s="1"/>
  <c r="AJ59" i="1"/>
  <c r="AM71" i="1"/>
  <c r="S71" i="1"/>
  <c r="T71" i="1" s="1"/>
  <c r="AJ71" i="1"/>
  <c r="S36" i="1"/>
  <c r="T36" i="1" s="1"/>
  <c r="AM36" i="1"/>
  <c r="AJ36" i="1"/>
  <c r="AJ57" i="1"/>
  <c r="S57" i="1"/>
  <c r="T57" i="1" s="1"/>
  <c r="AM57" i="1"/>
  <c r="AM79" i="1"/>
  <c r="S79" i="1"/>
  <c r="T79" i="1" s="1"/>
  <c r="AJ79" i="1"/>
  <c r="AJ76" i="1"/>
  <c r="AM76" i="1"/>
  <c r="S76" i="1"/>
  <c r="T76" i="1" s="1"/>
  <c r="AJ37" i="1"/>
  <c r="AM37" i="1"/>
  <c r="S37" i="1"/>
  <c r="T37" i="1" s="1"/>
  <c r="AJ55" i="1"/>
  <c r="AM55" i="1"/>
  <c r="S55" i="1"/>
  <c r="T55" i="1" s="1"/>
  <c r="AM35" i="1"/>
  <c r="S35" i="1"/>
  <c r="T35" i="1" s="1"/>
  <c r="AJ35" i="1"/>
  <c r="AG32" i="1"/>
  <c r="AI32" i="1"/>
  <c r="AI40" i="1"/>
  <c r="AG40" i="1"/>
  <c r="AJ41" i="1"/>
  <c r="S41" i="1"/>
  <c r="T41" i="1" s="1"/>
  <c r="AM41" i="1"/>
  <c r="S48" i="1"/>
  <c r="T48" i="1" s="1"/>
  <c r="AM48" i="1"/>
  <c r="AJ48" i="1"/>
  <c r="AJ74" i="1"/>
  <c r="AM74" i="1"/>
  <c r="S74" i="1"/>
  <c r="T74" i="1" s="1"/>
  <c r="AM30" i="1"/>
  <c r="S30" i="1"/>
  <c r="T30" i="1" s="1"/>
  <c r="AJ30" i="1"/>
  <c r="AJ53" i="1"/>
  <c r="S53" i="1"/>
  <c r="T53" i="1" s="1"/>
  <c r="AM53" i="1"/>
  <c r="S54" i="1"/>
  <c r="T54" i="1" s="1"/>
  <c r="AM54" i="1"/>
  <c r="AJ54" i="1"/>
  <c r="AJ43" i="1"/>
  <c r="S43" i="1"/>
  <c r="T43" i="1" s="1"/>
  <c r="AM43" i="1"/>
  <c r="AI5" i="1" l="1"/>
  <c r="AG5" i="1"/>
  <c r="AM40" i="1"/>
  <c r="S40" i="1"/>
  <c r="T40" i="1" s="1"/>
  <c r="AJ40" i="1"/>
  <c r="AM23" i="1"/>
  <c r="S23" i="1"/>
  <c r="T23" i="1" s="1"/>
  <c r="AJ23" i="1"/>
  <c r="AM32" i="1"/>
  <c r="S32" i="1"/>
  <c r="T32" i="1" s="1"/>
  <c r="AJ32" i="1"/>
  <c r="AM64" i="1"/>
  <c r="S64" i="1"/>
  <c r="T64" i="1" s="1"/>
  <c r="AJ64" i="1"/>
  <c r="AM19" i="1"/>
  <c r="S19" i="1"/>
  <c r="T19" i="1" s="1"/>
  <c r="AJ19" i="1"/>
  <c r="T8" i="1"/>
  <c r="S5" i="1" l="1"/>
  <c r="AJ5" i="1"/>
  <c r="AM5" i="1"/>
</calcChain>
</file>

<file path=xl/sharedStrings.xml><?xml version="1.0" encoding="utf-8"?>
<sst xmlns="http://schemas.openxmlformats.org/spreadsheetml/2006/main" count="318" uniqueCount="192">
  <si>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</si>
  <si>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</si>
  <si>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</si>
  <si>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</si>
  <si>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</si>
  <si>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</si>
  <si>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</si>
  <si>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</si>
  <si>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</si>
  <si>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</si>
  <si>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</si>
  <si>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</si>
  <si>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</si>
  <si>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</si>
  <si>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</si>
  <si>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</si>
  <si>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</si>
  <si>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</si>
  <si>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</si>
  <si>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</si>
  <si>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</si>
  <si>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</si>
  <si>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</si>
  <si>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</si>
  <si>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</si>
  <si>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</si>
  <si>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</si>
  <si>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</si>
  <si>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</si>
  <si>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</si>
  <si>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08,10,</t>
  </si>
  <si>
    <t>01,10,</t>
  </si>
  <si>
    <t>29,09,</t>
  </si>
  <si>
    <t>24,09,</t>
  </si>
  <si>
    <t>17,09,</t>
  </si>
  <si>
    <t>10,09,</t>
  </si>
  <si>
    <t>03,09,</t>
  </si>
  <si>
    <t>31,08,</t>
  </si>
  <si>
    <t>27,08,</t>
  </si>
  <si>
    <t>20,08,</t>
  </si>
  <si>
    <t>16,08,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</si>
  <si>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</si>
  <si>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</si>
  <si>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</si>
  <si>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</si>
  <si>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</si>
  <si>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</si>
  <si>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</si>
  <si>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</si>
  <si>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НД1 ТМ Горячая штучка 0,3кг зам  ПОКОМ</t>
  </si>
  <si>
    <t>дубль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</si>
  <si>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</si>
  <si>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</si>
  <si>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</si>
  <si>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</si>
  <si>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</si>
  <si>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</si>
  <si>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</si>
  <si>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</si>
  <si>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</si>
  <si>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</si>
  <si>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 тара НД2.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</si>
  <si>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</si>
  <si>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</si>
  <si>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</si>
  <si>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</si>
  <si>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</si>
  <si>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</si>
  <si>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</si>
  <si>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</si>
  <si>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</si>
  <si>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</si>
  <si>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</si>
  <si>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</si>
  <si>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</si>
  <si>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</si>
  <si>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</si>
  <si>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</si>
  <si>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нужно увеличить продажи!!!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</si>
  <si>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</si>
  <si>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</si>
  <si>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</si>
  <si>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</si>
  <si>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</si>
  <si>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нужно увеличить продажи</t>
  </si>
  <si>
    <t>Круггетсы с сырным соусом ТМ Горячая штучка ТС Круггетсы флоу-пак 0,2 кг  ПОКОМ</t>
  </si>
  <si>
    <t>P004956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</si>
  <si>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</si>
  <si>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</si>
  <si>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</si>
  <si>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</si>
  <si>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</si>
  <si>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</si>
  <si>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</si>
  <si>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</si>
  <si>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</si>
  <si>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</si>
  <si>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</si>
  <si>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</si>
  <si>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</si>
  <si>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</si>
  <si>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</si>
  <si>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</si>
  <si>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</si>
  <si>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</si>
  <si>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</si>
  <si>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</si>
  <si>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</si>
  <si>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</si>
  <si>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</si>
  <si>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</si>
  <si>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</si>
  <si>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</si>
  <si>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</si>
  <si>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</si>
  <si>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</si>
  <si>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</si>
  <si>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</si>
  <si>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</si>
  <si>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</si>
  <si>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</si>
  <si>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</si>
  <si>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</si>
  <si>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</si>
  <si>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</si>
  <si>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</si>
  <si>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списано 1144шт (07,09,26 - корректировка)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</si>
  <si>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</si>
  <si>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</si>
  <si>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</si>
  <si>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</si>
  <si>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</si>
  <si>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</si>
  <si>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</si>
  <si>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</si>
  <si>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</si>
  <si>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</si>
  <si>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</si>
  <si>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</si>
  <si>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</si>
  <si>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</si>
  <si>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</si>
  <si>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</si>
  <si>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</si>
  <si>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</si>
  <si>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</si>
  <si>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</si>
  <si>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</si>
  <si>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</si>
  <si>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</si>
  <si>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нет потребности</t>
  </si>
  <si>
    <t>Снеки «Готовые круггетсы с сырным соусом» Фикс.вес 0,2 ТМ «Горячая штучка»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</si>
  <si>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</si>
  <si>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</si>
  <si>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</si>
  <si>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</si>
  <si>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</si>
  <si>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</si>
  <si>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</si>
  <si>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</si>
  <si>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</si>
  <si>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</si>
  <si>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</si>
  <si>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</si>
  <si>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</si>
  <si>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</si>
  <si>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</si>
  <si>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</si>
  <si>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Чебупели со вкусом Фо бо ТМ Горячая штучка 0,22 кг  ПОКОМ</t>
  </si>
  <si>
    <t>матрица</t>
  </si>
  <si>
    <t>новинка</t>
  </si>
  <si>
    <t>Чебупицца Пепперони ТМ Горячая штучка ТС Чебупицца 0.25кг зам  ПОКОМ</t>
  </si>
  <si>
    <t>P004486</t>
  </si>
  <si>
    <t>Чебупицца курочка по-итальянски Горячая штучка 0,25 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</si>
  <si>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</si>
  <si>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</si>
  <si>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</si>
  <si>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</si>
  <si>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</si>
  <si>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</si>
  <si>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</si>
  <si>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</si>
  <si>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</si>
  <si>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</si>
  <si>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96шт списано (03,10,26)</t>
  </si>
  <si>
    <t>есть потребность??? / кратность 336шт</t>
  </si>
  <si>
    <t>Пельмени «Медвежье ушко Премиум со сливочным маслом» 0,8 классическая форма ТМ «Медвежье ушко»</t>
  </si>
  <si>
    <t>P005438</t>
  </si>
  <si>
    <t>Пельмени «Медвежье ушко Премиум со сливочным маслом» 0,4 классическая форма ТМ «Медвежье ушко»</t>
  </si>
  <si>
    <t>P005439</t>
  </si>
  <si>
    <t>дн</t>
  </si>
  <si>
    <t>13,10,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</si>
</sst>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0" borderId="1" xfId="1" applyNumberFormat="1" applyFill="1"/>
    <xf numFmtId="164" fontId="1" fillId="6" borderId="1" xfId="1" applyNumberFormat="1" applyFill="1"/>
    <xf numFmtId="164" fontId="6" fillId="6" borderId="1" xfId="1" applyNumberFormat="1" applyFont="1" applyFill="1"/>
    <xf numFmtId="164" fontId="1" fillId="7" borderId="2" xfId="1" applyNumberFormat="1" applyFill="1" applyBorder="1"/>
    <xf numFmtId="164" fontId="1" fillId="7" borderId="1" xfId="1" applyNumberFormat="1" applyFill="1"/>
    <xf numFmtId="164" fontId="7" fillId="8" borderId="2" xfId="1" applyNumberFormat="1" applyFont="1" applyFill="1" applyBorder="1"/>
    <xf numFmtId="164" fontId="7" fillId="8" borderId="1" xfId="1" applyNumberFormat="1" applyFont="1" applyFill="1"/>
    <xf numFmtId="164" fontId="1" fillId="9" borderId="1" xfId="1" applyNumberFormat="1" applyFill="1"/>
    <xf numFmtId="2" fontId="1" fillId="9" borderId="1" xfId="1" applyNumberFormat="1" applyFill="1"/>
    <xf numFmtId="164" fontId="1" fillId="9" borderId="2" xfId="1" applyNumberFormat="1" applyFill="1" applyBorder="1"/>
    <xf numFmtId="165" fontId="1" fillId="9" borderId="1" xfId="1" applyNumberFormat="1" applyFill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08,10,26%20&#1084;&#1083;&#1088;&#1089;&#1095;%20&#1087;&#1086;&#1082;%20&#1079;&#1087;&#10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R1">
            <v>4.5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6" sqref="AF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5" width="0.5703125" customWidth="1"/>
    <col min="16" max="16" width="6" customWidth="1"/>
    <col min="17" max="19" width="7" customWidth="1"/>
    <col min="20" max="21" width="5" customWidth="1"/>
    <col min="22" max="31" width="6" customWidth="1"/>
    <col min="32" max="32" width="42.7109375" customWidth="1"/>
    <col min="33" max="33" width="6" customWidth="1"/>
    <col min="34" max="34" width="6" style="6" customWidth="1"/>
    <col min="35" max="35" width="7" style="12" customWidth="1"/>
    <col min="36" max="36" width="6" customWidth="1"/>
    <col min="37" max="38" width="5" customWidth="1"/>
    <col min="39" max="39" width="6" style="12" customWidth="1"/>
    <col min="4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31">
        <f>[1]Sheet!$R$1</f>
        <v>4.5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7"/>
      <c r="AI1" s="9"/>
      <c r="AJ1" s="1"/>
      <c r="AK1" s="1"/>
      <c r="AL1" s="1"/>
      <c r="AM1" s="9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190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7"/>
      <c r="AI2" s="9"/>
      <c r="AJ2" s="1"/>
      <c r="AK2" s="1"/>
      <c r="AL2" s="1"/>
      <c r="AM2" s="9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16</v>
      </c>
      <c r="S3" s="3" t="s">
        <v>17</v>
      </c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21</v>
      </c>
      <c r="AG3" s="2" t="s">
        <v>22</v>
      </c>
      <c r="AH3" s="8" t="s">
        <v>23</v>
      </c>
      <c r="AI3" s="10" t="s">
        <v>24</v>
      </c>
      <c r="AJ3" s="2" t="s">
        <v>25</v>
      </c>
      <c r="AK3" s="2" t="s">
        <v>26</v>
      </c>
      <c r="AL3" s="2" t="s">
        <v>27</v>
      </c>
      <c r="AM3" s="10" t="s">
        <v>28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3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 t="s">
        <v>39</v>
      </c>
      <c r="AE4" s="1" t="s">
        <v>40</v>
      </c>
      <c r="AF4" s="1"/>
      <c r="AG4" s="1"/>
      <c r="AH4" s="7"/>
      <c r="AI4" s="9" t="s">
        <v>191</v>
      </c>
      <c r="AJ4" s="1"/>
      <c r="AK4" s="1"/>
      <c r="AL4" s="1"/>
      <c r="AM4" s="9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7132.2</v>
      </c>
      <c r="F5" s="4">
        <f>SUM(F6:F499)</f>
        <v>20063.2</v>
      </c>
      <c r="G5" s="7"/>
      <c r="H5" s="1"/>
      <c r="I5" s="1"/>
      <c r="J5" s="1"/>
      <c r="K5" s="4">
        <f t="shared" ref="K5:S5" si="0">SUM(K6:K499)</f>
        <v>6576.7999999999993</v>
      </c>
      <c r="L5" s="4">
        <f t="shared" si="0"/>
        <v>555.4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1426.4400000000007</v>
      </c>
      <c r="Q5" s="4">
        <v>5926.2</v>
      </c>
      <c r="R5" s="4">
        <f t="shared" si="0"/>
        <v>10159.900000000001</v>
      </c>
      <c r="S5" s="4">
        <f t="shared" si="0"/>
        <v>10266</v>
      </c>
      <c r="T5" s="1"/>
      <c r="U5" s="1"/>
      <c r="V5" s="4">
        <f t="shared" ref="V5:AE5" si="1">SUM(V6:V499)</f>
        <v>1651.4400000000003</v>
      </c>
      <c r="W5" s="4">
        <f t="shared" si="1"/>
        <v>1915.6199999999994</v>
      </c>
      <c r="X5" s="4">
        <f t="shared" si="1"/>
        <v>1689.6400000000008</v>
      </c>
      <c r="Y5" s="4">
        <f t="shared" si="1"/>
        <v>2523.4999999999995</v>
      </c>
      <c r="Z5" s="4">
        <f t="shared" si="1"/>
        <v>3078.0600000000004</v>
      </c>
      <c r="AA5" s="4">
        <f t="shared" si="1"/>
        <v>3101.099999999999</v>
      </c>
      <c r="AB5" s="4">
        <f t="shared" si="1"/>
        <v>2355.7199999999998</v>
      </c>
      <c r="AC5" s="4">
        <f t="shared" si="1"/>
        <v>2068.46</v>
      </c>
      <c r="AD5" s="4">
        <f t="shared" si="1"/>
        <v>2898.6599999999994</v>
      </c>
      <c r="AE5" s="4">
        <f t="shared" si="1"/>
        <v>2284.1799999999998</v>
      </c>
      <c r="AF5" s="1"/>
      <c r="AG5" s="4">
        <f>SUM(AG6:AG499)</f>
        <v>5582.4409999999998</v>
      </c>
      <c r="AH5" s="7"/>
      <c r="AI5" s="11">
        <f>SUM(AI6:AI499)</f>
        <v>1284</v>
      </c>
      <c r="AJ5" s="4">
        <f>SUM(AJ6:AJ499)</f>
        <v>5655.6000000000013</v>
      </c>
      <c r="AK5" s="1"/>
      <c r="AL5" s="1"/>
      <c r="AM5" s="11">
        <f>SUM(AM6:AM499)</f>
        <v>13.327777777777776</v>
      </c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4" t="s">
        <v>41</v>
      </c>
      <c r="B6" s="14" t="s">
        <v>42</v>
      </c>
      <c r="C6" s="14">
        <v>-19</v>
      </c>
      <c r="D6" s="14">
        <v>78</v>
      </c>
      <c r="E6" s="19">
        <v>66</v>
      </c>
      <c r="F6" s="19">
        <v>-7</v>
      </c>
      <c r="G6" s="15">
        <v>0</v>
      </c>
      <c r="H6" s="14"/>
      <c r="I6" s="14" t="s">
        <v>43</v>
      </c>
      <c r="J6" s="14" t="s">
        <v>44</v>
      </c>
      <c r="K6" s="14">
        <v>69</v>
      </c>
      <c r="L6" s="14">
        <f t="shared" ref="L6:L37" si="2">E6-K6</f>
        <v>-3</v>
      </c>
      <c r="M6" s="14"/>
      <c r="N6" s="14"/>
      <c r="O6" s="14"/>
      <c r="P6" s="14">
        <f t="shared" ref="P6:P37" si="3">E6/5</f>
        <v>13.2</v>
      </c>
      <c r="Q6" s="16"/>
      <c r="R6" s="16"/>
      <c r="S6" s="16"/>
      <c r="T6" s="14">
        <f t="shared" ref="T6:T37" si="4">(F6+S6)/P6</f>
        <v>-0.53030303030303028</v>
      </c>
      <c r="U6" s="14">
        <f t="shared" ref="U6:U37" si="5">F6/P6</f>
        <v>-0.53030303030303028</v>
      </c>
      <c r="V6" s="14">
        <v>18.8</v>
      </c>
      <c r="W6" s="14">
        <v>19</v>
      </c>
      <c r="X6" s="14">
        <v>16.2</v>
      </c>
      <c r="Y6" s="14">
        <v>25.4</v>
      </c>
      <c r="Z6" s="14">
        <v>37.4</v>
      </c>
      <c r="AA6" s="14">
        <v>1.6</v>
      </c>
      <c r="AB6" s="14">
        <v>0</v>
      </c>
      <c r="AC6" s="14">
        <v>0</v>
      </c>
      <c r="AD6" s="14">
        <v>4.4000000000000004</v>
      </c>
      <c r="AE6" s="14">
        <v>3.8</v>
      </c>
      <c r="AF6" s="14"/>
      <c r="AG6" s="14"/>
      <c r="AH6" s="15"/>
      <c r="AI6" s="17"/>
      <c r="AJ6" s="14"/>
      <c r="AK6" s="14"/>
      <c r="AL6" s="14"/>
      <c r="AM6" s="17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4" t="s">
        <v>45</v>
      </c>
      <c r="B7" s="14" t="s">
        <v>42</v>
      </c>
      <c r="C7" s="14">
        <v>20</v>
      </c>
      <c r="D7" s="14">
        <v>31</v>
      </c>
      <c r="E7" s="19">
        <v>25</v>
      </c>
      <c r="F7" s="19">
        <v>24</v>
      </c>
      <c r="G7" s="15">
        <v>0</v>
      </c>
      <c r="H7" s="14"/>
      <c r="I7" s="14" t="s">
        <v>43</v>
      </c>
      <c r="J7" s="14" t="s">
        <v>46</v>
      </c>
      <c r="K7" s="14">
        <v>25</v>
      </c>
      <c r="L7" s="14">
        <f t="shared" si="2"/>
        <v>0</v>
      </c>
      <c r="M7" s="14"/>
      <c r="N7" s="14"/>
      <c r="O7" s="14"/>
      <c r="P7" s="14">
        <f t="shared" si="3"/>
        <v>5</v>
      </c>
      <c r="Q7" s="16"/>
      <c r="R7" s="16"/>
      <c r="S7" s="16"/>
      <c r="T7" s="14">
        <f t="shared" si="4"/>
        <v>4.8</v>
      </c>
      <c r="U7" s="14">
        <f t="shared" si="5"/>
        <v>4.8</v>
      </c>
      <c r="V7" s="14">
        <v>11</v>
      </c>
      <c r="W7" s="14">
        <v>12.6</v>
      </c>
      <c r="X7" s="14">
        <v>8.1999999999999993</v>
      </c>
      <c r="Y7" s="14">
        <v>18.399999999999999</v>
      </c>
      <c r="Z7" s="14">
        <v>12.8</v>
      </c>
      <c r="AA7" s="14">
        <v>1.6</v>
      </c>
      <c r="AB7" s="14">
        <v>0</v>
      </c>
      <c r="AC7" s="14">
        <v>0</v>
      </c>
      <c r="AD7" s="14">
        <v>0</v>
      </c>
      <c r="AE7" s="14">
        <v>0</v>
      </c>
      <c r="AF7" s="14"/>
      <c r="AG7" s="14"/>
      <c r="AH7" s="15"/>
      <c r="AI7" s="17"/>
      <c r="AJ7" s="14"/>
      <c r="AK7" s="14"/>
      <c r="AL7" s="14"/>
      <c r="AM7" s="17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47</v>
      </c>
      <c r="B8" s="1" t="s">
        <v>42</v>
      </c>
      <c r="C8" s="1"/>
      <c r="D8" s="1">
        <v>168</v>
      </c>
      <c r="E8" s="1"/>
      <c r="F8" s="1">
        <v>165</v>
      </c>
      <c r="G8" s="7">
        <v>0.22</v>
      </c>
      <c r="H8" s="1">
        <v>180</v>
      </c>
      <c r="I8" s="1" t="s">
        <v>48</v>
      </c>
      <c r="J8" s="1"/>
      <c r="K8" s="1"/>
      <c r="L8" s="1">
        <f t="shared" si="2"/>
        <v>0</v>
      </c>
      <c r="M8" s="1"/>
      <c r="N8" s="1"/>
      <c r="O8" s="1"/>
      <c r="P8" s="1">
        <f t="shared" si="3"/>
        <v>0</v>
      </c>
      <c r="Q8" s="5"/>
      <c r="R8" s="5"/>
      <c r="S8" s="5">
        <f>AH8*AI8</f>
        <v>0</v>
      </c>
      <c r="T8" s="1" t="e">
        <f t="shared" si="4"/>
        <v>#DIV/0!</v>
      </c>
      <c r="U8" s="1" t="e">
        <f t="shared" si="5"/>
        <v>#DIV/0!</v>
      </c>
      <c r="V8" s="1">
        <v>1.6</v>
      </c>
      <c r="W8" s="1">
        <v>6.2</v>
      </c>
      <c r="X8" s="1">
        <v>8.8000000000000007</v>
      </c>
      <c r="Y8" s="1">
        <v>5.6</v>
      </c>
      <c r="Z8" s="1">
        <v>4</v>
      </c>
      <c r="AA8" s="1">
        <v>9</v>
      </c>
      <c r="AB8" s="1">
        <v>4</v>
      </c>
      <c r="AC8" s="1">
        <v>2.8</v>
      </c>
      <c r="AD8" s="1">
        <v>11.6</v>
      </c>
      <c r="AE8" s="1">
        <v>12.4</v>
      </c>
      <c r="AF8" s="1"/>
      <c r="AG8" s="1">
        <f>G8*R8</f>
        <v>0</v>
      </c>
      <c r="AH8" s="7">
        <v>12</v>
      </c>
      <c r="AI8" s="9">
        <f>MROUND(R8, AH8*AK8)/AH8</f>
        <v>0</v>
      </c>
      <c r="AJ8" s="1">
        <f>AI8*AH8*G8</f>
        <v>0</v>
      </c>
      <c r="AK8" s="1">
        <v>14</v>
      </c>
      <c r="AL8" s="1">
        <v>70</v>
      </c>
      <c r="AM8" s="9">
        <f>AI8/AL8</f>
        <v>0</v>
      </c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4" t="s">
        <v>49</v>
      </c>
      <c r="B9" s="14" t="s">
        <v>42</v>
      </c>
      <c r="C9" s="14"/>
      <c r="D9" s="14">
        <v>168</v>
      </c>
      <c r="E9" s="14"/>
      <c r="F9" s="19">
        <v>168</v>
      </c>
      <c r="G9" s="15">
        <v>0</v>
      </c>
      <c r="H9" s="14">
        <v>180</v>
      </c>
      <c r="I9" s="18" t="s">
        <v>50</v>
      </c>
      <c r="J9" s="18" t="s">
        <v>51</v>
      </c>
      <c r="K9" s="14"/>
      <c r="L9" s="14">
        <f t="shared" si="2"/>
        <v>0</v>
      </c>
      <c r="M9" s="14"/>
      <c r="N9" s="14"/>
      <c r="O9" s="14"/>
      <c r="P9" s="14">
        <f t="shared" si="3"/>
        <v>0</v>
      </c>
      <c r="Q9" s="16"/>
      <c r="R9" s="16"/>
      <c r="S9" s="16"/>
      <c r="T9" s="14" t="e">
        <f t="shared" si="4"/>
        <v>#DIV/0!</v>
      </c>
      <c r="U9" s="14" t="e">
        <f t="shared" si="5"/>
        <v>#DIV/0!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/>
      <c r="AG9" s="14"/>
      <c r="AH9" s="15"/>
      <c r="AI9" s="17"/>
      <c r="AJ9" s="14"/>
      <c r="AK9" s="14"/>
      <c r="AL9" s="14"/>
      <c r="AM9" s="17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3" t="s">
        <v>51</v>
      </c>
      <c r="B10" s="1" t="s">
        <v>42</v>
      </c>
      <c r="C10" s="1">
        <v>142</v>
      </c>
      <c r="D10" s="1"/>
      <c r="E10" s="1">
        <v>31</v>
      </c>
      <c r="F10" s="19">
        <f>108+F9</f>
        <v>276</v>
      </c>
      <c r="G10" s="7">
        <v>0.3</v>
      </c>
      <c r="H10" s="1">
        <v>180</v>
      </c>
      <c r="I10" s="1" t="s">
        <v>52</v>
      </c>
      <c r="J10" s="1"/>
      <c r="K10" s="1">
        <v>37</v>
      </c>
      <c r="L10" s="1">
        <f t="shared" si="2"/>
        <v>-6</v>
      </c>
      <c r="M10" s="1"/>
      <c r="N10" s="1"/>
      <c r="O10" s="1"/>
      <c r="P10" s="1">
        <f t="shared" si="3"/>
        <v>6.2</v>
      </c>
      <c r="Q10" s="5"/>
      <c r="R10" s="5"/>
      <c r="S10" s="5">
        <f>AH10*AI10</f>
        <v>0</v>
      </c>
      <c r="T10" s="1">
        <f t="shared" si="4"/>
        <v>44.516129032258064</v>
      </c>
      <c r="U10" s="1">
        <f t="shared" si="5"/>
        <v>44.516129032258064</v>
      </c>
      <c r="V10" s="1">
        <v>16.8</v>
      </c>
      <c r="W10" s="1">
        <v>21.6</v>
      </c>
      <c r="X10" s="1">
        <v>16.600000000000001</v>
      </c>
      <c r="Y10" s="1">
        <v>21.6</v>
      </c>
      <c r="Z10" s="1">
        <v>39.6</v>
      </c>
      <c r="AA10" s="1">
        <v>20.6</v>
      </c>
      <c r="AB10" s="1">
        <v>14.8</v>
      </c>
      <c r="AC10" s="1">
        <v>12.4</v>
      </c>
      <c r="AD10" s="1">
        <v>17.600000000000001</v>
      </c>
      <c r="AE10" s="1">
        <v>15.2</v>
      </c>
      <c r="AF10" s="22" t="s">
        <v>78</v>
      </c>
      <c r="AG10" s="1">
        <f>G10*R10</f>
        <v>0</v>
      </c>
      <c r="AH10" s="7">
        <v>12</v>
      </c>
      <c r="AI10" s="9">
        <f>MROUND(R10, AH10*AK10)/AH10</f>
        <v>0</v>
      </c>
      <c r="AJ10" s="1">
        <f>AI10*AH10*G10</f>
        <v>0</v>
      </c>
      <c r="AK10" s="1">
        <v>14</v>
      </c>
      <c r="AL10" s="1">
        <v>70</v>
      </c>
      <c r="AM10" s="9">
        <f>AI10/AL10</f>
        <v>0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4" t="s">
        <v>53</v>
      </c>
      <c r="B11" s="14" t="s">
        <v>42</v>
      </c>
      <c r="C11" s="14">
        <v>475</v>
      </c>
      <c r="D11" s="14">
        <v>163</v>
      </c>
      <c r="E11" s="19">
        <v>54</v>
      </c>
      <c r="F11" s="19">
        <v>459</v>
      </c>
      <c r="G11" s="15">
        <v>0</v>
      </c>
      <c r="H11" s="14">
        <v>180</v>
      </c>
      <c r="I11" s="14" t="s">
        <v>50</v>
      </c>
      <c r="J11" s="14" t="s">
        <v>54</v>
      </c>
      <c r="K11" s="14">
        <v>66</v>
      </c>
      <c r="L11" s="14">
        <f t="shared" si="2"/>
        <v>-12</v>
      </c>
      <c r="M11" s="14"/>
      <c r="N11" s="14"/>
      <c r="O11" s="14"/>
      <c r="P11" s="14">
        <f t="shared" si="3"/>
        <v>10.8</v>
      </c>
      <c r="Q11" s="16"/>
      <c r="R11" s="16"/>
      <c r="S11" s="16"/>
      <c r="T11" s="14">
        <f t="shared" si="4"/>
        <v>42.5</v>
      </c>
      <c r="U11" s="14">
        <f t="shared" si="5"/>
        <v>42.5</v>
      </c>
      <c r="V11" s="14">
        <v>4.2</v>
      </c>
      <c r="W11" s="14">
        <v>2.8</v>
      </c>
      <c r="X11" s="14">
        <v>1.6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/>
      <c r="AG11" s="14"/>
      <c r="AH11" s="15"/>
      <c r="AI11" s="17"/>
      <c r="AJ11" s="14"/>
      <c r="AK11" s="14"/>
      <c r="AL11" s="14"/>
      <c r="AM11" s="17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4" t="s">
        <v>55</v>
      </c>
      <c r="B12" s="14" t="s">
        <v>42</v>
      </c>
      <c r="C12" s="14">
        <v>279</v>
      </c>
      <c r="D12" s="14"/>
      <c r="E12" s="19">
        <v>33</v>
      </c>
      <c r="F12" s="19">
        <v>213</v>
      </c>
      <c r="G12" s="15">
        <v>0</v>
      </c>
      <c r="H12" s="14">
        <v>180</v>
      </c>
      <c r="I12" s="14" t="s">
        <v>50</v>
      </c>
      <c r="J12" s="14" t="s">
        <v>56</v>
      </c>
      <c r="K12" s="14">
        <v>33</v>
      </c>
      <c r="L12" s="14">
        <f t="shared" si="2"/>
        <v>0</v>
      </c>
      <c r="M12" s="14"/>
      <c r="N12" s="14"/>
      <c r="O12" s="14"/>
      <c r="P12" s="14">
        <f t="shared" si="3"/>
        <v>6.6</v>
      </c>
      <c r="Q12" s="16"/>
      <c r="R12" s="16"/>
      <c r="S12" s="16"/>
      <c r="T12" s="14">
        <f t="shared" si="4"/>
        <v>32.272727272727273</v>
      </c>
      <c r="U12" s="14">
        <f t="shared" si="5"/>
        <v>32.272727272727273</v>
      </c>
      <c r="V12" s="14">
        <v>8.1999999999999993</v>
      </c>
      <c r="W12" s="14">
        <v>7.6</v>
      </c>
      <c r="X12" s="14">
        <v>3.2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/>
      <c r="AG12" s="14"/>
      <c r="AH12" s="15"/>
      <c r="AI12" s="17"/>
      <c r="AJ12" s="14"/>
      <c r="AK12" s="14"/>
      <c r="AL12" s="14"/>
      <c r="AM12" s="17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4" t="s">
        <v>57</v>
      </c>
      <c r="B13" s="14" t="s">
        <v>42</v>
      </c>
      <c r="C13" s="14">
        <v>826</v>
      </c>
      <c r="D13" s="14">
        <v>542</v>
      </c>
      <c r="E13" s="19">
        <v>144</v>
      </c>
      <c r="F13" s="19">
        <v>666</v>
      </c>
      <c r="G13" s="15">
        <v>0</v>
      </c>
      <c r="H13" s="14">
        <v>180</v>
      </c>
      <c r="I13" s="14" t="s">
        <v>50</v>
      </c>
      <c r="J13" s="14" t="s">
        <v>58</v>
      </c>
      <c r="K13" s="14">
        <v>144</v>
      </c>
      <c r="L13" s="14">
        <f t="shared" si="2"/>
        <v>0</v>
      </c>
      <c r="M13" s="14"/>
      <c r="N13" s="14"/>
      <c r="O13" s="14"/>
      <c r="P13" s="14">
        <f t="shared" si="3"/>
        <v>28.8</v>
      </c>
      <c r="Q13" s="16"/>
      <c r="R13" s="16"/>
      <c r="S13" s="16"/>
      <c r="T13" s="14">
        <f t="shared" si="4"/>
        <v>23.125</v>
      </c>
      <c r="U13" s="14">
        <f t="shared" si="5"/>
        <v>23.125</v>
      </c>
      <c r="V13" s="14">
        <v>28.2</v>
      </c>
      <c r="W13" s="14">
        <v>21.2</v>
      </c>
      <c r="X13" s="14">
        <v>22.4</v>
      </c>
      <c r="Y13" s="14">
        <v>9.4</v>
      </c>
      <c r="Z13" s="14">
        <v>1.8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/>
      <c r="AG13" s="14"/>
      <c r="AH13" s="15"/>
      <c r="AI13" s="17"/>
      <c r="AJ13" s="14"/>
      <c r="AK13" s="14"/>
      <c r="AL13" s="14"/>
      <c r="AM13" s="17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4" t="s">
        <v>59</v>
      </c>
      <c r="B14" s="14" t="s">
        <v>42</v>
      </c>
      <c r="C14" s="14">
        <v>409</v>
      </c>
      <c r="D14" s="14">
        <v>11</v>
      </c>
      <c r="E14" s="19">
        <v>111</v>
      </c>
      <c r="F14" s="19">
        <v>284</v>
      </c>
      <c r="G14" s="15">
        <v>0</v>
      </c>
      <c r="H14" s="14">
        <v>180</v>
      </c>
      <c r="I14" s="14" t="s">
        <v>50</v>
      </c>
      <c r="J14" s="14" t="s">
        <v>60</v>
      </c>
      <c r="K14" s="14">
        <v>117</v>
      </c>
      <c r="L14" s="14">
        <f t="shared" si="2"/>
        <v>-6</v>
      </c>
      <c r="M14" s="14"/>
      <c r="N14" s="14"/>
      <c r="O14" s="14"/>
      <c r="P14" s="14">
        <f t="shared" si="3"/>
        <v>22.2</v>
      </c>
      <c r="Q14" s="16"/>
      <c r="R14" s="16"/>
      <c r="S14" s="16"/>
      <c r="T14" s="14">
        <f t="shared" si="4"/>
        <v>12.792792792792794</v>
      </c>
      <c r="U14" s="14">
        <f t="shared" si="5"/>
        <v>12.792792792792794</v>
      </c>
      <c r="V14" s="14">
        <v>16.399999999999999</v>
      </c>
      <c r="W14" s="14">
        <v>11</v>
      </c>
      <c r="X14" s="14">
        <v>2.6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/>
      <c r="AG14" s="14"/>
      <c r="AH14" s="15"/>
      <c r="AI14" s="17"/>
      <c r="AJ14" s="14"/>
      <c r="AK14" s="14"/>
      <c r="AL14" s="14"/>
      <c r="AM14" s="17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4" t="s">
        <v>61</v>
      </c>
      <c r="B15" s="14" t="s">
        <v>42</v>
      </c>
      <c r="C15" s="14"/>
      <c r="D15" s="14">
        <v>252</v>
      </c>
      <c r="E15" s="14"/>
      <c r="F15" s="19">
        <v>252</v>
      </c>
      <c r="G15" s="15">
        <v>0</v>
      </c>
      <c r="H15" s="14">
        <v>180</v>
      </c>
      <c r="I15" s="14" t="s">
        <v>50</v>
      </c>
      <c r="J15" s="14" t="s">
        <v>62</v>
      </c>
      <c r="K15" s="14"/>
      <c r="L15" s="14">
        <f t="shared" si="2"/>
        <v>0</v>
      </c>
      <c r="M15" s="14"/>
      <c r="N15" s="14"/>
      <c r="O15" s="14"/>
      <c r="P15" s="14">
        <f t="shared" si="3"/>
        <v>0</v>
      </c>
      <c r="Q15" s="16"/>
      <c r="R15" s="16"/>
      <c r="S15" s="16"/>
      <c r="T15" s="14" t="e">
        <f t="shared" si="4"/>
        <v>#DIV/0!</v>
      </c>
      <c r="U15" s="14" t="e">
        <f t="shared" si="5"/>
        <v>#DIV/0!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/>
      <c r="AG15" s="14"/>
      <c r="AH15" s="15"/>
      <c r="AI15" s="17"/>
      <c r="AJ15" s="14"/>
      <c r="AK15" s="14"/>
      <c r="AL15" s="14"/>
      <c r="AM15" s="17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3" t="s">
        <v>62</v>
      </c>
      <c r="B16" s="1" t="s">
        <v>42</v>
      </c>
      <c r="C16" s="1">
        <v>269</v>
      </c>
      <c r="D16" s="1">
        <v>230</v>
      </c>
      <c r="E16" s="1">
        <v>203</v>
      </c>
      <c r="F16" s="19">
        <f>58+F15</f>
        <v>310</v>
      </c>
      <c r="G16" s="7">
        <v>0.28000000000000003</v>
      </c>
      <c r="H16" s="1">
        <v>180</v>
      </c>
      <c r="I16" s="1" t="s">
        <v>63</v>
      </c>
      <c r="J16" s="1"/>
      <c r="K16" s="1">
        <v>209</v>
      </c>
      <c r="L16" s="1">
        <f t="shared" si="2"/>
        <v>-6</v>
      </c>
      <c r="M16" s="1"/>
      <c r="N16" s="1"/>
      <c r="O16" s="1"/>
      <c r="P16" s="1">
        <f t="shared" si="3"/>
        <v>40.6</v>
      </c>
      <c r="Q16" s="5">
        <v>258.39999999999998</v>
      </c>
      <c r="R16" s="5">
        <f>14*P16-F16+P16*$R$1</f>
        <v>441.1</v>
      </c>
      <c r="S16" s="5">
        <f>AH16*AI16</f>
        <v>420</v>
      </c>
      <c r="T16" s="1">
        <f t="shared" si="4"/>
        <v>17.980295566502463</v>
      </c>
      <c r="U16" s="1">
        <f t="shared" si="5"/>
        <v>7.6354679802955658</v>
      </c>
      <c r="V16" s="1">
        <v>36.4</v>
      </c>
      <c r="W16" s="1">
        <v>41</v>
      </c>
      <c r="X16" s="1">
        <v>28.8</v>
      </c>
      <c r="Y16" s="1">
        <v>60.6</v>
      </c>
      <c r="Z16" s="1">
        <v>75.2</v>
      </c>
      <c r="AA16" s="1">
        <v>59.2</v>
      </c>
      <c r="AB16" s="1">
        <v>47</v>
      </c>
      <c r="AC16" s="1">
        <v>35.200000000000003</v>
      </c>
      <c r="AD16" s="1">
        <v>61.4</v>
      </c>
      <c r="AE16" s="1">
        <v>38.4</v>
      </c>
      <c r="AF16" s="1"/>
      <c r="AG16" s="1">
        <f>G16*R16</f>
        <v>123.50800000000002</v>
      </c>
      <c r="AH16" s="7">
        <v>6</v>
      </c>
      <c r="AI16" s="9">
        <f>MROUND(R16, AH16*AK16)/AH16</f>
        <v>70</v>
      </c>
      <c r="AJ16" s="1">
        <f>AI16*AH16*G16</f>
        <v>117.60000000000001</v>
      </c>
      <c r="AK16" s="1">
        <v>14</v>
      </c>
      <c r="AL16" s="1">
        <v>140</v>
      </c>
      <c r="AM16" s="9">
        <f>AI16/AL16</f>
        <v>0.5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64</v>
      </c>
      <c r="B17" s="1" t="s">
        <v>42</v>
      </c>
      <c r="C17" s="1">
        <v>715</v>
      </c>
      <c r="D17" s="1">
        <v>266</v>
      </c>
      <c r="E17" s="1">
        <v>212</v>
      </c>
      <c r="F17" s="1">
        <v>498</v>
      </c>
      <c r="G17" s="7">
        <v>0.24</v>
      </c>
      <c r="H17" s="1">
        <v>180</v>
      </c>
      <c r="I17" s="1" t="s">
        <v>65</v>
      </c>
      <c r="J17" s="1"/>
      <c r="K17" s="1">
        <v>218</v>
      </c>
      <c r="L17" s="1">
        <f t="shared" si="2"/>
        <v>-6</v>
      </c>
      <c r="M17" s="1"/>
      <c r="N17" s="1"/>
      <c r="O17" s="1"/>
      <c r="P17" s="1">
        <f t="shared" si="3"/>
        <v>42.4</v>
      </c>
      <c r="Q17" s="5">
        <v>95.600000000000023</v>
      </c>
      <c r="R17" s="5">
        <f>14*P17-F17+P17*$R$1</f>
        <v>286.39999999999998</v>
      </c>
      <c r="S17" s="5">
        <f>AH17*AI17</f>
        <v>336</v>
      </c>
      <c r="T17" s="1">
        <f t="shared" si="4"/>
        <v>19.669811320754718</v>
      </c>
      <c r="U17" s="1">
        <f t="shared" si="5"/>
        <v>11.745283018867925</v>
      </c>
      <c r="V17" s="1">
        <v>48.4</v>
      </c>
      <c r="W17" s="1">
        <v>51.6</v>
      </c>
      <c r="X17" s="1">
        <v>62.4</v>
      </c>
      <c r="Y17" s="1">
        <v>88.2</v>
      </c>
      <c r="Z17" s="1">
        <v>80.8</v>
      </c>
      <c r="AA17" s="1">
        <v>82.4</v>
      </c>
      <c r="AB17" s="1">
        <v>73.599999999999994</v>
      </c>
      <c r="AC17" s="1">
        <v>65.400000000000006</v>
      </c>
      <c r="AD17" s="1">
        <v>83.2</v>
      </c>
      <c r="AE17" s="1">
        <v>71.599999999999994</v>
      </c>
      <c r="AF17" s="1"/>
      <c r="AG17" s="1">
        <f>G17*R17</f>
        <v>68.73599999999999</v>
      </c>
      <c r="AH17" s="7">
        <v>12</v>
      </c>
      <c r="AI17" s="9">
        <f>MROUND(R17, AH17*AK17)/AH17</f>
        <v>28</v>
      </c>
      <c r="AJ17" s="1">
        <f>AI17*AH17*G17</f>
        <v>80.64</v>
      </c>
      <c r="AK17" s="1">
        <v>14</v>
      </c>
      <c r="AL17" s="1">
        <v>70</v>
      </c>
      <c r="AM17" s="9">
        <f>AI17/AL17</f>
        <v>0.4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4" t="s">
        <v>66</v>
      </c>
      <c r="B18" s="14" t="s">
        <v>42</v>
      </c>
      <c r="C18" s="14">
        <v>282</v>
      </c>
      <c r="D18" s="14">
        <v>508</v>
      </c>
      <c r="E18" s="19">
        <v>142</v>
      </c>
      <c r="F18" s="19">
        <v>285</v>
      </c>
      <c r="G18" s="15">
        <v>0</v>
      </c>
      <c r="H18" s="14">
        <v>180</v>
      </c>
      <c r="I18" s="14" t="s">
        <v>50</v>
      </c>
      <c r="J18" s="14" t="s">
        <v>67</v>
      </c>
      <c r="K18" s="14">
        <v>142</v>
      </c>
      <c r="L18" s="14">
        <f t="shared" si="2"/>
        <v>0</v>
      </c>
      <c r="M18" s="14"/>
      <c r="N18" s="14"/>
      <c r="O18" s="14"/>
      <c r="P18" s="14">
        <f t="shared" si="3"/>
        <v>28.4</v>
      </c>
      <c r="Q18" s="16"/>
      <c r="R18" s="16"/>
      <c r="S18" s="16"/>
      <c r="T18" s="14">
        <f t="shared" si="4"/>
        <v>10.035211267605634</v>
      </c>
      <c r="U18" s="14">
        <f t="shared" si="5"/>
        <v>10.035211267605634</v>
      </c>
      <c r="V18" s="14">
        <v>35.799999999999997</v>
      </c>
      <c r="W18" s="14">
        <v>28.8</v>
      </c>
      <c r="X18" s="14">
        <v>26.2</v>
      </c>
      <c r="Y18" s="14">
        <v>12.8</v>
      </c>
      <c r="Z18" s="14">
        <v>1.2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/>
      <c r="AG18" s="14"/>
      <c r="AH18" s="15"/>
      <c r="AI18" s="17"/>
      <c r="AJ18" s="14"/>
      <c r="AK18" s="14"/>
      <c r="AL18" s="14"/>
      <c r="AM18" s="17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67</v>
      </c>
      <c r="B19" s="1" t="s">
        <v>42</v>
      </c>
      <c r="C19" s="1">
        <v>-22</v>
      </c>
      <c r="D19" s="1">
        <v>24</v>
      </c>
      <c r="E19" s="19">
        <f>0+E18</f>
        <v>142</v>
      </c>
      <c r="F19" s="19">
        <f>0+F18</f>
        <v>285</v>
      </c>
      <c r="G19" s="7">
        <v>0.24</v>
      </c>
      <c r="H19" s="1">
        <v>180</v>
      </c>
      <c r="I19" s="1" t="s">
        <v>68</v>
      </c>
      <c r="J19" s="1"/>
      <c r="K19" s="1"/>
      <c r="L19" s="1">
        <f t="shared" si="2"/>
        <v>142</v>
      </c>
      <c r="M19" s="1"/>
      <c r="N19" s="1"/>
      <c r="O19" s="1"/>
      <c r="P19" s="1">
        <f t="shared" si="3"/>
        <v>28.4</v>
      </c>
      <c r="Q19" s="5">
        <v>112.59999999999997</v>
      </c>
      <c r="R19" s="5">
        <f t="shared" ref="R19:R20" si="6">14*P19-F19+P19*$R$1</f>
        <v>240.39999999999998</v>
      </c>
      <c r="S19" s="5">
        <f>AH19*AI19</f>
        <v>168</v>
      </c>
      <c r="T19" s="1">
        <f t="shared" si="4"/>
        <v>15.950704225352114</v>
      </c>
      <c r="U19" s="1">
        <f t="shared" si="5"/>
        <v>10.035211267605634</v>
      </c>
      <c r="V19" s="1">
        <v>35.799999999999997</v>
      </c>
      <c r="W19" s="1">
        <v>32</v>
      </c>
      <c r="X19" s="1">
        <v>39</v>
      </c>
      <c r="Y19" s="1">
        <v>57</v>
      </c>
      <c r="Z19" s="1">
        <v>85.4</v>
      </c>
      <c r="AA19" s="1">
        <v>111.8</v>
      </c>
      <c r="AB19" s="1">
        <v>74.400000000000006</v>
      </c>
      <c r="AC19" s="1">
        <v>82.2</v>
      </c>
      <c r="AD19" s="1">
        <v>98.6</v>
      </c>
      <c r="AE19" s="1">
        <v>87.6</v>
      </c>
      <c r="AF19" s="1"/>
      <c r="AG19" s="1">
        <f>G19*R19</f>
        <v>57.695999999999991</v>
      </c>
      <c r="AH19" s="7">
        <v>12</v>
      </c>
      <c r="AI19" s="9">
        <f>MROUND(R19, AH19*AK19)/AH19</f>
        <v>14</v>
      </c>
      <c r="AJ19" s="1">
        <f>AI19*AH19*G19</f>
        <v>40.32</v>
      </c>
      <c r="AK19" s="1">
        <v>14</v>
      </c>
      <c r="AL19" s="1">
        <v>70</v>
      </c>
      <c r="AM19" s="9">
        <f>AI19/AL19</f>
        <v>0.2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69</v>
      </c>
      <c r="B20" s="1" t="s">
        <v>42</v>
      </c>
      <c r="C20" s="1">
        <v>187</v>
      </c>
      <c r="D20" s="1">
        <v>63</v>
      </c>
      <c r="E20" s="1">
        <v>88</v>
      </c>
      <c r="F20" s="1">
        <v>95</v>
      </c>
      <c r="G20" s="7">
        <v>0.24</v>
      </c>
      <c r="H20" s="1">
        <v>180</v>
      </c>
      <c r="I20" s="1" t="s">
        <v>70</v>
      </c>
      <c r="J20" s="1"/>
      <c r="K20" s="1">
        <v>88</v>
      </c>
      <c r="L20" s="1">
        <f t="shared" si="2"/>
        <v>0</v>
      </c>
      <c r="M20" s="1"/>
      <c r="N20" s="1"/>
      <c r="O20" s="1"/>
      <c r="P20" s="1">
        <f t="shared" si="3"/>
        <v>17.600000000000001</v>
      </c>
      <c r="Q20" s="5">
        <v>151.40000000000003</v>
      </c>
      <c r="R20" s="5">
        <f t="shared" si="6"/>
        <v>230.60000000000002</v>
      </c>
      <c r="S20" s="5">
        <f>AH20*AI20</f>
        <v>168</v>
      </c>
      <c r="T20" s="1">
        <f t="shared" si="4"/>
        <v>14.943181818181817</v>
      </c>
      <c r="U20" s="1">
        <f t="shared" si="5"/>
        <v>5.3977272727272725</v>
      </c>
      <c r="V20" s="1">
        <v>13</v>
      </c>
      <c r="W20" s="1">
        <v>17.399999999999999</v>
      </c>
      <c r="X20" s="1">
        <v>38.4</v>
      </c>
      <c r="Y20" s="1">
        <v>36</v>
      </c>
      <c r="Z20" s="1">
        <v>44.4</v>
      </c>
      <c r="AA20" s="1">
        <v>37.799999999999997</v>
      </c>
      <c r="AB20" s="1">
        <v>45.8</v>
      </c>
      <c r="AC20" s="1">
        <v>42.4</v>
      </c>
      <c r="AD20" s="1">
        <v>40.799999999999997</v>
      </c>
      <c r="AE20" s="1">
        <v>48</v>
      </c>
      <c r="AF20" s="1"/>
      <c r="AG20" s="1">
        <f>G20*R20</f>
        <v>55.344000000000001</v>
      </c>
      <c r="AH20" s="7">
        <v>12</v>
      </c>
      <c r="AI20" s="9">
        <f>MROUND(R20, AH20*AK20)/AH20</f>
        <v>14</v>
      </c>
      <c r="AJ20" s="1">
        <f>AI20*AH20*G20</f>
        <v>40.32</v>
      </c>
      <c r="AK20" s="1">
        <v>14</v>
      </c>
      <c r="AL20" s="1">
        <v>70</v>
      </c>
      <c r="AM20" s="9">
        <f>AI20/AL20</f>
        <v>0.2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4" t="s">
        <v>71</v>
      </c>
      <c r="B21" s="14" t="s">
        <v>42</v>
      </c>
      <c r="C21" s="14">
        <v>270</v>
      </c>
      <c r="D21" s="14">
        <v>518</v>
      </c>
      <c r="E21" s="19">
        <v>149</v>
      </c>
      <c r="F21" s="19">
        <v>540</v>
      </c>
      <c r="G21" s="15">
        <v>0</v>
      </c>
      <c r="H21" s="14">
        <v>180</v>
      </c>
      <c r="I21" s="14" t="s">
        <v>50</v>
      </c>
      <c r="J21" s="14" t="s">
        <v>44</v>
      </c>
      <c r="K21" s="14">
        <v>155</v>
      </c>
      <c r="L21" s="14">
        <f t="shared" si="2"/>
        <v>-6</v>
      </c>
      <c r="M21" s="14"/>
      <c r="N21" s="14"/>
      <c r="O21" s="14"/>
      <c r="P21" s="14">
        <f t="shared" si="3"/>
        <v>29.8</v>
      </c>
      <c r="Q21" s="16"/>
      <c r="R21" s="16"/>
      <c r="S21" s="16"/>
      <c r="T21" s="14">
        <f t="shared" si="4"/>
        <v>18.120805369127517</v>
      </c>
      <c r="U21" s="14">
        <f t="shared" si="5"/>
        <v>18.120805369127517</v>
      </c>
      <c r="V21" s="14">
        <v>38.799999999999997</v>
      </c>
      <c r="W21" s="14">
        <v>46.2</v>
      </c>
      <c r="X21" s="14">
        <v>22.4</v>
      </c>
      <c r="Y21" s="14">
        <v>0</v>
      </c>
      <c r="Z21" s="14">
        <v>0</v>
      </c>
      <c r="AA21" s="14">
        <v>0</v>
      </c>
      <c r="AB21" s="14">
        <v>0</v>
      </c>
      <c r="AC21" s="14">
        <v>0</v>
      </c>
      <c r="AD21" s="14">
        <v>0</v>
      </c>
      <c r="AE21" s="14">
        <v>0</v>
      </c>
      <c r="AF21" s="14"/>
      <c r="AG21" s="14"/>
      <c r="AH21" s="15"/>
      <c r="AI21" s="17"/>
      <c r="AJ21" s="14"/>
      <c r="AK21" s="14"/>
      <c r="AL21" s="14"/>
      <c r="AM21" s="17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4" t="s">
        <v>72</v>
      </c>
      <c r="B22" s="14" t="s">
        <v>42</v>
      </c>
      <c r="C22" s="14">
        <v>71</v>
      </c>
      <c r="D22" s="14">
        <v>112</v>
      </c>
      <c r="E22" s="19">
        <v>24</v>
      </c>
      <c r="F22" s="19">
        <v>156</v>
      </c>
      <c r="G22" s="15">
        <v>0</v>
      </c>
      <c r="H22" s="14">
        <v>180</v>
      </c>
      <c r="I22" s="14" t="s">
        <v>50</v>
      </c>
      <c r="J22" s="14" t="s">
        <v>73</v>
      </c>
      <c r="K22" s="14">
        <v>24</v>
      </c>
      <c r="L22" s="14">
        <f t="shared" si="2"/>
        <v>0</v>
      </c>
      <c r="M22" s="14"/>
      <c r="N22" s="14"/>
      <c r="O22" s="14"/>
      <c r="P22" s="14">
        <f t="shared" si="3"/>
        <v>4.8</v>
      </c>
      <c r="Q22" s="16"/>
      <c r="R22" s="16"/>
      <c r="S22" s="16"/>
      <c r="T22" s="14">
        <f t="shared" si="4"/>
        <v>32.5</v>
      </c>
      <c r="U22" s="14">
        <f t="shared" si="5"/>
        <v>32.5</v>
      </c>
      <c r="V22" s="14">
        <v>8.6</v>
      </c>
      <c r="W22" s="14">
        <v>11.2</v>
      </c>
      <c r="X22" s="14">
        <v>8.6</v>
      </c>
      <c r="Y22" s="14">
        <v>4.5999999999999996</v>
      </c>
      <c r="Z22" s="14">
        <v>0.6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/>
      <c r="AG22" s="14"/>
      <c r="AH22" s="15"/>
      <c r="AI22" s="17"/>
      <c r="AJ22" s="14"/>
      <c r="AK22" s="14"/>
      <c r="AL22" s="14"/>
      <c r="AM22" s="17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20" t="s">
        <v>44</v>
      </c>
      <c r="B23" s="1" t="s">
        <v>42</v>
      </c>
      <c r="C23" s="1"/>
      <c r="D23" s="1"/>
      <c r="E23" s="19">
        <f>0+E6+E21</f>
        <v>215</v>
      </c>
      <c r="F23" s="19">
        <f>0+F6+F21</f>
        <v>533</v>
      </c>
      <c r="G23" s="7">
        <v>0.24</v>
      </c>
      <c r="H23" s="1">
        <v>180</v>
      </c>
      <c r="I23" s="1" t="s">
        <v>74</v>
      </c>
      <c r="J23" s="1"/>
      <c r="K23" s="1"/>
      <c r="L23" s="1">
        <f t="shared" si="2"/>
        <v>215</v>
      </c>
      <c r="M23" s="1"/>
      <c r="N23" s="1"/>
      <c r="O23" s="1"/>
      <c r="P23" s="1">
        <f t="shared" si="3"/>
        <v>43</v>
      </c>
      <c r="Q23" s="5">
        <v>112</v>
      </c>
      <c r="R23" s="5">
        <f>14*P23-F23+P23*$R$1</f>
        <v>262.5</v>
      </c>
      <c r="S23" s="5">
        <f t="shared" ref="S23:S33" si="7">AH23*AI23</f>
        <v>336</v>
      </c>
      <c r="T23" s="1">
        <f t="shared" si="4"/>
        <v>20.209302325581394</v>
      </c>
      <c r="U23" s="1">
        <f t="shared" si="5"/>
        <v>12.395348837209303</v>
      </c>
      <c r="V23" s="1">
        <v>57.6</v>
      </c>
      <c r="W23" s="1">
        <v>65.2</v>
      </c>
      <c r="X23" s="1">
        <v>75.2</v>
      </c>
      <c r="Y23" s="1">
        <v>83.4</v>
      </c>
      <c r="Z23" s="1">
        <v>109.4</v>
      </c>
      <c r="AA23" s="1">
        <v>92.6</v>
      </c>
      <c r="AB23" s="1">
        <v>97.2</v>
      </c>
      <c r="AC23" s="1">
        <v>92.4</v>
      </c>
      <c r="AD23" s="1">
        <v>87.4</v>
      </c>
      <c r="AE23" s="1">
        <v>83.6</v>
      </c>
      <c r="AF23" s="1"/>
      <c r="AG23" s="1">
        <f t="shared" ref="AG23:AG33" si="8">G23*R23</f>
        <v>63</v>
      </c>
      <c r="AH23" s="7">
        <v>12</v>
      </c>
      <c r="AI23" s="9">
        <f t="shared" ref="AI23:AI33" si="9">MROUND(R23, AH23*AK23)/AH23</f>
        <v>28</v>
      </c>
      <c r="AJ23" s="1">
        <f t="shared" ref="AJ23:AJ33" si="10">AI23*AH23*G23</f>
        <v>80.64</v>
      </c>
      <c r="AK23" s="1">
        <v>14</v>
      </c>
      <c r="AL23" s="1">
        <v>70</v>
      </c>
      <c r="AM23" s="9">
        <f t="shared" ref="AM23:AM33" si="11">AI23/AL23</f>
        <v>0.4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20" t="s">
        <v>73</v>
      </c>
      <c r="B24" s="1" t="s">
        <v>42</v>
      </c>
      <c r="C24" s="1"/>
      <c r="D24" s="1"/>
      <c r="E24" s="19">
        <f>0+E22</f>
        <v>24</v>
      </c>
      <c r="F24" s="19">
        <f>0+F22</f>
        <v>156</v>
      </c>
      <c r="G24" s="7">
        <v>0.48</v>
      </c>
      <c r="H24" s="1">
        <v>180</v>
      </c>
      <c r="I24" s="1" t="s">
        <v>75</v>
      </c>
      <c r="J24" s="1"/>
      <c r="K24" s="1"/>
      <c r="L24" s="1">
        <f t="shared" si="2"/>
        <v>24</v>
      </c>
      <c r="M24" s="1"/>
      <c r="N24" s="1"/>
      <c r="O24" s="1"/>
      <c r="P24" s="1">
        <f t="shared" si="3"/>
        <v>4.8</v>
      </c>
      <c r="Q24" s="5"/>
      <c r="R24" s="5"/>
      <c r="S24" s="5">
        <f t="shared" si="7"/>
        <v>0</v>
      </c>
      <c r="T24" s="1">
        <f t="shared" si="4"/>
        <v>32.5</v>
      </c>
      <c r="U24" s="1">
        <f t="shared" si="5"/>
        <v>32.5</v>
      </c>
      <c r="V24" s="1">
        <v>8.6</v>
      </c>
      <c r="W24" s="1">
        <v>11.2</v>
      </c>
      <c r="X24" s="1">
        <v>9.1999999999999993</v>
      </c>
      <c r="Y24" s="1">
        <v>15</v>
      </c>
      <c r="Z24" s="1">
        <v>21</v>
      </c>
      <c r="AA24" s="1">
        <v>23.2</v>
      </c>
      <c r="AB24" s="1">
        <v>15.4</v>
      </c>
      <c r="AC24" s="1">
        <v>11.4</v>
      </c>
      <c r="AD24" s="1">
        <v>16.399999999999999</v>
      </c>
      <c r="AE24" s="1">
        <v>14.2</v>
      </c>
      <c r="AF24" s="1"/>
      <c r="AG24" s="1">
        <f t="shared" si="8"/>
        <v>0</v>
      </c>
      <c r="AH24" s="7">
        <v>8</v>
      </c>
      <c r="AI24" s="9">
        <f t="shared" si="9"/>
        <v>0</v>
      </c>
      <c r="AJ24" s="1">
        <f t="shared" si="10"/>
        <v>0</v>
      </c>
      <c r="AK24" s="1">
        <v>14</v>
      </c>
      <c r="AL24" s="1">
        <v>70</v>
      </c>
      <c r="AM24" s="9">
        <f t="shared" si="11"/>
        <v>0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76</v>
      </c>
      <c r="B25" s="1" t="s">
        <v>42</v>
      </c>
      <c r="C25" s="1">
        <v>17</v>
      </c>
      <c r="D25" s="1">
        <v>67</v>
      </c>
      <c r="E25" s="1">
        <v>21</v>
      </c>
      <c r="F25" s="1">
        <v>15</v>
      </c>
      <c r="G25" s="7">
        <v>0.09</v>
      </c>
      <c r="H25" s="1">
        <v>180</v>
      </c>
      <c r="I25" s="1" t="s">
        <v>77</v>
      </c>
      <c r="J25" s="1"/>
      <c r="K25" s="1">
        <v>21</v>
      </c>
      <c r="L25" s="1">
        <f t="shared" si="2"/>
        <v>0</v>
      </c>
      <c r="M25" s="1"/>
      <c r="N25" s="1"/>
      <c r="O25" s="1"/>
      <c r="P25" s="1">
        <f t="shared" si="3"/>
        <v>4.2</v>
      </c>
      <c r="Q25" s="25">
        <v>0</v>
      </c>
      <c r="R25" s="25">
        <v>0</v>
      </c>
      <c r="S25" s="25">
        <f t="shared" si="7"/>
        <v>0</v>
      </c>
      <c r="T25" s="1">
        <f t="shared" si="4"/>
        <v>3.5714285714285712</v>
      </c>
      <c r="U25" s="1">
        <f t="shared" si="5"/>
        <v>3.5714285714285712</v>
      </c>
      <c r="V25" s="1">
        <v>0</v>
      </c>
      <c r="W25" s="1">
        <v>0</v>
      </c>
      <c r="X25" s="1">
        <v>7.2</v>
      </c>
      <c r="Y25" s="1">
        <v>15.2</v>
      </c>
      <c r="Z25" s="1">
        <v>34</v>
      </c>
      <c r="AA25" s="1">
        <v>38</v>
      </c>
      <c r="AB25" s="1">
        <v>41.6</v>
      </c>
      <c r="AC25" s="1">
        <v>40.6</v>
      </c>
      <c r="AD25" s="1">
        <v>37</v>
      </c>
      <c r="AE25" s="1">
        <v>32.799999999999997</v>
      </c>
      <c r="AF25" s="26" t="s">
        <v>185</v>
      </c>
      <c r="AG25" s="1">
        <f t="shared" si="8"/>
        <v>0</v>
      </c>
      <c r="AH25" s="7">
        <v>24</v>
      </c>
      <c r="AI25" s="9">
        <f t="shared" si="9"/>
        <v>0</v>
      </c>
      <c r="AJ25" s="1">
        <f t="shared" si="10"/>
        <v>0</v>
      </c>
      <c r="AK25" s="1">
        <v>14</v>
      </c>
      <c r="AL25" s="1">
        <v>126</v>
      </c>
      <c r="AM25" s="9">
        <f t="shared" si="11"/>
        <v>0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79</v>
      </c>
      <c r="B26" s="1" t="s">
        <v>42</v>
      </c>
      <c r="C26" s="1">
        <v>19</v>
      </c>
      <c r="D26" s="1"/>
      <c r="E26" s="1">
        <v>6</v>
      </c>
      <c r="F26" s="1">
        <v>13</v>
      </c>
      <c r="G26" s="7">
        <v>0.36</v>
      </c>
      <c r="H26" s="1">
        <v>180</v>
      </c>
      <c r="I26" s="1" t="s">
        <v>80</v>
      </c>
      <c r="J26" s="1"/>
      <c r="K26" s="1">
        <v>6</v>
      </c>
      <c r="L26" s="1">
        <f t="shared" si="2"/>
        <v>0</v>
      </c>
      <c r="M26" s="1"/>
      <c r="N26" s="1"/>
      <c r="O26" s="1"/>
      <c r="P26" s="1">
        <f t="shared" si="3"/>
        <v>1.2</v>
      </c>
      <c r="Q26" s="23">
        <v>0</v>
      </c>
      <c r="R26" s="23">
        <v>0</v>
      </c>
      <c r="S26" s="23">
        <f t="shared" si="7"/>
        <v>0</v>
      </c>
      <c r="T26" s="1">
        <f t="shared" si="4"/>
        <v>10.833333333333334</v>
      </c>
      <c r="U26" s="1">
        <f t="shared" si="5"/>
        <v>10.833333333333334</v>
      </c>
      <c r="V26" s="1">
        <v>0.4</v>
      </c>
      <c r="W26" s="1">
        <v>2.8</v>
      </c>
      <c r="X26" s="1">
        <v>3.4</v>
      </c>
      <c r="Y26" s="1">
        <v>9.8000000000000007</v>
      </c>
      <c r="Z26" s="1">
        <v>13</v>
      </c>
      <c r="AA26" s="1">
        <v>20.8</v>
      </c>
      <c r="AB26" s="1">
        <v>23.8</v>
      </c>
      <c r="AC26" s="1">
        <v>15.8</v>
      </c>
      <c r="AD26" s="1">
        <v>18.399999999999999</v>
      </c>
      <c r="AE26" s="1">
        <v>9.8000000000000007</v>
      </c>
      <c r="AF26" s="24" t="s">
        <v>81</v>
      </c>
      <c r="AG26" s="1">
        <f t="shared" si="8"/>
        <v>0</v>
      </c>
      <c r="AH26" s="7">
        <v>10</v>
      </c>
      <c r="AI26" s="9">
        <f t="shared" si="9"/>
        <v>0</v>
      </c>
      <c r="AJ26" s="1">
        <f t="shared" si="10"/>
        <v>0</v>
      </c>
      <c r="AK26" s="1">
        <v>14</v>
      </c>
      <c r="AL26" s="1">
        <v>70</v>
      </c>
      <c r="AM26" s="9">
        <f t="shared" si="11"/>
        <v>0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82</v>
      </c>
      <c r="B27" s="1" t="s">
        <v>42</v>
      </c>
      <c r="C27" s="1">
        <v>35</v>
      </c>
      <c r="D27" s="1"/>
      <c r="E27" s="1">
        <v>6</v>
      </c>
      <c r="F27" s="1">
        <v>29</v>
      </c>
      <c r="G27" s="7">
        <v>0.2</v>
      </c>
      <c r="H27" s="1">
        <v>180</v>
      </c>
      <c r="I27" s="1" t="s">
        <v>83</v>
      </c>
      <c r="J27" s="1"/>
      <c r="K27" s="1">
        <v>6</v>
      </c>
      <c r="L27" s="1">
        <f t="shared" si="2"/>
        <v>0</v>
      </c>
      <c r="M27" s="1"/>
      <c r="N27" s="1"/>
      <c r="O27" s="1"/>
      <c r="P27" s="1">
        <f t="shared" si="3"/>
        <v>1.2</v>
      </c>
      <c r="Q27" s="5"/>
      <c r="R27" s="5"/>
      <c r="S27" s="5">
        <f t="shared" si="7"/>
        <v>0</v>
      </c>
      <c r="T27" s="1">
        <f t="shared" si="4"/>
        <v>24.166666666666668</v>
      </c>
      <c r="U27" s="1">
        <f t="shared" si="5"/>
        <v>24.166666666666668</v>
      </c>
      <c r="V27" s="1">
        <v>1.6</v>
      </c>
      <c r="W27" s="1">
        <v>1</v>
      </c>
      <c r="X27" s="1">
        <v>1</v>
      </c>
      <c r="Y27" s="1">
        <v>7.6</v>
      </c>
      <c r="Z27" s="1">
        <v>11.4</v>
      </c>
      <c r="AA27" s="1">
        <v>9.6</v>
      </c>
      <c r="AB27" s="1">
        <v>11.6</v>
      </c>
      <c r="AC27" s="1">
        <v>9.8000000000000007</v>
      </c>
      <c r="AD27" s="1">
        <v>7.4</v>
      </c>
      <c r="AE27" s="1">
        <v>4.8</v>
      </c>
      <c r="AF27" s="21" t="s">
        <v>84</v>
      </c>
      <c r="AG27" s="1">
        <f t="shared" si="8"/>
        <v>0</v>
      </c>
      <c r="AH27" s="7">
        <v>12</v>
      </c>
      <c r="AI27" s="9">
        <f t="shared" si="9"/>
        <v>0</v>
      </c>
      <c r="AJ27" s="1">
        <f t="shared" si="10"/>
        <v>0</v>
      </c>
      <c r="AK27" s="1">
        <v>14</v>
      </c>
      <c r="AL27" s="1">
        <v>70</v>
      </c>
      <c r="AM27" s="9">
        <f t="shared" si="11"/>
        <v>0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3" t="s">
        <v>85</v>
      </c>
      <c r="B28" s="1" t="s">
        <v>42</v>
      </c>
      <c r="C28" s="1">
        <v>24</v>
      </c>
      <c r="D28" s="1">
        <v>7</v>
      </c>
      <c r="E28" s="1"/>
      <c r="F28" s="19">
        <f>0+F62</f>
        <v>168</v>
      </c>
      <c r="G28" s="7">
        <v>0.2</v>
      </c>
      <c r="H28" s="1">
        <v>180</v>
      </c>
      <c r="I28" s="1" t="s">
        <v>86</v>
      </c>
      <c r="J28" s="1"/>
      <c r="K28" s="1">
        <v>22</v>
      </c>
      <c r="L28" s="1">
        <f t="shared" si="2"/>
        <v>-22</v>
      </c>
      <c r="M28" s="1"/>
      <c r="N28" s="1"/>
      <c r="O28" s="1"/>
      <c r="P28" s="1">
        <f t="shared" si="3"/>
        <v>0</v>
      </c>
      <c r="Q28" s="5"/>
      <c r="R28" s="5"/>
      <c r="S28" s="5">
        <f t="shared" si="7"/>
        <v>0</v>
      </c>
      <c r="T28" s="1" t="e">
        <f t="shared" si="4"/>
        <v>#DIV/0!</v>
      </c>
      <c r="U28" s="1" t="e">
        <f t="shared" si="5"/>
        <v>#DIV/0!</v>
      </c>
      <c r="V28" s="1">
        <v>16</v>
      </c>
      <c r="W28" s="1">
        <v>23</v>
      </c>
      <c r="X28" s="1">
        <v>21.8</v>
      </c>
      <c r="Y28" s="1">
        <v>42</v>
      </c>
      <c r="Z28" s="1">
        <v>68</v>
      </c>
      <c r="AA28" s="1">
        <v>81.599999999999994</v>
      </c>
      <c r="AB28" s="1">
        <v>57.4</v>
      </c>
      <c r="AC28" s="1">
        <v>32.4</v>
      </c>
      <c r="AD28" s="1">
        <v>52</v>
      </c>
      <c r="AE28" s="1">
        <v>53.2</v>
      </c>
      <c r="AF28" s="22" t="s">
        <v>78</v>
      </c>
      <c r="AG28" s="1">
        <f t="shared" si="8"/>
        <v>0</v>
      </c>
      <c r="AH28" s="7">
        <v>12</v>
      </c>
      <c r="AI28" s="9">
        <f t="shared" si="9"/>
        <v>0</v>
      </c>
      <c r="AJ28" s="1">
        <f t="shared" si="10"/>
        <v>0</v>
      </c>
      <c r="AK28" s="1">
        <v>14</v>
      </c>
      <c r="AL28" s="1">
        <v>70</v>
      </c>
      <c r="AM28" s="9">
        <f t="shared" si="11"/>
        <v>0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54</v>
      </c>
      <c r="B29" s="1" t="s">
        <v>42</v>
      </c>
      <c r="C29" s="1">
        <v>43</v>
      </c>
      <c r="D29" s="1">
        <v>24</v>
      </c>
      <c r="E29" s="19">
        <f>3+E11</f>
        <v>57</v>
      </c>
      <c r="F29" s="19">
        <f>0+F11</f>
        <v>459</v>
      </c>
      <c r="G29" s="7">
        <v>0.2</v>
      </c>
      <c r="H29" s="1">
        <v>180</v>
      </c>
      <c r="I29" s="1" t="s">
        <v>87</v>
      </c>
      <c r="J29" s="1"/>
      <c r="K29" s="1">
        <v>3</v>
      </c>
      <c r="L29" s="1">
        <f t="shared" si="2"/>
        <v>54</v>
      </c>
      <c r="M29" s="1"/>
      <c r="N29" s="1"/>
      <c r="O29" s="1"/>
      <c r="P29" s="1">
        <f t="shared" si="3"/>
        <v>11.4</v>
      </c>
      <c r="Q29" s="5"/>
      <c r="R29" s="5"/>
      <c r="S29" s="5">
        <f t="shared" si="7"/>
        <v>0</v>
      </c>
      <c r="T29" s="1">
        <f t="shared" si="4"/>
        <v>40.263157894736842</v>
      </c>
      <c r="U29" s="1">
        <f t="shared" si="5"/>
        <v>40.263157894736842</v>
      </c>
      <c r="V29" s="1">
        <v>6.6</v>
      </c>
      <c r="W29" s="1">
        <v>9.4</v>
      </c>
      <c r="X29" s="1">
        <v>17.600000000000001</v>
      </c>
      <c r="Y29" s="1">
        <v>51.2</v>
      </c>
      <c r="Z29" s="1">
        <v>40.4</v>
      </c>
      <c r="AA29" s="1">
        <v>37</v>
      </c>
      <c r="AB29" s="1">
        <v>44.8</v>
      </c>
      <c r="AC29" s="1">
        <v>43</v>
      </c>
      <c r="AD29" s="1">
        <v>30.6</v>
      </c>
      <c r="AE29" s="1">
        <v>42.2</v>
      </c>
      <c r="AF29" s="22" t="s">
        <v>78</v>
      </c>
      <c r="AG29" s="1">
        <f t="shared" si="8"/>
        <v>0</v>
      </c>
      <c r="AH29" s="7">
        <v>12</v>
      </c>
      <c r="AI29" s="9">
        <f t="shared" si="9"/>
        <v>0</v>
      </c>
      <c r="AJ29" s="1">
        <f t="shared" si="10"/>
        <v>0</v>
      </c>
      <c r="AK29" s="1">
        <v>14</v>
      </c>
      <c r="AL29" s="1">
        <v>70</v>
      </c>
      <c r="AM29" s="9">
        <f t="shared" si="11"/>
        <v>0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88</v>
      </c>
      <c r="B30" s="1" t="s">
        <v>89</v>
      </c>
      <c r="C30" s="1">
        <v>40.700000000000003</v>
      </c>
      <c r="D30" s="1">
        <v>51.8</v>
      </c>
      <c r="E30" s="1">
        <v>14.8</v>
      </c>
      <c r="F30" s="1">
        <v>77.7</v>
      </c>
      <c r="G30" s="7">
        <v>1</v>
      </c>
      <c r="H30" s="1">
        <v>180</v>
      </c>
      <c r="I30" s="1" t="s">
        <v>90</v>
      </c>
      <c r="J30" s="1"/>
      <c r="K30" s="1">
        <v>17.399999999999999</v>
      </c>
      <c r="L30" s="1">
        <f t="shared" si="2"/>
        <v>-2.5999999999999979</v>
      </c>
      <c r="M30" s="1"/>
      <c r="N30" s="1"/>
      <c r="O30" s="1"/>
      <c r="P30" s="1">
        <f t="shared" si="3"/>
        <v>2.96</v>
      </c>
      <c r="Q30" s="5"/>
      <c r="R30" s="5"/>
      <c r="S30" s="5">
        <f t="shared" si="7"/>
        <v>0</v>
      </c>
      <c r="T30" s="1">
        <f t="shared" si="4"/>
        <v>26.25</v>
      </c>
      <c r="U30" s="1">
        <f t="shared" si="5"/>
        <v>26.25</v>
      </c>
      <c r="V30" s="1">
        <v>1.48</v>
      </c>
      <c r="W30" s="1">
        <v>4.5</v>
      </c>
      <c r="X30" s="1">
        <v>7.4600000000000009</v>
      </c>
      <c r="Y30" s="1">
        <v>8.5599999999999987</v>
      </c>
      <c r="Z30" s="1">
        <v>15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22" t="s">
        <v>78</v>
      </c>
      <c r="AG30" s="1">
        <f t="shared" si="8"/>
        <v>0</v>
      </c>
      <c r="AH30" s="7">
        <v>3.7</v>
      </c>
      <c r="AI30" s="9">
        <f t="shared" si="9"/>
        <v>0</v>
      </c>
      <c r="AJ30" s="1">
        <f t="shared" si="10"/>
        <v>0</v>
      </c>
      <c r="AK30" s="1">
        <v>14</v>
      </c>
      <c r="AL30" s="1">
        <v>126</v>
      </c>
      <c r="AM30" s="9">
        <f t="shared" si="11"/>
        <v>0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91</v>
      </c>
      <c r="B31" s="1" t="s">
        <v>89</v>
      </c>
      <c r="C31" s="1">
        <v>60</v>
      </c>
      <c r="D31" s="1"/>
      <c r="E31" s="1">
        <v>21</v>
      </c>
      <c r="F31" s="1">
        <v>36</v>
      </c>
      <c r="G31" s="7">
        <v>1</v>
      </c>
      <c r="H31" s="1">
        <v>180</v>
      </c>
      <c r="I31" s="1" t="s">
        <v>92</v>
      </c>
      <c r="J31" s="1"/>
      <c r="K31" s="1">
        <v>21</v>
      </c>
      <c r="L31" s="1">
        <f t="shared" si="2"/>
        <v>0</v>
      </c>
      <c r="M31" s="1"/>
      <c r="N31" s="1"/>
      <c r="O31" s="1"/>
      <c r="P31" s="1">
        <f t="shared" si="3"/>
        <v>4.2</v>
      </c>
      <c r="Q31" s="5">
        <v>22.800000000000004</v>
      </c>
      <c r="R31" s="5">
        <f t="shared" ref="R31:R33" si="12">14*P31-F31+P31*$R$1</f>
        <v>41.7</v>
      </c>
      <c r="S31" s="5">
        <f t="shared" si="7"/>
        <v>42</v>
      </c>
      <c r="T31" s="1">
        <f t="shared" si="4"/>
        <v>18.571428571428569</v>
      </c>
      <c r="U31" s="1">
        <f t="shared" si="5"/>
        <v>8.5714285714285712</v>
      </c>
      <c r="V31" s="1">
        <v>3</v>
      </c>
      <c r="W31" s="1">
        <v>4.2</v>
      </c>
      <c r="X31" s="1">
        <v>4.74</v>
      </c>
      <c r="Y31" s="1">
        <v>7.8</v>
      </c>
      <c r="Z31" s="1">
        <v>8.4</v>
      </c>
      <c r="AA31" s="1">
        <v>10.199999999999999</v>
      </c>
      <c r="AB31" s="1">
        <v>10.199999999999999</v>
      </c>
      <c r="AC31" s="1">
        <v>7.8</v>
      </c>
      <c r="AD31" s="1">
        <v>6</v>
      </c>
      <c r="AE31" s="1">
        <v>6</v>
      </c>
      <c r="AF31" s="1"/>
      <c r="AG31" s="1">
        <f t="shared" si="8"/>
        <v>41.7</v>
      </c>
      <c r="AH31" s="7">
        <v>3</v>
      </c>
      <c r="AI31" s="9">
        <f t="shared" si="9"/>
        <v>14</v>
      </c>
      <c r="AJ31" s="1">
        <f t="shared" si="10"/>
        <v>42</v>
      </c>
      <c r="AK31" s="1">
        <v>14</v>
      </c>
      <c r="AL31" s="1">
        <v>126</v>
      </c>
      <c r="AM31" s="9">
        <f t="shared" si="11"/>
        <v>0.1111111111111111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46</v>
      </c>
      <c r="B32" s="1" t="s">
        <v>42</v>
      </c>
      <c r="C32" s="1">
        <v>276</v>
      </c>
      <c r="D32" s="1">
        <v>270</v>
      </c>
      <c r="E32" s="19">
        <f>154+E7</f>
        <v>179</v>
      </c>
      <c r="F32" s="19">
        <f>319+F7</f>
        <v>343</v>
      </c>
      <c r="G32" s="7">
        <v>0.25</v>
      </c>
      <c r="H32" s="1">
        <v>365</v>
      </c>
      <c r="I32" s="1" t="s">
        <v>93</v>
      </c>
      <c r="J32" s="1"/>
      <c r="K32" s="1">
        <v>172</v>
      </c>
      <c r="L32" s="1">
        <f t="shared" si="2"/>
        <v>7</v>
      </c>
      <c r="M32" s="1"/>
      <c r="N32" s="1"/>
      <c r="O32" s="1"/>
      <c r="P32" s="1">
        <f t="shared" si="3"/>
        <v>35.799999999999997</v>
      </c>
      <c r="Q32" s="5">
        <v>158.19999999999993</v>
      </c>
      <c r="R32" s="5">
        <f t="shared" si="12"/>
        <v>319.29999999999995</v>
      </c>
      <c r="S32" s="5">
        <f t="shared" si="7"/>
        <v>336</v>
      </c>
      <c r="T32" s="1">
        <f t="shared" si="4"/>
        <v>18.966480446927378</v>
      </c>
      <c r="U32" s="1">
        <f t="shared" si="5"/>
        <v>9.5810055865921804</v>
      </c>
      <c r="V32" s="1">
        <v>38.6</v>
      </c>
      <c r="W32" s="1">
        <v>43.2</v>
      </c>
      <c r="X32" s="1">
        <v>74.400000000000006</v>
      </c>
      <c r="Y32" s="1">
        <v>92.4</v>
      </c>
      <c r="Z32" s="1">
        <v>106.4</v>
      </c>
      <c r="AA32" s="1">
        <v>113.8</v>
      </c>
      <c r="AB32" s="1">
        <v>94</v>
      </c>
      <c r="AC32" s="1">
        <v>77.8</v>
      </c>
      <c r="AD32" s="1">
        <v>119.2</v>
      </c>
      <c r="AE32" s="1">
        <v>90.6</v>
      </c>
      <c r="AF32" s="1"/>
      <c r="AG32" s="1">
        <f t="shared" si="8"/>
        <v>79.824999999999989</v>
      </c>
      <c r="AH32" s="7">
        <v>6</v>
      </c>
      <c r="AI32" s="9">
        <f t="shared" si="9"/>
        <v>56</v>
      </c>
      <c r="AJ32" s="1">
        <f t="shared" si="10"/>
        <v>84</v>
      </c>
      <c r="AK32" s="1">
        <v>14</v>
      </c>
      <c r="AL32" s="1">
        <v>140</v>
      </c>
      <c r="AM32" s="9">
        <f t="shared" si="11"/>
        <v>0.4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94</v>
      </c>
      <c r="B33" s="1" t="s">
        <v>42</v>
      </c>
      <c r="C33" s="1">
        <v>358</v>
      </c>
      <c r="D33" s="1"/>
      <c r="E33" s="1">
        <v>99</v>
      </c>
      <c r="F33" s="1">
        <v>257</v>
      </c>
      <c r="G33" s="7">
        <v>0.25</v>
      </c>
      <c r="H33" s="1">
        <v>365</v>
      </c>
      <c r="I33" s="1" t="s">
        <v>95</v>
      </c>
      <c r="J33" s="1"/>
      <c r="K33" s="1">
        <v>99</v>
      </c>
      <c r="L33" s="1">
        <f t="shared" si="2"/>
        <v>0</v>
      </c>
      <c r="M33" s="1"/>
      <c r="N33" s="1"/>
      <c r="O33" s="1"/>
      <c r="P33" s="1">
        <f t="shared" si="3"/>
        <v>19.8</v>
      </c>
      <c r="Q33" s="5">
        <v>59.800000000000011</v>
      </c>
      <c r="R33" s="5">
        <f t="shared" si="12"/>
        <v>109.3</v>
      </c>
      <c r="S33" s="5">
        <f t="shared" si="7"/>
        <v>84</v>
      </c>
      <c r="T33" s="1">
        <f t="shared" si="4"/>
        <v>17.222222222222221</v>
      </c>
      <c r="U33" s="1">
        <f t="shared" si="5"/>
        <v>12.979797979797979</v>
      </c>
      <c r="V33" s="1">
        <v>25.6</v>
      </c>
      <c r="W33" s="1">
        <v>26.8</v>
      </c>
      <c r="X33" s="1">
        <v>3.6</v>
      </c>
      <c r="Y33" s="1">
        <v>0.6</v>
      </c>
      <c r="Z33" s="1">
        <v>48.2</v>
      </c>
      <c r="AA33" s="1">
        <v>56.8</v>
      </c>
      <c r="AB33" s="1">
        <v>6</v>
      </c>
      <c r="AC33" s="1">
        <v>3.2</v>
      </c>
      <c r="AD33" s="1">
        <v>51</v>
      </c>
      <c r="AE33" s="1">
        <v>61.4</v>
      </c>
      <c r="AF33" s="1"/>
      <c r="AG33" s="1">
        <f t="shared" si="8"/>
        <v>27.324999999999999</v>
      </c>
      <c r="AH33" s="7">
        <v>6</v>
      </c>
      <c r="AI33" s="9">
        <f t="shared" si="9"/>
        <v>14</v>
      </c>
      <c r="AJ33" s="1">
        <f t="shared" si="10"/>
        <v>21</v>
      </c>
      <c r="AK33" s="1">
        <v>14</v>
      </c>
      <c r="AL33" s="1">
        <v>140</v>
      </c>
      <c r="AM33" s="9">
        <f t="shared" si="11"/>
        <v>0.1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4" t="s">
        <v>96</v>
      </c>
      <c r="B34" s="14" t="s">
        <v>89</v>
      </c>
      <c r="C34" s="14">
        <v>144</v>
      </c>
      <c r="D34" s="14"/>
      <c r="E34" s="19">
        <v>48</v>
      </c>
      <c r="F34" s="19">
        <v>90</v>
      </c>
      <c r="G34" s="15">
        <v>0</v>
      </c>
      <c r="H34" s="14"/>
      <c r="I34" s="14" t="s">
        <v>50</v>
      </c>
      <c r="J34" s="14" t="s">
        <v>97</v>
      </c>
      <c r="K34" s="14">
        <v>48</v>
      </c>
      <c r="L34" s="14">
        <f t="shared" si="2"/>
        <v>0</v>
      </c>
      <c r="M34" s="14"/>
      <c r="N34" s="14"/>
      <c r="O34" s="14"/>
      <c r="P34" s="14">
        <f t="shared" si="3"/>
        <v>9.6</v>
      </c>
      <c r="Q34" s="16"/>
      <c r="R34" s="16"/>
      <c r="S34" s="16"/>
      <c r="T34" s="14">
        <f t="shared" si="4"/>
        <v>9.375</v>
      </c>
      <c r="U34" s="14">
        <f t="shared" si="5"/>
        <v>9.375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14">
        <v>0</v>
      </c>
      <c r="AE34" s="14">
        <v>0</v>
      </c>
      <c r="AF34" s="14"/>
      <c r="AG34" s="14"/>
      <c r="AH34" s="15"/>
      <c r="AI34" s="17"/>
      <c r="AJ34" s="14"/>
      <c r="AK34" s="14"/>
      <c r="AL34" s="14"/>
      <c r="AM34" s="17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97</v>
      </c>
      <c r="B35" s="1" t="s">
        <v>89</v>
      </c>
      <c r="C35" s="1">
        <v>6</v>
      </c>
      <c r="D35" s="1">
        <v>6</v>
      </c>
      <c r="E35" s="19">
        <f>12+E34</f>
        <v>60</v>
      </c>
      <c r="F35" s="19">
        <f>0+F34</f>
        <v>90</v>
      </c>
      <c r="G35" s="7">
        <v>1</v>
      </c>
      <c r="H35" s="1">
        <v>180</v>
      </c>
      <c r="I35" s="1" t="s">
        <v>98</v>
      </c>
      <c r="J35" s="1"/>
      <c r="K35" s="1">
        <v>12</v>
      </c>
      <c r="L35" s="1">
        <f t="shared" si="2"/>
        <v>48</v>
      </c>
      <c r="M35" s="1"/>
      <c r="N35" s="1"/>
      <c r="O35" s="1"/>
      <c r="P35" s="1">
        <f t="shared" si="3"/>
        <v>12</v>
      </c>
      <c r="Q35" s="5">
        <v>78</v>
      </c>
      <c r="R35" s="5">
        <f>14*P35-F35+P35*$R$1</f>
        <v>132</v>
      </c>
      <c r="S35" s="5">
        <f t="shared" ref="S35:S59" si="13">AH35*AI35</f>
        <v>144</v>
      </c>
      <c r="T35" s="1">
        <f t="shared" si="4"/>
        <v>19.5</v>
      </c>
      <c r="U35" s="1">
        <f t="shared" si="5"/>
        <v>7.5</v>
      </c>
      <c r="V35" s="1">
        <v>14.4</v>
      </c>
      <c r="W35" s="1">
        <v>14.4</v>
      </c>
      <c r="X35" s="1">
        <v>16.8</v>
      </c>
      <c r="Y35" s="1">
        <v>26.4</v>
      </c>
      <c r="Z35" s="1">
        <v>26.4</v>
      </c>
      <c r="AA35" s="1">
        <v>14.4</v>
      </c>
      <c r="AB35" s="1">
        <v>22.8</v>
      </c>
      <c r="AC35" s="1">
        <v>19.2</v>
      </c>
      <c r="AD35" s="1">
        <v>13.2</v>
      </c>
      <c r="AE35" s="1">
        <v>8.4</v>
      </c>
      <c r="AF35" s="1"/>
      <c r="AG35" s="1">
        <f t="shared" ref="AG35:AG59" si="14">G35*R35</f>
        <v>132</v>
      </c>
      <c r="AH35" s="7">
        <v>6</v>
      </c>
      <c r="AI35" s="9">
        <f t="shared" ref="AI35:AI59" si="15">MROUND(R35, AH35*AK35)/AH35</f>
        <v>24</v>
      </c>
      <c r="AJ35" s="1">
        <f t="shared" ref="AJ35:AJ59" si="16">AI35*AH35*G35</f>
        <v>144</v>
      </c>
      <c r="AK35" s="1">
        <v>12</v>
      </c>
      <c r="AL35" s="1">
        <v>84</v>
      </c>
      <c r="AM35" s="9">
        <f t="shared" ref="AM35:AM59" si="17">AI35/AL35</f>
        <v>0.2857142857142857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99</v>
      </c>
      <c r="B36" s="1" t="s">
        <v>42</v>
      </c>
      <c r="C36" s="1">
        <v>189</v>
      </c>
      <c r="D36" s="1">
        <v>96</v>
      </c>
      <c r="E36" s="1">
        <v>31</v>
      </c>
      <c r="F36" s="1">
        <v>152</v>
      </c>
      <c r="G36" s="7">
        <v>0.23</v>
      </c>
      <c r="H36" s="1">
        <v>180</v>
      </c>
      <c r="I36" s="1" t="s">
        <v>100</v>
      </c>
      <c r="J36" s="1"/>
      <c r="K36" s="1">
        <v>31</v>
      </c>
      <c r="L36" s="1">
        <f t="shared" si="2"/>
        <v>0</v>
      </c>
      <c r="M36" s="1"/>
      <c r="N36" s="1"/>
      <c r="O36" s="1"/>
      <c r="P36" s="1">
        <f t="shared" si="3"/>
        <v>6.2</v>
      </c>
      <c r="Q36" s="5"/>
      <c r="R36" s="5"/>
      <c r="S36" s="5">
        <f t="shared" si="13"/>
        <v>0</v>
      </c>
      <c r="T36" s="1">
        <f t="shared" si="4"/>
        <v>24.516129032258064</v>
      </c>
      <c r="U36" s="1">
        <f t="shared" si="5"/>
        <v>24.516129032258064</v>
      </c>
      <c r="V36" s="1">
        <v>9.1999999999999993</v>
      </c>
      <c r="W36" s="1">
        <v>10.199999999999999</v>
      </c>
      <c r="X36" s="1">
        <v>6.8</v>
      </c>
      <c r="Y36" s="1">
        <v>20.399999999999999</v>
      </c>
      <c r="Z36" s="1">
        <v>17.8</v>
      </c>
      <c r="AA36" s="1">
        <v>27</v>
      </c>
      <c r="AB36" s="1">
        <v>10.4</v>
      </c>
      <c r="AC36" s="1">
        <v>7</v>
      </c>
      <c r="AD36" s="1">
        <v>8.6</v>
      </c>
      <c r="AE36" s="1">
        <v>8.8000000000000007</v>
      </c>
      <c r="AF36" s="21" t="s">
        <v>84</v>
      </c>
      <c r="AG36" s="1">
        <f t="shared" si="14"/>
        <v>0</v>
      </c>
      <c r="AH36" s="7">
        <v>12</v>
      </c>
      <c r="AI36" s="9">
        <f t="shared" si="15"/>
        <v>0</v>
      </c>
      <c r="AJ36" s="1">
        <f t="shared" si="16"/>
        <v>0</v>
      </c>
      <c r="AK36" s="1">
        <v>14</v>
      </c>
      <c r="AL36" s="1">
        <v>70</v>
      </c>
      <c r="AM36" s="9">
        <f t="shared" si="17"/>
        <v>0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101</v>
      </c>
      <c r="B37" s="1" t="s">
        <v>42</v>
      </c>
      <c r="C37" s="1">
        <v>238</v>
      </c>
      <c r="D37" s="1">
        <v>544</v>
      </c>
      <c r="E37" s="1">
        <v>193</v>
      </c>
      <c r="F37" s="1">
        <v>538</v>
      </c>
      <c r="G37" s="7">
        <v>0.25</v>
      </c>
      <c r="H37" s="1">
        <v>365</v>
      </c>
      <c r="I37" s="1" t="s">
        <v>102</v>
      </c>
      <c r="J37" s="1"/>
      <c r="K37" s="1">
        <v>193</v>
      </c>
      <c r="L37" s="1">
        <f t="shared" si="2"/>
        <v>0</v>
      </c>
      <c r="M37" s="1"/>
      <c r="N37" s="1"/>
      <c r="O37" s="1"/>
      <c r="P37" s="1">
        <f t="shared" si="3"/>
        <v>38.6</v>
      </c>
      <c r="Q37" s="5"/>
      <c r="R37" s="5">
        <f t="shared" ref="R37:R38" si="18">14*P37-F37+P37*$R$1</f>
        <v>176.1</v>
      </c>
      <c r="S37" s="5">
        <f t="shared" si="13"/>
        <v>168</v>
      </c>
      <c r="T37" s="1">
        <f t="shared" si="4"/>
        <v>18.290155440414509</v>
      </c>
      <c r="U37" s="1">
        <f t="shared" si="5"/>
        <v>13.937823834196891</v>
      </c>
      <c r="V37" s="1">
        <v>45.4</v>
      </c>
      <c r="W37" s="1">
        <v>53.6</v>
      </c>
      <c r="X37" s="1">
        <v>50.6</v>
      </c>
      <c r="Y37" s="1">
        <v>74</v>
      </c>
      <c r="Z37" s="1">
        <v>80.400000000000006</v>
      </c>
      <c r="AA37" s="1">
        <v>99.8</v>
      </c>
      <c r="AB37" s="1">
        <v>77.2</v>
      </c>
      <c r="AC37" s="1">
        <v>59.6</v>
      </c>
      <c r="AD37" s="1">
        <v>80.599999999999994</v>
      </c>
      <c r="AE37" s="1">
        <v>53.4</v>
      </c>
      <c r="AF37" s="1"/>
      <c r="AG37" s="1">
        <f t="shared" si="14"/>
        <v>44.024999999999999</v>
      </c>
      <c r="AH37" s="7">
        <v>12</v>
      </c>
      <c r="AI37" s="9">
        <f t="shared" si="15"/>
        <v>14</v>
      </c>
      <c r="AJ37" s="1">
        <f t="shared" si="16"/>
        <v>42</v>
      </c>
      <c r="AK37" s="1">
        <v>14</v>
      </c>
      <c r="AL37" s="1">
        <v>70</v>
      </c>
      <c r="AM37" s="9">
        <f t="shared" si="17"/>
        <v>0.2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103</v>
      </c>
      <c r="B38" s="1" t="s">
        <v>42</v>
      </c>
      <c r="C38" s="1">
        <v>379</v>
      </c>
      <c r="D38" s="1">
        <v>194</v>
      </c>
      <c r="E38" s="1">
        <v>213</v>
      </c>
      <c r="F38" s="1">
        <v>349</v>
      </c>
      <c r="G38" s="7">
        <v>0.25</v>
      </c>
      <c r="H38" s="1">
        <v>365</v>
      </c>
      <c r="I38" s="1" t="s">
        <v>104</v>
      </c>
      <c r="J38" s="1"/>
      <c r="K38" s="1">
        <v>213</v>
      </c>
      <c r="L38" s="1">
        <f t="shared" ref="L38:L69" si="19">E38-K38</f>
        <v>0</v>
      </c>
      <c r="M38" s="1"/>
      <c r="N38" s="1"/>
      <c r="O38" s="1"/>
      <c r="P38" s="1">
        <f t="shared" ref="P38:P69" si="20">E38/5</f>
        <v>42.6</v>
      </c>
      <c r="Q38" s="5">
        <v>247.39999999999998</v>
      </c>
      <c r="R38" s="5">
        <f t="shared" si="18"/>
        <v>439.1</v>
      </c>
      <c r="S38" s="5">
        <f t="shared" si="13"/>
        <v>504</v>
      </c>
      <c r="T38" s="1">
        <f t="shared" ref="T38:T69" si="21">(F38+S38)/P38</f>
        <v>20.023474178403756</v>
      </c>
      <c r="U38" s="1">
        <f t="shared" ref="U38:U69" si="22">F38/P38</f>
        <v>8.192488262910798</v>
      </c>
      <c r="V38" s="1">
        <v>44.2</v>
      </c>
      <c r="W38" s="1">
        <v>42.4</v>
      </c>
      <c r="X38" s="1">
        <v>14.4</v>
      </c>
      <c r="Y38" s="1">
        <v>74</v>
      </c>
      <c r="Z38" s="1">
        <v>75</v>
      </c>
      <c r="AA38" s="1">
        <v>74.8</v>
      </c>
      <c r="AB38" s="1">
        <v>55</v>
      </c>
      <c r="AC38" s="1">
        <v>47</v>
      </c>
      <c r="AD38" s="1">
        <v>61.8</v>
      </c>
      <c r="AE38" s="1">
        <v>47.8</v>
      </c>
      <c r="AF38" s="1"/>
      <c r="AG38" s="1">
        <f t="shared" si="14"/>
        <v>109.77500000000001</v>
      </c>
      <c r="AH38" s="7">
        <v>12</v>
      </c>
      <c r="AI38" s="9">
        <f t="shared" si="15"/>
        <v>42</v>
      </c>
      <c r="AJ38" s="1">
        <f t="shared" si="16"/>
        <v>126</v>
      </c>
      <c r="AK38" s="1">
        <v>14</v>
      </c>
      <c r="AL38" s="1">
        <v>70</v>
      </c>
      <c r="AM38" s="9">
        <f t="shared" si="17"/>
        <v>0.6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105</v>
      </c>
      <c r="B39" s="1" t="s">
        <v>42</v>
      </c>
      <c r="C39" s="1">
        <v>278</v>
      </c>
      <c r="D39" s="1">
        <v>276</v>
      </c>
      <c r="E39" s="1">
        <v>68</v>
      </c>
      <c r="F39" s="1">
        <v>198</v>
      </c>
      <c r="G39" s="7">
        <v>0.25</v>
      </c>
      <c r="H39" s="1">
        <v>180</v>
      </c>
      <c r="I39" s="1" t="s">
        <v>106</v>
      </c>
      <c r="J39" s="1"/>
      <c r="K39" s="1">
        <v>68</v>
      </c>
      <c r="L39" s="1">
        <f t="shared" si="19"/>
        <v>0</v>
      </c>
      <c r="M39" s="1"/>
      <c r="N39" s="1"/>
      <c r="O39" s="1"/>
      <c r="P39" s="1">
        <f t="shared" si="20"/>
        <v>13.6</v>
      </c>
      <c r="Q39" s="5"/>
      <c r="R39" s="5"/>
      <c r="S39" s="5">
        <f t="shared" si="13"/>
        <v>0</v>
      </c>
      <c r="T39" s="1">
        <f t="shared" si="21"/>
        <v>14.558823529411764</v>
      </c>
      <c r="U39" s="1">
        <f t="shared" si="22"/>
        <v>14.558823529411764</v>
      </c>
      <c r="V39" s="1">
        <v>20.399999999999999</v>
      </c>
      <c r="W39" s="1">
        <v>18.399999999999999</v>
      </c>
      <c r="X39" s="1">
        <v>10.6</v>
      </c>
      <c r="Y39" s="1">
        <v>43</v>
      </c>
      <c r="Z39" s="1">
        <v>46.4</v>
      </c>
      <c r="AA39" s="1">
        <v>60.8</v>
      </c>
      <c r="AB39" s="1">
        <v>38.799999999999997</v>
      </c>
      <c r="AC39" s="1">
        <v>31.2</v>
      </c>
      <c r="AD39" s="1">
        <v>44.6</v>
      </c>
      <c r="AE39" s="1">
        <v>29</v>
      </c>
      <c r="AF39" s="1"/>
      <c r="AG39" s="1">
        <f t="shared" si="14"/>
        <v>0</v>
      </c>
      <c r="AH39" s="7">
        <v>12</v>
      </c>
      <c r="AI39" s="9">
        <f t="shared" si="15"/>
        <v>0</v>
      </c>
      <c r="AJ39" s="1">
        <f t="shared" si="16"/>
        <v>0</v>
      </c>
      <c r="AK39" s="1">
        <v>14</v>
      </c>
      <c r="AL39" s="1">
        <v>70</v>
      </c>
      <c r="AM39" s="9">
        <f t="shared" si="17"/>
        <v>0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56</v>
      </c>
      <c r="B40" s="1" t="s">
        <v>42</v>
      </c>
      <c r="C40" s="1">
        <v>-32</v>
      </c>
      <c r="D40" s="1">
        <v>32</v>
      </c>
      <c r="E40" s="19">
        <f>0+E12</f>
        <v>33</v>
      </c>
      <c r="F40" s="19">
        <f>0+F12</f>
        <v>213</v>
      </c>
      <c r="G40" s="7">
        <v>0.25</v>
      </c>
      <c r="H40" s="1">
        <v>180</v>
      </c>
      <c r="I40" s="1" t="s">
        <v>107</v>
      </c>
      <c r="J40" s="1"/>
      <c r="K40" s="1"/>
      <c r="L40" s="1">
        <f t="shared" si="19"/>
        <v>33</v>
      </c>
      <c r="M40" s="1"/>
      <c r="N40" s="1"/>
      <c r="O40" s="1"/>
      <c r="P40" s="1">
        <f t="shared" si="20"/>
        <v>6.6</v>
      </c>
      <c r="Q40" s="5"/>
      <c r="R40" s="5"/>
      <c r="S40" s="5">
        <f t="shared" si="13"/>
        <v>0</v>
      </c>
      <c r="T40" s="1">
        <f t="shared" si="21"/>
        <v>32.272727272727273</v>
      </c>
      <c r="U40" s="1">
        <f t="shared" si="22"/>
        <v>32.272727272727273</v>
      </c>
      <c r="V40" s="1">
        <v>8.1999999999999993</v>
      </c>
      <c r="W40" s="1">
        <v>8</v>
      </c>
      <c r="X40" s="1">
        <v>11</v>
      </c>
      <c r="Y40" s="1">
        <v>26.2</v>
      </c>
      <c r="Z40" s="1">
        <v>30.6</v>
      </c>
      <c r="AA40" s="1">
        <v>22.8</v>
      </c>
      <c r="AB40" s="1">
        <v>25</v>
      </c>
      <c r="AC40" s="1">
        <v>23</v>
      </c>
      <c r="AD40" s="1">
        <v>41</v>
      </c>
      <c r="AE40" s="1">
        <v>20.6</v>
      </c>
      <c r="AF40" s="22" t="s">
        <v>78</v>
      </c>
      <c r="AG40" s="1">
        <f t="shared" si="14"/>
        <v>0</v>
      </c>
      <c r="AH40" s="7">
        <v>12</v>
      </c>
      <c r="AI40" s="9">
        <f t="shared" si="15"/>
        <v>0</v>
      </c>
      <c r="AJ40" s="1">
        <f t="shared" si="16"/>
        <v>0</v>
      </c>
      <c r="AK40" s="1">
        <v>14</v>
      </c>
      <c r="AL40" s="1">
        <v>70</v>
      </c>
      <c r="AM40" s="9">
        <f t="shared" si="17"/>
        <v>0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108</v>
      </c>
      <c r="B41" s="1" t="s">
        <v>42</v>
      </c>
      <c r="C41" s="1">
        <v>60</v>
      </c>
      <c r="D41" s="1">
        <v>230</v>
      </c>
      <c r="E41" s="1">
        <v>46</v>
      </c>
      <c r="F41" s="1">
        <v>206</v>
      </c>
      <c r="G41" s="7">
        <v>0.7</v>
      </c>
      <c r="H41" s="1">
        <v>180</v>
      </c>
      <c r="I41" s="1" t="s">
        <v>109</v>
      </c>
      <c r="J41" s="1"/>
      <c r="K41" s="1">
        <v>51</v>
      </c>
      <c r="L41" s="1">
        <f t="shared" si="19"/>
        <v>-5</v>
      </c>
      <c r="M41" s="1"/>
      <c r="N41" s="1"/>
      <c r="O41" s="1"/>
      <c r="P41" s="1">
        <f t="shared" si="20"/>
        <v>9.1999999999999993</v>
      </c>
      <c r="Q41" s="5"/>
      <c r="R41" s="5"/>
      <c r="S41" s="5">
        <f t="shared" si="13"/>
        <v>0</v>
      </c>
      <c r="T41" s="1">
        <f t="shared" si="21"/>
        <v>22.39130434782609</v>
      </c>
      <c r="U41" s="1">
        <f t="shared" si="22"/>
        <v>22.39130434782609</v>
      </c>
      <c r="V41" s="1">
        <v>15.8</v>
      </c>
      <c r="W41" s="1">
        <v>18.8</v>
      </c>
      <c r="X41" s="1">
        <v>10.6</v>
      </c>
      <c r="Y41" s="1">
        <v>18</v>
      </c>
      <c r="Z41" s="1">
        <v>33</v>
      </c>
      <c r="AA41" s="1">
        <v>27.8</v>
      </c>
      <c r="AB41" s="1">
        <v>18.600000000000001</v>
      </c>
      <c r="AC41" s="1">
        <v>17.399999999999999</v>
      </c>
      <c r="AD41" s="1">
        <v>23.4</v>
      </c>
      <c r="AE41" s="1">
        <v>19</v>
      </c>
      <c r="AF41" s="1"/>
      <c r="AG41" s="1">
        <f t="shared" si="14"/>
        <v>0</v>
      </c>
      <c r="AH41" s="7">
        <v>8</v>
      </c>
      <c r="AI41" s="9">
        <f t="shared" si="15"/>
        <v>0</v>
      </c>
      <c r="AJ41" s="1">
        <f t="shared" si="16"/>
        <v>0</v>
      </c>
      <c r="AK41" s="1">
        <v>12</v>
      </c>
      <c r="AL41" s="1">
        <v>84</v>
      </c>
      <c r="AM41" s="9">
        <f t="shared" si="17"/>
        <v>0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110</v>
      </c>
      <c r="B42" s="1" t="s">
        <v>42</v>
      </c>
      <c r="C42" s="1"/>
      <c r="D42" s="1">
        <v>119</v>
      </c>
      <c r="E42" s="1"/>
      <c r="F42" s="1">
        <v>94</v>
      </c>
      <c r="G42" s="7">
        <v>0.7</v>
      </c>
      <c r="H42" s="1">
        <v>180</v>
      </c>
      <c r="I42" s="1" t="s">
        <v>111</v>
      </c>
      <c r="J42" s="1"/>
      <c r="K42" s="1"/>
      <c r="L42" s="1">
        <f t="shared" si="19"/>
        <v>0</v>
      </c>
      <c r="M42" s="1"/>
      <c r="N42" s="1"/>
      <c r="O42" s="1"/>
      <c r="P42" s="1">
        <f t="shared" si="20"/>
        <v>0</v>
      </c>
      <c r="Q42" s="5"/>
      <c r="R42" s="5"/>
      <c r="S42" s="5">
        <f t="shared" si="13"/>
        <v>0</v>
      </c>
      <c r="T42" s="1" t="e">
        <f t="shared" si="21"/>
        <v>#DIV/0!</v>
      </c>
      <c r="U42" s="1" t="e">
        <f t="shared" si="22"/>
        <v>#DIV/0!</v>
      </c>
      <c r="V42" s="1">
        <v>3.8</v>
      </c>
      <c r="W42" s="1">
        <v>11.2</v>
      </c>
      <c r="X42" s="1">
        <v>15.4</v>
      </c>
      <c r="Y42" s="1">
        <v>0</v>
      </c>
      <c r="Z42" s="1">
        <v>18.600000000000001</v>
      </c>
      <c r="AA42" s="1">
        <v>24.8</v>
      </c>
      <c r="AB42" s="1">
        <v>1.6</v>
      </c>
      <c r="AC42" s="1">
        <v>7.6</v>
      </c>
      <c r="AD42" s="1">
        <v>17</v>
      </c>
      <c r="AE42" s="1">
        <v>24.4</v>
      </c>
      <c r="AF42" s="1"/>
      <c r="AG42" s="1">
        <f t="shared" si="14"/>
        <v>0</v>
      </c>
      <c r="AH42" s="7">
        <v>8</v>
      </c>
      <c r="AI42" s="9">
        <f t="shared" si="15"/>
        <v>0</v>
      </c>
      <c r="AJ42" s="1">
        <f t="shared" si="16"/>
        <v>0</v>
      </c>
      <c r="AK42" s="1">
        <v>12</v>
      </c>
      <c r="AL42" s="1">
        <v>84</v>
      </c>
      <c r="AM42" s="9">
        <f t="shared" si="17"/>
        <v>0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20" t="s">
        <v>112</v>
      </c>
      <c r="B43" s="1" t="s">
        <v>42</v>
      </c>
      <c r="C43" s="1"/>
      <c r="D43" s="1"/>
      <c r="E43" s="1"/>
      <c r="F43" s="1"/>
      <c r="G43" s="7">
        <v>0.7</v>
      </c>
      <c r="H43" s="1">
        <v>180</v>
      </c>
      <c r="I43" s="1" t="s">
        <v>113</v>
      </c>
      <c r="J43" s="1"/>
      <c r="K43" s="1"/>
      <c r="L43" s="1">
        <f t="shared" si="19"/>
        <v>0</v>
      </c>
      <c r="M43" s="1"/>
      <c r="N43" s="1"/>
      <c r="O43" s="1"/>
      <c r="P43" s="1">
        <f t="shared" si="20"/>
        <v>0</v>
      </c>
      <c r="Q43" s="23">
        <v>0</v>
      </c>
      <c r="R43" s="23">
        <v>0</v>
      </c>
      <c r="S43" s="23">
        <f t="shared" si="13"/>
        <v>0</v>
      </c>
      <c r="T43" s="1" t="e">
        <f t="shared" si="21"/>
        <v>#DIV/0!</v>
      </c>
      <c r="U43" s="1" t="e">
        <f t="shared" si="22"/>
        <v>#DIV/0!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1</v>
      </c>
      <c r="AB43" s="1">
        <v>1.4</v>
      </c>
      <c r="AC43" s="1">
        <v>1.4</v>
      </c>
      <c r="AD43" s="1">
        <v>16.8</v>
      </c>
      <c r="AE43" s="1">
        <v>19.2</v>
      </c>
      <c r="AF43" s="24" t="s">
        <v>81</v>
      </c>
      <c r="AG43" s="1">
        <f t="shared" si="14"/>
        <v>0</v>
      </c>
      <c r="AH43" s="7">
        <v>8</v>
      </c>
      <c r="AI43" s="9">
        <f t="shared" si="15"/>
        <v>0</v>
      </c>
      <c r="AJ43" s="1">
        <f t="shared" si="16"/>
        <v>0</v>
      </c>
      <c r="AK43" s="1">
        <v>12</v>
      </c>
      <c r="AL43" s="1">
        <v>84</v>
      </c>
      <c r="AM43" s="9">
        <f t="shared" si="17"/>
        <v>0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114</v>
      </c>
      <c r="B44" s="1" t="s">
        <v>42</v>
      </c>
      <c r="C44" s="1">
        <v>372</v>
      </c>
      <c r="D44" s="1">
        <v>4</v>
      </c>
      <c r="E44" s="1">
        <v>175</v>
      </c>
      <c r="F44" s="1">
        <v>183</v>
      </c>
      <c r="G44" s="7">
        <v>0.7</v>
      </c>
      <c r="H44" s="1">
        <v>180</v>
      </c>
      <c r="I44" s="1" t="s">
        <v>115</v>
      </c>
      <c r="J44" s="1"/>
      <c r="K44" s="1">
        <v>180</v>
      </c>
      <c r="L44" s="1">
        <f t="shared" si="19"/>
        <v>-5</v>
      </c>
      <c r="M44" s="1"/>
      <c r="N44" s="1"/>
      <c r="O44" s="1"/>
      <c r="P44" s="1">
        <f t="shared" si="20"/>
        <v>35</v>
      </c>
      <c r="Q44" s="5">
        <v>307</v>
      </c>
      <c r="R44" s="5">
        <f>14*P44-F44+P44*$R$1</f>
        <v>464.5</v>
      </c>
      <c r="S44" s="5">
        <f t="shared" si="13"/>
        <v>480</v>
      </c>
      <c r="T44" s="1">
        <f t="shared" si="21"/>
        <v>18.942857142857143</v>
      </c>
      <c r="U44" s="1">
        <f t="shared" si="22"/>
        <v>5.2285714285714286</v>
      </c>
      <c r="V44" s="1">
        <v>27.4</v>
      </c>
      <c r="W44" s="1">
        <v>34.6</v>
      </c>
      <c r="X44" s="1">
        <v>37.799999999999997</v>
      </c>
      <c r="Y44" s="1">
        <v>63</v>
      </c>
      <c r="Z44" s="1">
        <v>57.4</v>
      </c>
      <c r="AA44" s="1">
        <v>84.8</v>
      </c>
      <c r="AB44" s="1">
        <v>56.6</v>
      </c>
      <c r="AC44" s="1">
        <v>49.6</v>
      </c>
      <c r="AD44" s="1">
        <v>69.2</v>
      </c>
      <c r="AE44" s="1">
        <v>49.2</v>
      </c>
      <c r="AF44" s="1"/>
      <c r="AG44" s="1">
        <f t="shared" si="14"/>
        <v>325.14999999999998</v>
      </c>
      <c r="AH44" s="7">
        <v>10</v>
      </c>
      <c r="AI44" s="9">
        <f t="shared" si="15"/>
        <v>48</v>
      </c>
      <c r="AJ44" s="1">
        <f t="shared" si="16"/>
        <v>336</v>
      </c>
      <c r="AK44" s="1">
        <v>12</v>
      </c>
      <c r="AL44" s="1">
        <v>84</v>
      </c>
      <c r="AM44" s="9">
        <f t="shared" si="17"/>
        <v>0.5714285714285714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116</v>
      </c>
      <c r="B45" s="1" t="s">
        <v>42</v>
      </c>
      <c r="C45" s="1">
        <v>71</v>
      </c>
      <c r="D45" s="1">
        <v>543</v>
      </c>
      <c r="E45" s="1">
        <v>35</v>
      </c>
      <c r="F45" s="1">
        <v>274</v>
      </c>
      <c r="G45" s="7">
        <v>0.7</v>
      </c>
      <c r="H45" s="1">
        <v>180</v>
      </c>
      <c r="I45" s="1" t="s">
        <v>117</v>
      </c>
      <c r="J45" s="1"/>
      <c r="K45" s="1">
        <v>35</v>
      </c>
      <c r="L45" s="1">
        <f t="shared" si="19"/>
        <v>0</v>
      </c>
      <c r="M45" s="1"/>
      <c r="N45" s="1"/>
      <c r="O45" s="1"/>
      <c r="P45" s="1">
        <f t="shared" si="20"/>
        <v>7</v>
      </c>
      <c r="Q45" s="5"/>
      <c r="R45" s="5"/>
      <c r="S45" s="5">
        <f t="shared" si="13"/>
        <v>0</v>
      </c>
      <c r="T45" s="1">
        <f t="shared" si="21"/>
        <v>39.142857142857146</v>
      </c>
      <c r="U45" s="1">
        <f t="shared" si="22"/>
        <v>39.142857142857146</v>
      </c>
      <c r="V45" s="1">
        <v>20.399999999999999</v>
      </c>
      <c r="W45" s="1">
        <v>24.4</v>
      </c>
      <c r="X45" s="1">
        <v>13.2</v>
      </c>
      <c r="Y45" s="1">
        <v>32.4</v>
      </c>
      <c r="Z45" s="1">
        <v>47.8</v>
      </c>
      <c r="AA45" s="1">
        <v>46.8</v>
      </c>
      <c r="AB45" s="1">
        <v>30.4</v>
      </c>
      <c r="AC45" s="1">
        <v>33</v>
      </c>
      <c r="AD45" s="1">
        <v>39.6</v>
      </c>
      <c r="AE45" s="1">
        <v>29.8</v>
      </c>
      <c r="AF45" s="1"/>
      <c r="AG45" s="1">
        <f t="shared" si="14"/>
        <v>0</v>
      </c>
      <c r="AH45" s="7">
        <v>10</v>
      </c>
      <c r="AI45" s="9">
        <f t="shared" si="15"/>
        <v>0</v>
      </c>
      <c r="AJ45" s="1">
        <f t="shared" si="16"/>
        <v>0</v>
      </c>
      <c r="AK45" s="1">
        <v>12</v>
      </c>
      <c r="AL45" s="1">
        <v>84</v>
      </c>
      <c r="AM45" s="9">
        <f t="shared" si="17"/>
        <v>0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118</v>
      </c>
      <c r="B46" s="1" t="s">
        <v>42</v>
      </c>
      <c r="C46" s="1">
        <v>-1</v>
      </c>
      <c r="D46" s="1">
        <v>522</v>
      </c>
      <c r="E46" s="1">
        <v>6</v>
      </c>
      <c r="F46" s="1">
        <v>466</v>
      </c>
      <c r="G46" s="7">
        <v>0.7</v>
      </c>
      <c r="H46" s="1">
        <v>180</v>
      </c>
      <c r="I46" s="1" t="s">
        <v>119</v>
      </c>
      <c r="J46" s="1"/>
      <c r="K46" s="1">
        <v>6</v>
      </c>
      <c r="L46" s="1">
        <f t="shared" si="19"/>
        <v>0</v>
      </c>
      <c r="M46" s="1"/>
      <c r="N46" s="1"/>
      <c r="O46" s="1"/>
      <c r="P46" s="1">
        <f t="shared" si="20"/>
        <v>1.2</v>
      </c>
      <c r="Q46" s="5"/>
      <c r="R46" s="5"/>
      <c r="S46" s="5">
        <f t="shared" si="13"/>
        <v>0</v>
      </c>
      <c r="T46" s="1">
        <f t="shared" si="21"/>
        <v>388.33333333333337</v>
      </c>
      <c r="U46" s="1">
        <f t="shared" si="22"/>
        <v>388.33333333333337</v>
      </c>
      <c r="V46" s="1">
        <v>37.200000000000003</v>
      </c>
      <c r="W46" s="1">
        <v>54.6</v>
      </c>
      <c r="X46" s="1">
        <v>35</v>
      </c>
      <c r="Y46" s="1">
        <v>36.799999999999997</v>
      </c>
      <c r="Z46" s="1">
        <v>85.6</v>
      </c>
      <c r="AA46" s="1">
        <v>61.8</v>
      </c>
      <c r="AB46" s="1">
        <v>41.4</v>
      </c>
      <c r="AC46" s="1">
        <v>46</v>
      </c>
      <c r="AD46" s="1">
        <v>85</v>
      </c>
      <c r="AE46" s="1">
        <v>57.8</v>
      </c>
      <c r="AF46" s="1"/>
      <c r="AG46" s="1">
        <f t="shared" si="14"/>
        <v>0</v>
      </c>
      <c r="AH46" s="7">
        <v>10</v>
      </c>
      <c r="AI46" s="9">
        <f t="shared" si="15"/>
        <v>0</v>
      </c>
      <c r="AJ46" s="1">
        <f t="shared" si="16"/>
        <v>0</v>
      </c>
      <c r="AK46" s="1">
        <v>12</v>
      </c>
      <c r="AL46" s="1">
        <v>84</v>
      </c>
      <c r="AM46" s="9">
        <f t="shared" si="17"/>
        <v>0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120</v>
      </c>
      <c r="B47" s="1" t="s">
        <v>42</v>
      </c>
      <c r="C47" s="1"/>
      <c r="D47" s="1">
        <v>360</v>
      </c>
      <c r="E47" s="1"/>
      <c r="F47" s="1">
        <v>360</v>
      </c>
      <c r="G47" s="7">
        <v>0.7</v>
      </c>
      <c r="H47" s="1">
        <v>180</v>
      </c>
      <c r="I47" s="1" t="s">
        <v>121</v>
      </c>
      <c r="J47" s="1"/>
      <c r="K47" s="1"/>
      <c r="L47" s="1">
        <f t="shared" si="19"/>
        <v>0</v>
      </c>
      <c r="M47" s="1"/>
      <c r="N47" s="1"/>
      <c r="O47" s="1"/>
      <c r="P47" s="1">
        <f t="shared" si="20"/>
        <v>0</v>
      </c>
      <c r="Q47" s="5"/>
      <c r="R47" s="5"/>
      <c r="S47" s="5">
        <f t="shared" si="13"/>
        <v>0</v>
      </c>
      <c r="T47" s="1" t="e">
        <f t="shared" si="21"/>
        <v>#DIV/0!</v>
      </c>
      <c r="U47" s="1" t="e">
        <f t="shared" si="22"/>
        <v>#DIV/0!</v>
      </c>
      <c r="V47" s="1">
        <v>0</v>
      </c>
      <c r="W47" s="1">
        <v>32</v>
      </c>
      <c r="X47" s="1">
        <v>32</v>
      </c>
      <c r="Y47" s="1">
        <v>7</v>
      </c>
      <c r="Z47" s="1">
        <v>24.2</v>
      </c>
      <c r="AA47" s="1">
        <v>48.8</v>
      </c>
      <c r="AB47" s="1">
        <v>17</v>
      </c>
      <c r="AC47" s="1">
        <v>11.8</v>
      </c>
      <c r="AD47" s="1">
        <v>29.8</v>
      </c>
      <c r="AE47" s="1">
        <v>10</v>
      </c>
      <c r="AF47" s="1"/>
      <c r="AG47" s="1">
        <f t="shared" si="14"/>
        <v>0</v>
      </c>
      <c r="AH47" s="7">
        <v>10</v>
      </c>
      <c r="AI47" s="9">
        <f t="shared" si="15"/>
        <v>0</v>
      </c>
      <c r="AJ47" s="1">
        <f t="shared" si="16"/>
        <v>0</v>
      </c>
      <c r="AK47" s="1">
        <v>12</v>
      </c>
      <c r="AL47" s="1">
        <v>84</v>
      </c>
      <c r="AM47" s="9">
        <f t="shared" si="17"/>
        <v>0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122</v>
      </c>
      <c r="B48" s="1" t="s">
        <v>89</v>
      </c>
      <c r="C48" s="1">
        <v>315</v>
      </c>
      <c r="D48" s="1">
        <v>1380</v>
      </c>
      <c r="E48" s="1">
        <v>290</v>
      </c>
      <c r="F48" s="1">
        <v>495</v>
      </c>
      <c r="G48" s="7">
        <v>1</v>
      </c>
      <c r="H48" s="1">
        <v>180</v>
      </c>
      <c r="I48" s="1" t="s">
        <v>123</v>
      </c>
      <c r="J48" s="1"/>
      <c r="K48" s="1">
        <v>290</v>
      </c>
      <c r="L48" s="1">
        <f t="shared" si="19"/>
        <v>0</v>
      </c>
      <c r="M48" s="1"/>
      <c r="N48" s="1"/>
      <c r="O48" s="1"/>
      <c r="P48" s="1">
        <f t="shared" si="20"/>
        <v>58</v>
      </c>
      <c r="Q48" s="5">
        <v>317</v>
      </c>
      <c r="R48" s="5">
        <f t="shared" ref="R48:R52" si="23">14*P48-F48+P48*$R$1</f>
        <v>578</v>
      </c>
      <c r="S48" s="5">
        <f t="shared" si="13"/>
        <v>600</v>
      </c>
      <c r="T48" s="1">
        <f t="shared" si="21"/>
        <v>18.879310344827587</v>
      </c>
      <c r="U48" s="1">
        <f t="shared" si="22"/>
        <v>8.5344827586206904</v>
      </c>
      <c r="V48" s="1">
        <v>59</v>
      </c>
      <c r="W48" s="1">
        <v>69</v>
      </c>
      <c r="X48" s="1">
        <v>46</v>
      </c>
      <c r="Y48" s="1">
        <v>31</v>
      </c>
      <c r="Z48" s="1">
        <v>165</v>
      </c>
      <c r="AA48" s="1">
        <v>199</v>
      </c>
      <c r="AB48" s="1">
        <v>78</v>
      </c>
      <c r="AC48" s="1">
        <v>10</v>
      </c>
      <c r="AD48" s="1">
        <v>158</v>
      </c>
      <c r="AE48" s="1">
        <v>126</v>
      </c>
      <c r="AF48" s="1"/>
      <c r="AG48" s="1">
        <f t="shared" si="14"/>
        <v>578</v>
      </c>
      <c r="AH48" s="7">
        <v>5</v>
      </c>
      <c r="AI48" s="9">
        <f t="shared" si="15"/>
        <v>120</v>
      </c>
      <c r="AJ48" s="1">
        <f t="shared" si="16"/>
        <v>600</v>
      </c>
      <c r="AK48" s="1">
        <v>12</v>
      </c>
      <c r="AL48" s="1">
        <v>144</v>
      </c>
      <c r="AM48" s="9">
        <f t="shared" si="17"/>
        <v>0.83333333333333337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124</v>
      </c>
      <c r="B49" s="1" t="s">
        <v>42</v>
      </c>
      <c r="C49" s="1">
        <v>147</v>
      </c>
      <c r="D49" s="1">
        <v>393</v>
      </c>
      <c r="E49" s="1">
        <v>156</v>
      </c>
      <c r="F49" s="1">
        <v>376</v>
      </c>
      <c r="G49" s="7">
        <v>0.4</v>
      </c>
      <c r="H49" s="1">
        <v>180</v>
      </c>
      <c r="I49" s="1" t="s">
        <v>125</v>
      </c>
      <c r="J49" s="1"/>
      <c r="K49" s="1">
        <v>169</v>
      </c>
      <c r="L49" s="1">
        <f t="shared" si="19"/>
        <v>-13</v>
      </c>
      <c r="M49" s="1"/>
      <c r="N49" s="1"/>
      <c r="O49" s="1"/>
      <c r="P49" s="1">
        <f t="shared" si="20"/>
        <v>31.2</v>
      </c>
      <c r="Q49" s="5">
        <v>123.19999999999999</v>
      </c>
      <c r="R49" s="5">
        <f t="shared" si="23"/>
        <v>201.20000000000002</v>
      </c>
      <c r="S49" s="5">
        <f t="shared" si="13"/>
        <v>192</v>
      </c>
      <c r="T49" s="1">
        <f t="shared" si="21"/>
        <v>18.205128205128204</v>
      </c>
      <c r="U49" s="1">
        <f t="shared" si="22"/>
        <v>12.051282051282051</v>
      </c>
      <c r="V49" s="1">
        <v>40.4</v>
      </c>
      <c r="W49" s="1">
        <v>45.2</v>
      </c>
      <c r="X49" s="1">
        <v>21.8</v>
      </c>
      <c r="Y49" s="1">
        <v>0</v>
      </c>
      <c r="Z49" s="1">
        <v>0</v>
      </c>
      <c r="AA49" s="1">
        <v>12.4</v>
      </c>
      <c r="AB49" s="1">
        <v>11.2</v>
      </c>
      <c r="AC49" s="1">
        <v>37.6</v>
      </c>
      <c r="AD49" s="1">
        <v>78.599999999999994</v>
      </c>
      <c r="AE49" s="1">
        <v>60</v>
      </c>
      <c r="AF49" s="1" t="s">
        <v>126</v>
      </c>
      <c r="AG49" s="1">
        <f t="shared" si="14"/>
        <v>80.480000000000018</v>
      </c>
      <c r="AH49" s="7">
        <v>16</v>
      </c>
      <c r="AI49" s="9">
        <f t="shared" si="15"/>
        <v>12</v>
      </c>
      <c r="AJ49" s="1">
        <f t="shared" si="16"/>
        <v>76.800000000000011</v>
      </c>
      <c r="AK49" s="1">
        <v>12</v>
      </c>
      <c r="AL49" s="1">
        <v>84</v>
      </c>
      <c r="AM49" s="9">
        <f t="shared" si="17"/>
        <v>0.14285714285714285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127</v>
      </c>
      <c r="B50" s="1" t="s">
        <v>42</v>
      </c>
      <c r="C50" s="1">
        <v>889</v>
      </c>
      <c r="D50" s="1">
        <v>306</v>
      </c>
      <c r="E50" s="1">
        <v>242</v>
      </c>
      <c r="F50" s="1">
        <v>719</v>
      </c>
      <c r="G50" s="7">
        <v>0.7</v>
      </c>
      <c r="H50" s="1">
        <v>180</v>
      </c>
      <c r="I50" s="1" t="s">
        <v>128</v>
      </c>
      <c r="J50" s="1"/>
      <c r="K50" s="1">
        <v>257</v>
      </c>
      <c r="L50" s="1">
        <f t="shared" si="19"/>
        <v>-15</v>
      </c>
      <c r="M50" s="1"/>
      <c r="N50" s="1"/>
      <c r="O50" s="1"/>
      <c r="P50" s="1">
        <f t="shared" si="20"/>
        <v>48.4</v>
      </c>
      <c r="Q50" s="5"/>
      <c r="R50" s="5"/>
      <c r="S50" s="5">
        <f t="shared" si="13"/>
        <v>0</v>
      </c>
      <c r="T50" s="1">
        <f t="shared" si="21"/>
        <v>14.855371900826446</v>
      </c>
      <c r="U50" s="1">
        <f t="shared" si="22"/>
        <v>14.855371900826446</v>
      </c>
      <c r="V50" s="1">
        <v>57.4</v>
      </c>
      <c r="W50" s="1">
        <v>67</v>
      </c>
      <c r="X50" s="1">
        <v>78</v>
      </c>
      <c r="Y50" s="1">
        <v>143.6</v>
      </c>
      <c r="Z50" s="1">
        <v>141.19999999999999</v>
      </c>
      <c r="AA50" s="1">
        <v>167.4</v>
      </c>
      <c r="AB50" s="1">
        <v>125.8</v>
      </c>
      <c r="AC50" s="1">
        <v>91.6</v>
      </c>
      <c r="AD50" s="1">
        <v>139.6</v>
      </c>
      <c r="AE50" s="1">
        <v>103.6</v>
      </c>
      <c r="AF50" s="1"/>
      <c r="AG50" s="1">
        <f t="shared" si="14"/>
        <v>0</v>
      </c>
      <c r="AH50" s="7">
        <v>10</v>
      </c>
      <c r="AI50" s="9">
        <f t="shared" si="15"/>
        <v>0</v>
      </c>
      <c r="AJ50" s="1">
        <f t="shared" si="16"/>
        <v>0</v>
      </c>
      <c r="AK50" s="1">
        <v>12</v>
      </c>
      <c r="AL50" s="1">
        <v>84</v>
      </c>
      <c r="AM50" s="9">
        <f t="shared" si="17"/>
        <v>0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129</v>
      </c>
      <c r="B51" s="1" t="s">
        <v>42</v>
      </c>
      <c r="C51" s="1">
        <v>675</v>
      </c>
      <c r="D51" s="1">
        <v>1049</v>
      </c>
      <c r="E51" s="1">
        <v>402</v>
      </c>
      <c r="F51" s="1">
        <v>638</v>
      </c>
      <c r="G51" s="7">
        <v>0.4</v>
      </c>
      <c r="H51" s="1">
        <v>180</v>
      </c>
      <c r="I51" s="1" t="s">
        <v>130</v>
      </c>
      <c r="J51" s="1"/>
      <c r="K51" s="1">
        <v>402</v>
      </c>
      <c r="L51" s="1">
        <f t="shared" si="19"/>
        <v>0</v>
      </c>
      <c r="M51" s="1"/>
      <c r="N51" s="1"/>
      <c r="O51" s="1"/>
      <c r="P51" s="1">
        <f t="shared" si="20"/>
        <v>80.400000000000006</v>
      </c>
      <c r="Q51" s="5">
        <v>487.60000000000014</v>
      </c>
      <c r="R51" s="5">
        <f t="shared" si="23"/>
        <v>849.40000000000009</v>
      </c>
      <c r="S51" s="5">
        <f t="shared" si="13"/>
        <v>768</v>
      </c>
      <c r="T51" s="1">
        <f t="shared" si="21"/>
        <v>17.487562189054724</v>
      </c>
      <c r="U51" s="1">
        <f t="shared" si="22"/>
        <v>7.9353233830845769</v>
      </c>
      <c r="V51" s="1">
        <v>70.400000000000006</v>
      </c>
      <c r="W51" s="1">
        <v>81</v>
      </c>
      <c r="X51" s="1">
        <v>94.8</v>
      </c>
      <c r="Y51" s="1">
        <v>107.6</v>
      </c>
      <c r="Z51" s="1">
        <v>60.2</v>
      </c>
      <c r="AA51" s="1">
        <v>145.6</v>
      </c>
      <c r="AB51" s="1">
        <v>105.4</v>
      </c>
      <c r="AC51" s="1">
        <v>79.8</v>
      </c>
      <c r="AD51" s="1">
        <v>78.400000000000006</v>
      </c>
      <c r="AE51" s="1">
        <v>53.2</v>
      </c>
      <c r="AF51" s="1"/>
      <c r="AG51" s="1">
        <f t="shared" si="14"/>
        <v>339.76000000000005</v>
      </c>
      <c r="AH51" s="7">
        <v>16</v>
      </c>
      <c r="AI51" s="9">
        <f t="shared" si="15"/>
        <v>48</v>
      </c>
      <c r="AJ51" s="1">
        <f t="shared" si="16"/>
        <v>307.20000000000005</v>
      </c>
      <c r="AK51" s="1">
        <v>12</v>
      </c>
      <c r="AL51" s="1">
        <v>84</v>
      </c>
      <c r="AM51" s="9">
        <f t="shared" si="17"/>
        <v>0.5714285714285714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131</v>
      </c>
      <c r="B52" s="1" t="s">
        <v>42</v>
      </c>
      <c r="C52" s="1">
        <v>1578</v>
      </c>
      <c r="D52" s="1">
        <v>73</v>
      </c>
      <c r="E52" s="1">
        <v>596</v>
      </c>
      <c r="F52" s="1">
        <v>961</v>
      </c>
      <c r="G52" s="7">
        <v>0.7</v>
      </c>
      <c r="H52" s="1">
        <v>180</v>
      </c>
      <c r="I52" s="1" t="s">
        <v>132</v>
      </c>
      <c r="J52" s="1"/>
      <c r="K52" s="1">
        <v>611</v>
      </c>
      <c r="L52" s="1">
        <f t="shared" si="19"/>
        <v>-15</v>
      </c>
      <c r="M52" s="1"/>
      <c r="N52" s="1"/>
      <c r="O52" s="1"/>
      <c r="P52" s="1">
        <f t="shared" si="20"/>
        <v>119.2</v>
      </c>
      <c r="Q52" s="5">
        <v>707.8</v>
      </c>
      <c r="R52" s="5">
        <f t="shared" si="23"/>
        <v>1244.1999999999998</v>
      </c>
      <c r="S52" s="5">
        <f t="shared" si="13"/>
        <v>1200</v>
      </c>
      <c r="T52" s="1">
        <f t="shared" si="21"/>
        <v>18.129194630872483</v>
      </c>
      <c r="U52" s="1">
        <f t="shared" si="22"/>
        <v>8.0620805369127506</v>
      </c>
      <c r="V52" s="1">
        <v>121</v>
      </c>
      <c r="W52" s="1">
        <v>136.6</v>
      </c>
      <c r="X52" s="1">
        <v>92.4</v>
      </c>
      <c r="Y52" s="1">
        <v>218.4</v>
      </c>
      <c r="Z52" s="1">
        <v>188.2</v>
      </c>
      <c r="AA52" s="1">
        <v>180.2</v>
      </c>
      <c r="AB52" s="1">
        <v>150.80000000000001</v>
      </c>
      <c r="AC52" s="1">
        <v>137.4</v>
      </c>
      <c r="AD52" s="1">
        <v>176.4</v>
      </c>
      <c r="AE52" s="1">
        <v>133</v>
      </c>
      <c r="AF52" s="1"/>
      <c r="AG52" s="1">
        <f t="shared" si="14"/>
        <v>870.93999999999983</v>
      </c>
      <c r="AH52" s="7">
        <v>10</v>
      </c>
      <c r="AI52" s="9">
        <f t="shared" si="15"/>
        <v>120</v>
      </c>
      <c r="AJ52" s="1">
        <f t="shared" si="16"/>
        <v>840</v>
      </c>
      <c r="AK52" s="1">
        <v>12</v>
      </c>
      <c r="AL52" s="1">
        <v>84</v>
      </c>
      <c r="AM52" s="9">
        <f t="shared" si="17"/>
        <v>1.4285714285714286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133</v>
      </c>
      <c r="B53" s="1" t="s">
        <v>42</v>
      </c>
      <c r="C53" s="1">
        <v>18</v>
      </c>
      <c r="D53" s="1">
        <v>633</v>
      </c>
      <c r="E53" s="1">
        <v>101</v>
      </c>
      <c r="F53" s="1">
        <v>520</v>
      </c>
      <c r="G53" s="7">
        <v>0.7</v>
      </c>
      <c r="H53" s="1">
        <v>180</v>
      </c>
      <c r="I53" s="1" t="s">
        <v>134</v>
      </c>
      <c r="J53" s="1"/>
      <c r="K53" s="1">
        <v>111</v>
      </c>
      <c r="L53" s="1">
        <f t="shared" si="19"/>
        <v>-10</v>
      </c>
      <c r="M53" s="1"/>
      <c r="N53" s="1"/>
      <c r="O53" s="1"/>
      <c r="P53" s="1">
        <f t="shared" si="20"/>
        <v>20.2</v>
      </c>
      <c r="Q53" s="5"/>
      <c r="R53" s="5"/>
      <c r="S53" s="5">
        <f t="shared" si="13"/>
        <v>0</v>
      </c>
      <c r="T53" s="1">
        <f t="shared" si="21"/>
        <v>25.742574257425744</v>
      </c>
      <c r="U53" s="1">
        <f t="shared" si="22"/>
        <v>25.742574257425744</v>
      </c>
      <c r="V53" s="1">
        <v>31.4</v>
      </c>
      <c r="W53" s="1">
        <v>51.6</v>
      </c>
      <c r="X53" s="1">
        <v>37</v>
      </c>
      <c r="Y53" s="1">
        <v>19.600000000000001</v>
      </c>
      <c r="Z53" s="1">
        <v>39.799999999999997</v>
      </c>
      <c r="AA53" s="1">
        <v>25.6</v>
      </c>
      <c r="AB53" s="1">
        <v>15.8</v>
      </c>
      <c r="AC53" s="1">
        <v>17.2</v>
      </c>
      <c r="AD53" s="1">
        <v>26.6</v>
      </c>
      <c r="AE53" s="1">
        <v>18.399999999999999</v>
      </c>
      <c r="AF53" s="1"/>
      <c r="AG53" s="1">
        <f t="shared" si="14"/>
        <v>0</v>
      </c>
      <c r="AH53" s="7">
        <v>10</v>
      </c>
      <c r="AI53" s="9">
        <f t="shared" si="15"/>
        <v>0</v>
      </c>
      <c r="AJ53" s="1">
        <f t="shared" si="16"/>
        <v>0</v>
      </c>
      <c r="AK53" s="1">
        <v>12</v>
      </c>
      <c r="AL53" s="1">
        <v>84</v>
      </c>
      <c r="AM53" s="9">
        <f t="shared" si="17"/>
        <v>0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135</v>
      </c>
      <c r="B54" s="1" t="s">
        <v>42</v>
      </c>
      <c r="C54" s="1">
        <v>216</v>
      </c>
      <c r="D54" s="1">
        <v>224</v>
      </c>
      <c r="E54" s="1">
        <v>177</v>
      </c>
      <c r="F54" s="1">
        <v>228</v>
      </c>
      <c r="G54" s="7">
        <v>0.8</v>
      </c>
      <c r="H54" s="1">
        <v>180</v>
      </c>
      <c r="I54" s="1" t="s">
        <v>136</v>
      </c>
      <c r="J54" s="1"/>
      <c r="K54" s="1">
        <v>180</v>
      </c>
      <c r="L54" s="1">
        <f t="shared" si="19"/>
        <v>-3</v>
      </c>
      <c r="M54" s="1"/>
      <c r="N54" s="1"/>
      <c r="O54" s="1"/>
      <c r="P54" s="1">
        <f t="shared" si="20"/>
        <v>35.4</v>
      </c>
      <c r="Q54" s="5">
        <v>267.59999999999997</v>
      </c>
      <c r="R54" s="5">
        <f>14*P54-F54+P54*$R$1</f>
        <v>426.9</v>
      </c>
      <c r="S54" s="5">
        <f t="shared" si="13"/>
        <v>384</v>
      </c>
      <c r="T54" s="1">
        <f t="shared" si="21"/>
        <v>17.288135593220339</v>
      </c>
      <c r="U54" s="1">
        <f t="shared" si="22"/>
        <v>6.4406779661016955</v>
      </c>
      <c r="V54" s="1">
        <v>28.6</v>
      </c>
      <c r="W54" s="1">
        <v>27.6</v>
      </c>
      <c r="X54" s="1">
        <v>5</v>
      </c>
      <c r="Y54" s="1">
        <v>30.4</v>
      </c>
      <c r="Z54" s="1">
        <v>16.399999999999999</v>
      </c>
      <c r="AA54" s="1">
        <v>13.6</v>
      </c>
      <c r="AB54" s="1">
        <v>9.8000000000000007</v>
      </c>
      <c r="AC54" s="1">
        <v>4</v>
      </c>
      <c r="AD54" s="1">
        <v>2.8</v>
      </c>
      <c r="AE54" s="1">
        <v>3.6</v>
      </c>
      <c r="AF54" s="1"/>
      <c r="AG54" s="1">
        <f t="shared" si="14"/>
        <v>341.52</v>
      </c>
      <c r="AH54" s="7">
        <v>8</v>
      </c>
      <c r="AI54" s="9">
        <f t="shared" si="15"/>
        <v>48</v>
      </c>
      <c r="AJ54" s="1">
        <f t="shared" si="16"/>
        <v>307.20000000000005</v>
      </c>
      <c r="AK54" s="1">
        <v>12</v>
      </c>
      <c r="AL54" s="1">
        <v>84</v>
      </c>
      <c r="AM54" s="9">
        <f t="shared" si="17"/>
        <v>0.5714285714285714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137</v>
      </c>
      <c r="B55" s="1" t="s">
        <v>42</v>
      </c>
      <c r="C55" s="1">
        <v>65</v>
      </c>
      <c r="D55" s="1">
        <v>465</v>
      </c>
      <c r="E55" s="1">
        <v>75</v>
      </c>
      <c r="F55" s="1">
        <v>403</v>
      </c>
      <c r="G55" s="7">
        <v>1</v>
      </c>
      <c r="H55" s="1">
        <v>180</v>
      </c>
      <c r="I55" s="1" t="s">
        <v>138</v>
      </c>
      <c r="J55" s="1"/>
      <c r="K55" s="1">
        <v>83</v>
      </c>
      <c r="L55" s="1">
        <f t="shared" si="19"/>
        <v>-8</v>
      </c>
      <c r="M55" s="1"/>
      <c r="N55" s="1"/>
      <c r="O55" s="1"/>
      <c r="P55" s="1">
        <f t="shared" si="20"/>
        <v>15</v>
      </c>
      <c r="Q55" s="5"/>
      <c r="R55" s="5"/>
      <c r="S55" s="5">
        <f t="shared" si="13"/>
        <v>0</v>
      </c>
      <c r="T55" s="1">
        <f t="shared" si="21"/>
        <v>26.866666666666667</v>
      </c>
      <c r="U55" s="1">
        <f t="shared" si="22"/>
        <v>26.866666666666667</v>
      </c>
      <c r="V55" s="1">
        <v>42</v>
      </c>
      <c r="W55" s="1">
        <v>46.2</v>
      </c>
      <c r="X55" s="1">
        <v>16</v>
      </c>
      <c r="Y55" s="1">
        <v>36</v>
      </c>
      <c r="Z55" s="1">
        <v>37.4</v>
      </c>
      <c r="AA55" s="1">
        <v>35.799999999999997</v>
      </c>
      <c r="AB55" s="1">
        <v>26.2</v>
      </c>
      <c r="AC55" s="1">
        <v>35.200000000000003</v>
      </c>
      <c r="AD55" s="1">
        <v>36.6</v>
      </c>
      <c r="AE55" s="1">
        <v>35.6</v>
      </c>
      <c r="AF55" s="1"/>
      <c r="AG55" s="1">
        <f t="shared" si="14"/>
        <v>0</v>
      </c>
      <c r="AH55" s="7">
        <v>5</v>
      </c>
      <c r="AI55" s="9">
        <f t="shared" si="15"/>
        <v>0</v>
      </c>
      <c r="AJ55" s="1">
        <f t="shared" si="16"/>
        <v>0</v>
      </c>
      <c r="AK55" s="1">
        <v>12</v>
      </c>
      <c r="AL55" s="1">
        <v>84</v>
      </c>
      <c r="AM55" s="9">
        <f t="shared" si="17"/>
        <v>0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139</v>
      </c>
      <c r="B56" s="1" t="s">
        <v>42</v>
      </c>
      <c r="C56" s="1">
        <v>-27</v>
      </c>
      <c r="D56" s="1">
        <v>123</v>
      </c>
      <c r="E56" s="1"/>
      <c r="F56" s="1">
        <v>96</v>
      </c>
      <c r="G56" s="7">
        <v>0.9</v>
      </c>
      <c r="H56" s="1">
        <v>180</v>
      </c>
      <c r="I56" s="1" t="s">
        <v>140</v>
      </c>
      <c r="J56" s="1"/>
      <c r="K56" s="1"/>
      <c r="L56" s="1">
        <f t="shared" si="19"/>
        <v>0</v>
      </c>
      <c r="M56" s="1"/>
      <c r="N56" s="1"/>
      <c r="O56" s="1"/>
      <c r="P56" s="1">
        <f t="shared" si="20"/>
        <v>0</v>
      </c>
      <c r="Q56" s="5"/>
      <c r="R56" s="5"/>
      <c r="S56" s="5">
        <f t="shared" si="13"/>
        <v>0</v>
      </c>
      <c r="T56" s="1" t="e">
        <f t="shared" si="21"/>
        <v>#DIV/0!</v>
      </c>
      <c r="U56" s="1" t="e">
        <f t="shared" si="22"/>
        <v>#DIV/0!</v>
      </c>
      <c r="V56" s="1">
        <v>4.2</v>
      </c>
      <c r="W56" s="1">
        <v>6</v>
      </c>
      <c r="X56" s="1">
        <v>9.6</v>
      </c>
      <c r="Y56" s="1">
        <v>8.1999999999999993</v>
      </c>
      <c r="Z56" s="1">
        <v>14</v>
      </c>
      <c r="AA56" s="1">
        <v>15.6</v>
      </c>
      <c r="AB56" s="1">
        <v>13.2</v>
      </c>
      <c r="AC56" s="1">
        <v>15.4</v>
      </c>
      <c r="AD56" s="1">
        <v>13.6</v>
      </c>
      <c r="AE56" s="1">
        <v>12</v>
      </c>
      <c r="AF56" s="1"/>
      <c r="AG56" s="1">
        <f t="shared" si="14"/>
        <v>0</v>
      </c>
      <c r="AH56" s="7">
        <v>8</v>
      </c>
      <c r="AI56" s="9">
        <f t="shared" si="15"/>
        <v>0</v>
      </c>
      <c r="AJ56" s="1">
        <f t="shared" si="16"/>
        <v>0</v>
      </c>
      <c r="AK56" s="1">
        <v>12</v>
      </c>
      <c r="AL56" s="1">
        <v>84</v>
      </c>
      <c r="AM56" s="9">
        <f t="shared" si="17"/>
        <v>0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141</v>
      </c>
      <c r="B57" s="1" t="s">
        <v>42</v>
      </c>
      <c r="C57" s="1">
        <v>96</v>
      </c>
      <c r="D57" s="1"/>
      <c r="E57" s="1"/>
      <c r="F57" s="1"/>
      <c r="G57" s="7">
        <v>0.9</v>
      </c>
      <c r="H57" s="1">
        <v>180</v>
      </c>
      <c r="I57" s="1" t="s">
        <v>142</v>
      </c>
      <c r="J57" s="1"/>
      <c r="K57" s="1">
        <v>15</v>
      </c>
      <c r="L57" s="1">
        <f t="shared" si="19"/>
        <v>-15</v>
      </c>
      <c r="M57" s="1"/>
      <c r="N57" s="1"/>
      <c r="O57" s="1"/>
      <c r="P57" s="1">
        <f t="shared" si="20"/>
        <v>0</v>
      </c>
      <c r="Q57" s="5">
        <v>80</v>
      </c>
      <c r="R57" s="5">
        <v>80</v>
      </c>
      <c r="S57" s="5">
        <f t="shared" si="13"/>
        <v>96</v>
      </c>
      <c r="T57" s="1" t="e">
        <f t="shared" si="21"/>
        <v>#DIV/0!</v>
      </c>
      <c r="U57" s="1" t="e">
        <f t="shared" si="22"/>
        <v>#DIV/0!</v>
      </c>
      <c r="V57" s="1">
        <v>1.2</v>
      </c>
      <c r="W57" s="1">
        <v>5</v>
      </c>
      <c r="X57" s="1">
        <v>8.1999999999999993</v>
      </c>
      <c r="Y57" s="1">
        <v>4</v>
      </c>
      <c r="Z57" s="1">
        <v>8</v>
      </c>
      <c r="AA57" s="1">
        <v>11.8</v>
      </c>
      <c r="AB57" s="1">
        <v>8.6</v>
      </c>
      <c r="AC57" s="1">
        <v>7.6</v>
      </c>
      <c r="AD57" s="1">
        <v>7.8</v>
      </c>
      <c r="AE57" s="1">
        <v>3.4</v>
      </c>
      <c r="AF57" s="13" t="s">
        <v>184</v>
      </c>
      <c r="AG57" s="1">
        <f t="shared" si="14"/>
        <v>72</v>
      </c>
      <c r="AH57" s="7">
        <v>8</v>
      </c>
      <c r="AI57" s="9">
        <f t="shared" si="15"/>
        <v>12</v>
      </c>
      <c r="AJ57" s="1">
        <f t="shared" si="16"/>
        <v>86.4</v>
      </c>
      <c r="AK57" s="1">
        <v>12</v>
      </c>
      <c r="AL57" s="1">
        <v>84</v>
      </c>
      <c r="AM57" s="9">
        <f t="shared" si="17"/>
        <v>0.14285714285714285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143</v>
      </c>
      <c r="B58" s="1" t="s">
        <v>89</v>
      </c>
      <c r="C58" s="1">
        <v>545</v>
      </c>
      <c r="D58" s="1"/>
      <c r="E58" s="1">
        <v>275</v>
      </c>
      <c r="F58" s="1">
        <v>255</v>
      </c>
      <c r="G58" s="7">
        <v>1</v>
      </c>
      <c r="H58" s="1">
        <v>180</v>
      </c>
      <c r="I58" s="1" t="s">
        <v>144</v>
      </c>
      <c r="J58" s="1"/>
      <c r="K58" s="1">
        <v>275</v>
      </c>
      <c r="L58" s="1">
        <f t="shared" si="19"/>
        <v>0</v>
      </c>
      <c r="M58" s="1"/>
      <c r="N58" s="1"/>
      <c r="O58" s="1"/>
      <c r="P58" s="1">
        <f t="shared" si="20"/>
        <v>55</v>
      </c>
      <c r="Q58" s="5">
        <v>515</v>
      </c>
      <c r="R58" s="5">
        <f>14*P58-F58+P58*$R$1</f>
        <v>762.5</v>
      </c>
      <c r="S58" s="5">
        <f t="shared" si="13"/>
        <v>780</v>
      </c>
      <c r="T58" s="1">
        <f t="shared" si="21"/>
        <v>18.818181818181817</v>
      </c>
      <c r="U58" s="1">
        <f t="shared" si="22"/>
        <v>4.6363636363636367</v>
      </c>
      <c r="V58" s="1">
        <v>47</v>
      </c>
      <c r="W58" s="1">
        <v>28</v>
      </c>
      <c r="X58" s="1">
        <v>18</v>
      </c>
      <c r="Y58" s="1">
        <v>67</v>
      </c>
      <c r="Z58" s="1">
        <v>19</v>
      </c>
      <c r="AA58" s="1">
        <v>37</v>
      </c>
      <c r="AB58" s="1">
        <v>43</v>
      </c>
      <c r="AC58" s="1">
        <v>46</v>
      </c>
      <c r="AD58" s="1">
        <v>37</v>
      </c>
      <c r="AE58" s="1">
        <v>27</v>
      </c>
      <c r="AF58" s="1"/>
      <c r="AG58" s="1">
        <f t="shared" si="14"/>
        <v>762.5</v>
      </c>
      <c r="AH58" s="7">
        <v>5</v>
      </c>
      <c r="AI58" s="9">
        <f t="shared" si="15"/>
        <v>156</v>
      </c>
      <c r="AJ58" s="1">
        <f t="shared" si="16"/>
        <v>780</v>
      </c>
      <c r="AK58" s="1">
        <v>12</v>
      </c>
      <c r="AL58" s="1">
        <v>144</v>
      </c>
      <c r="AM58" s="9">
        <f t="shared" si="17"/>
        <v>1.0833333333333333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145</v>
      </c>
      <c r="B59" s="1" t="s">
        <v>42</v>
      </c>
      <c r="C59" s="1">
        <v>-27</v>
      </c>
      <c r="D59" s="1">
        <v>27</v>
      </c>
      <c r="E59" s="1"/>
      <c r="F59" s="19">
        <f>0+F60</f>
        <v>284</v>
      </c>
      <c r="G59" s="7">
        <v>1</v>
      </c>
      <c r="H59" s="1">
        <v>180</v>
      </c>
      <c r="I59" s="1" t="s">
        <v>146</v>
      </c>
      <c r="J59" s="1"/>
      <c r="K59" s="1"/>
      <c r="L59" s="1">
        <f t="shared" si="19"/>
        <v>0</v>
      </c>
      <c r="M59" s="1"/>
      <c r="N59" s="1"/>
      <c r="O59" s="1"/>
      <c r="P59" s="1">
        <f t="shared" si="20"/>
        <v>0</v>
      </c>
      <c r="Q59" s="5"/>
      <c r="R59" s="5"/>
      <c r="S59" s="5">
        <f t="shared" si="13"/>
        <v>0</v>
      </c>
      <c r="T59" s="1" t="e">
        <f t="shared" si="21"/>
        <v>#DIV/0!</v>
      </c>
      <c r="U59" s="1" t="e">
        <f t="shared" si="22"/>
        <v>#DIV/0!</v>
      </c>
      <c r="V59" s="1">
        <v>9.6</v>
      </c>
      <c r="W59" s="1">
        <v>23</v>
      </c>
      <c r="X59" s="1">
        <v>14.4</v>
      </c>
      <c r="Y59" s="1">
        <v>0</v>
      </c>
      <c r="Z59" s="1">
        <v>13.6</v>
      </c>
      <c r="AA59" s="1">
        <v>23.8</v>
      </c>
      <c r="AB59" s="1">
        <v>7</v>
      </c>
      <c r="AC59" s="1">
        <v>3.2</v>
      </c>
      <c r="AD59" s="1">
        <v>18.2</v>
      </c>
      <c r="AE59" s="1">
        <v>21.6</v>
      </c>
      <c r="AF59" s="1"/>
      <c r="AG59" s="1">
        <f t="shared" si="14"/>
        <v>0</v>
      </c>
      <c r="AH59" s="7">
        <v>5</v>
      </c>
      <c r="AI59" s="9">
        <f t="shared" si="15"/>
        <v>0</v>
      </c>
      <c r="AJ59" s="1">
        <f t="shared" si="16"/>
        <v>0</v>
      </c>
      <c r="AK59" s="1">
        <v>12</v>
      </c>
      <c r="AL59" s="1">
        <v>84</v>
      </c>
      <c r="AM59" s="9">
        <f t="shared" si="17"/>
        <v>0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4" t="s">
        <v>147</v>
      </c>
      <c r="B60" s="14" t="s">
        <v>42</v>
      </c>
      <c r="C60" s="14">
        <v>27</v>
      </c>
      <c r="D60" s="14">
        <v>300</v>
      </c>
      <c r="E60" s="14"/>
      <c r="F60" s="19">
        <v>284</v>
      </c>
      <c r="G60" s="15">
        <v>0</v>
      </c>
      <c r="H60" s="14">
        <v>180</v>
      </c>
      <c r="I60" s="14" t="s">
        <v>50</v>
      </c>
      <c r="J60" s="14" t="s">
        <v>145</v>
      </c>
      <c r="K60" s="14">
        <v>31</v>
      </c>
      <c r="L60" s="14">
        <f t="shared" si="19"/>
        <v>-31</v>
      </c>
      <c r="M60" s="14"/>
      <c r="N60" s="14"/>
      <c r="O60" s="14"/>
      <c r="P60" s="14">
        <f t="shared" si="20"/>
        <v>0</v>
      </c>
      <c r="Q60" s="16"/>
      <c r="R60" s="16"/>
      <c r="S60" s="16"/>
      <c r="T60" s="14" t="e">
        <f t="shared" si="21"/>
        <v>#DIV/0!</v>
      </c>
      <c r="U60" s="14" t="e">
        <f t="shared" si="22"/>
        <v>#DIV/0!</v>
      </c>
      <c r="V60" s="14">
        <v>9.6</v>
      </c>
      <c r="W60" s="14">
        <v>18.600000000000001</v>
      </c>
      <c r="X60" s="14">
        <v>9</v>
      </c>
      <c r="Y60" s="14">
        <v>0</v>
      </c>
      <c r="Z60" s="14">
        <v>0</v>
      </c>
      <c r="AA60" s="14">
        <v>0</v>
      </c>
      <c r="AB60" s="14">
        <v>0</v>
      </c>
      <c r="AC60" s="14">
        <v>0</v>
      </c>
      <c r="AD60" s="14">
        <v>0</v>
      </c>
      <c r="AE60" s="14">
        <v>0</v>
      </c>
      <c r="AF60" s="14"/>
      <c r="AG60" s="14"/>
      <c r="AH60" s="15"/>
      <c r="AI60" s="17"/>
      <c r="AJ60" s="14"/>
      <c r="AK60" s="14"/>
      <c r="AL60" s="14"/>
      <c r="AM60" s="17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4" t="s">
        <v>148</v>
      </c>
      <c r="B61" s="14" t="s">
        <v>89</v>
      </c>
      <c r="C61" s="14"/>
      <c r="D61" s="14"/>
      <c r="E61" s="14"/>
      <c r="F61" s="14"/>
      <c r="G61" s="15">
        <v>0</v>
      </c>
      <c r="H61" s="14">
        <v>180</v>
      </c>
      <c r="I61" s="14" t="s">
        <v>149</v>
      </c>
      <c r="J61" s="14"/>
      <c r="K61" s="14"/>
      <c r="L61" s="14">
        <f t="shared" si="19"/>
        <v>0</v>
      </c>
      <c r="M61" s="14"/>
      <c r="N61" s="14"/>
      <c r="O61" s="14"/>
      <c r="P61" s="14">
        <f t="shared" si="20"/>
        <v>0</v>
      </c>
      <c r="Q61" s="16"/>
      <c r="R61" s="16"/>
      <c r="S61" s="16"/>
      <c r="T61" s="14" t="e">
        <f t="shared" si="21"/>
        <v>#DIV/0!</v>
      </c>
      <c r="U61" s="14" t="e">
        <f t="shared" si="22"/>
        <v>#DIV/0!</v>
      </c>
      <c r="V61" s="14">
        <v>0</v>
      </c>
      <c r="W61" s="14">
        <v>0</v>
      </c>
      <c r="X61" s="14">
        <v>0</v>
      </c>
      <c r="Y61" s="14">
        <v>0.74</v>
      </c>
      <c r="Z61" s="14">
        <v>1.48</v>
      </c>
      <c r="AA61" s="14">
        <v>0.74</v>
      </c>
      <c r="AB61" s="14">
        <v>1.48</v>
      </c>
      <c r="AC61" s="14">
        <v>0.74</v>
      </c>
      <c r="AD61" s="14">
        <v>0</v>
      </c>
      <c r="AE61" s="14">
        <v>0</v>
      </c>
      <c r="AF61" s="14" t="s">
        <v>150</v>
      </c>
      <c r="AG61" s="14"/>
      <c r="AH61" s="15">
        <v>3.7</v>
      </c>
      <c r="AI61" s="17"/>
      <c r="AJ61" s="14"/>
      <c r="AK61" s="14">
        <v>14</v>
      </c>
      <c r="AL61" s="14">
        <v>126</v>
      </c>
      <c r="AM61" s="17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8" t="s">
        <v>151</v>
      </c>
      <c r="B62" s="14" t="s">
        <v>42</v>
      </c>
      <c r="C62" s="14"/>
      <c r="D62" s="14">
        <v>168</v>
      </c>
      <c r="E62" s="14"/>
      <c r="F62" s="19">
        <v>168</v>
      </c>
      <c r="G62" s="15">
        <v>0</v>
      </c>
      <c r="H62" s="14">
        <v>180</v>
      </c>
      <c r="I62" s="18" t="s">
        <v>50</v>
      </c>
      <c r="J62" s="14" t="s">
        <v>85</v>
      </c>
      <c r="K62" s="14"/>
      <c r="L62" s="14">
        <f t="shared" si="19"/>
        <v>0</v>
      </c>
      <c r="M62" s="14"/>
      <c r="N62" s="14"/>
      <c r="O62" s="14"/>
      <c r="P62" s="14">
        <f t="shared" si="20"/>
        <v>0</v>
      </c>
      <c r="Q62" s="16"/>
      <c r="R62" s="16"/>
      <c r="S62" s="16"/>
      <c r="T62" s="14" t="e">
        <f t="shared" si="21"/>
        <v>#DIV/0!</v>
      </c>
      <c r="U62" s="14" t="e">
        <f t="shared" si="22"/>
        <v>#DIV/0!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>
        <v>0</v>
      </c>
      <c r="AF62" s="14"/>
      <c r="AG62" s="14"/>
      <c r="AH62" s="15"/>
      <c r="AI62" s="17"/>
      <c r="AJ62" s="14"/>
      <c r="AK62" s="14"/>
      <c r="AL62" s="14"/>
      <c r="AM62" s="17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152</v>
      </c>
      <c r="B63" s="1" t="s">
        <v>42</v>
      </c>
      <c r="C63" s="1">
        <v>78</v>
      </c>
      <c r="D63" s="1"/>
      <c r="E63" s="1">
        <v>7</v>
      </c>
      <c r="F63" s="1">
        <v>71</v>
      </c>
      <c r="G63" s="7">
        <v>0.23</v>
      </c>
      <c r="H63" s="1">
        <v>180</v>
      </c>
      <c r="I63" s="1" t="s">
        <v>153</v>
      </c>
      <c r="J63" s="1"/>
      <c r="K63" s="1">
        <v>7</v>
      </c>
      <c r="L63" s="1">
        <f t="shared" si="19"/>
        <v>0</v>
      </c>
      <c r="M63" s="1"/>
      <c r="N63" s="1"/>
      <c r="O63" s="1"/>
      <c r="P63" s="1">
        <f t="shared" si="20"/>
        <v>1.4</v>
      </c>
      <c r="Q63" s="5"/>
      <c r="R63" s="5"/>
      <c r="S63" s="5">
        <f>AH63*AI63</f>
        <v>0</v>
      </c>
      <c r="T63" s="1">
        <f t="shared" si="21"/>
        <v>50.714285714285715</v>
      </c>
      <c r="U63" s="1">
        <f t="shared" si="22"/>
        <v>50.714285714285715</v>
      </c>
      <c r="V63" s="1">
        <v>0.4</v>
      </c>
      <c r="W63" s="1">
        <v>0.8</v>
      </c>
      <c r="X63" s="1">
        <v>1.4</v>
      </c>
      <c r="Y63" s="1">
        <v>10.6</v>
      </c>
      <c r="Z63" s="1">
        <v>12.6</v>
      </c>
      <c r="AA63" s="1">
        <v>12</v>
      </c>
      <c r="AB63" s="1">
        <v>1</v>
      </c>
      <c r="AC63" s="1">
        <v>0</v>
      </c>
      <c r="AD63" s="1">
        <v>11.4</v>
      </c>
      <c r="AE63" s="1">
        <v>14.2</v>
      </c>
      <c r="AF63" s="22" t="s">
        <v>78</v>
      </c>
      <c r="AG63" s="1">
        <f>G63*R63</f>
        <v>0</v>
      </c>
      <c r="AH63" s="7">
        <v>6</v>
      </c>
      <c r="AI63" s="9">
        <f>MROUND(R63, AH63*AK63)/AH63</f>
        <v>0</v>
      </c>
      <c r="AJ63" s="1">
        <f>AI63*AH63*G63</f>
        <v>0</v>
      </c>
      <c r="AK63" s="1">
        <v>14</v>
      </c>
      <c r="AL63" s="1">
        <v>140</v>
      </c>
      <c r="AM63" s="9">
        <f>AI63/AL63</f>
        <v>0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20" t="s">
        <v>58</v>
      </c>
      <c r="B64" s="1" t="s">
        <v>42</v>
      </c>
      <c r="C64" s="1"/>
      <c r="D64" s="1"/>
      <c r="E64" s="19">
        <f>0+E13</f>
        <v>144</v>
      </c>
      <c r="F64" s="19">
        <f>0+F13</f>
        <v>666</v>
      </c>
      <c r="G64" s="7">
        <v>0.25</v>
      </c>
      <c r="H64" s="1">
        <v>180</v>
      </c>
      <c r="I64" s="1" t="s">
        <v>154</v>
      </c>
      <c r="J64" s="1"/>
      <c r="K64" s="1"/>
      <c r="L64" s="1">
        <f t="shared" si="19"/>
        <v>144</v>
      </c>
      <c r="M64" s="1"/>
      <c r="N64" s="1"/>
      <c r="O64" s="1"/>
      <c r="P64" s="1">
        <f t="shared" si="20"/>
        <v>28.8</v>
      </c>
      <c r="Q64" s="5"/>
      <c r="R64" s="5"/>
      <c r="S64" s="5">
        <f>AH64*AI64</f>
        <v>0</v>
      </c>
      <c r="T64" s="1">
        <f t="shared" si="21"/>
        <v>23.125</v>
      </c>
      <c r="U64" s="1">
        <f t="shared" si="22"/>
        <v>23.125</v>
      </c>
      <c r="V64" s="1">
        <v>28.2</v>
      </c>
      <c r="W64" s="1">
        <v>21.2</v>
      </c>
      <c r="X64" s="1">
        <v>22.4</v>
      </c>
      <c r="Y64" s="1">
        <v>106.8</v>
      </c>
      <c r="Z64" s="1">
        <v>111</v>
      </c>
      <c r="AA64" s="1">
        <v>81.2</v>
      </c>
      <c r="AB64" s="1">
        <v>108.2</v>
      </c>
      <c r="AC64" s="1">
        <v>100.4</v>
      </c>
      <c r="AD64" s="1">
        <v>121</v>
      </c>
      <c r="AE64" s="1">
        <v>58.6</v>
      </c>
      <c r="AF64" s="21" t="s">
        <v>84</v>
      </c>
      <c r="AG64" s="1">
        <f>G64*R64</f>
        <v>0</v>
      </c>
      <c r="AH64" s="7">
        <v>12</v>
      </c>
      <c r="AI64" s="9">
        <f>MROUND(R64, AH64*AK64)/AH64</f>
        <v>0</v>
      </c>
      <c r="AJ64" s="1">
        <f>AI64*AH64*G64</f>
        <v>0</v>
      </c>
      <c r="AK64" s="1">
        <v>14</v>
      </c>
      <c r="AL64" s="1">
        <v>70</v>
      </c>
      <c r="AM64" s="9">
        <f>AI64/AL64</f>
        <v>0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60</v>
      </c>
      <c r="B65" s="1" t="s">
        <v>42</v>
      </c>
      <c r="C65" s="1">
        <v>-25</v>
      </c>
      <c r="D65" s="1">
        <v>25</v>
      </c>
      <c r="E65" s="19">
        <f>0+E14</f>
        <v>111</v>
      </c>
      <c r="F65" s="19">
        <f>0+F14</f>
        <v>284</v>
      </c>
      <c r="G65" s="7">
        <v>0.25</v>
      </c>
      <c r="H65" s="1">
        <v>180</v>
      </c>
      <c r="I65" s="1" t="s">
        <v>155</v>
      </c>
      <c r="J65" s="1"/>
      <c r="K65" s="1"/>
      <c r="L65" s="1">
        <f t="shared" si="19"/>
        <v>111</v>
      </c>
      <c r="M65" s="1"/>
      <c r="N65" s="1"/>
      <c r="O65" s="1"/>
      <c r="P65" s="1">
        <f t="shared" si="20"/>
        <v>22.2</v>
      </c>
      <c r="Q65" s="5">
        <v>93.399999999999977</v>
      </c>
      <c r="R65" s="5">
        <f>14*P65-F65+P65*$R$1</f>
        <v>126.7</v>
      </c>
      <c r="S65" s="5">
        <f>AH65*AI65</f>
        <v>168</v>
      </c>
      <c r="T65" s="1">
        <f t="shared" si="21"/>
        <v>20.36036036036036</v>
      </c>
      <c r="U65" s="1">
        <f t="shared" si="22"/>
        <v>12.792792792792794</v>
      </c>
      <c r="V65" s="1">
        <v>16.600000000000001</v>
      </c>
      <c r="W65" s="1">
        <v>11.2</v>
      </c>
      <c r="X65" s="1">
        <v>7.4</v>
      </c>
      <c r="Y65" s="1">
        <v>29.6</v>
      </c>
      <c r="Z65" s="1">
        <v>86.8</v>
      </c>
      <c r="AA65" s="1">
        <v>51.4</v>
      </c>
      <c r="AB65" s="1">
        <v>18</v>
      </c>
      <c r="AC65" s="1">
        <v>26</v>
      </c>
      <c r="AD65" s="1">
        <v>70.8</v>
      </c>
      <c r="AE65" s="1">
        <v>64.2</v>
      </c>
      <c r="AF65" s="1"/>
      <c r="AG65" s="1">
        <f>G65*R65</f>
        <v>31.675000000000001</v>
      </c>
      <c r="AH65" s="7">
        <v>12</v>
      </c>
      <c r="AI65" s="9">
        <f>MROUND(R65, AH65*AK65)/AH65</f>
        <v>14</v>
      </c>
      <c r="AJ65" s="1">
        <f>AI65*AH65*G65</f>
        <v>42</v>
      </c>
      <c r="AK65" s="1">
        <v>14</v>
      </c>
      <c r="AL65" s="1">
        <v>70</v>
      </c>
      <c r="AM65" s="9">
        <f>AI65/AL65</f>
        <v>0.2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4" t="s">
        <v>156</v>
      </c>
      <c r="B66" s="14" t="s">
        <v>42</v>
      </c>
      <c r="C66" s="14">
        <v>2</v>
      </c>
      <c r="D66" s="14"/>
      <c r="E66" s="14">
        <v>2</v>
      </c>
      <c r="F66" s="14"/>
      <c r="G66" s="15">
        <v>0</v>
      </c>
      <c r="H66" s="14">
        <v>180</v>
      </c>
      <c r="I66" s="14" t="s">
        <v>157</v>
      </c>
      <c r="J66" s="14"/>
      <c r="K66" s="14">
        <v>2</v>
      </c>
      <c r="L66" s="14">
        <f t="shared" si="19"/>
        <v>0</v>
      </c>
      <c r="M66" s="14"/>
      <c r="N66" s="14"/>
      <c r="O66" s="14"/>
      <c r="P66" s="14">
        <f t="shared" si="20"/>
        <v>0.4</v>
      </c>
      <c r="Q66" s="16"/>
      <c r="R66" s="16"/>
      <c r="S66" s="16"/>
      <c r="T66" s="14">
        <f t="shared" si="21"/>
        <v>0</v>
      </c>
      <c r="U66" s="14">
        <f t="shared" si="22"/>
        <v>0</v>
      </c>
      <c r="V66" s="14">
        <v>0.2</v>
      </c>
      <c r="W66" s="14">
        <v>0</v>
      </c>
      <c r="X66" s="14">
        <v>0</v>
      </c>
      <c r="Y66" s="14">
        <v>1.2</v>
      </c>
      <c r="Z66" s="14">
        <v>2.8</v>
      </c>
      <c r="AA66" s="14">
        <v>2</v>
      </c>
      <c r="AB66" s="14">
        <v>0</v>
      </c>
      <c r="AC66" s="14">
        <v>0</v>
      </c>
      <c r="AD66" s="14">
        <v>1.2</v>
      </c>
      <c r="AE66" s="14">
        <v>0</v>
      </c>
      <c r="AF66" s="14" t="s">
        <v>150</v>
      </c>
      <c r="AG66" s="14"/>
      <c r="AH66" s="15">
        <v>6</v>
      </c>
      <c r="AI66" s="17"/>
      <c r="AJ66" s="14"/>
      <c r="AK66" s="14">
        <v>14</v>
      </c>
      <c r="AL66" s="14">
        <v>140</v>
      </c>
      <c r="AM66" s="17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4" t="s">
        <v>158</v>
      </c>
      <c r="B67" s="14" t="s">
        <v>42</v>
      </c>
      <c r="C67" s="14">
        <v>2</v>
      </c>
      <c r="D67" s="14"/>
      <c r="E67" s="14">
        <v>2</v>
      </c>
      <c r="F67" s="14"/>
      <c r="G67" s="15">
        <v>0</v>
      </c>
      <c r="H67" s="14">
        <v>180</v>
      </c>
      <c r="I67" s="14" t="s">
        <v>159</v>
      </c>
      <c r="J67" s="14"/>
      <c r="K67" s="14">
        <v>2</v>
      </c>
      <c r="L67" s="14">
        <f t="shared" si="19"/>
        <v>0</v>
      </c>
      <c r="M67" s="14"/>
      <c r="N67" s="14"/>
      <c r="O67" s="14"/>
      <c r="P67" s="14">
        <f t="shared" si="20"/>
        <v>0.4</v>
      </c>
      <c r="Q67" s="16"/>
      <c r="R67" s="16"/>
      <c r="S67" s="16"/>
      <c r="T67" s="14">
        <f t="shared" si="21"/>
        <v>0</v>
      </c>
      <c r="U67" s="14">
        <f t="shared" si="22"/>
        <v>0</v>
      </c>
      <c r="V67" s="14">
        <v>0.2</v>
      </c>
      <c r="W67" s="14">
        <v>0</v>
      </c>
      <c r="X67" s="14">
        <v>0</v>
      </c>
      <c r="Y67" s="14">
        <v>1.2</v>
      </c>
      <c r="Z67" s="14">
        <v>3</v>
      </c>
      <c r="AA67" s="14">
        <v>0.8</v>
      </c>
      <c r="AB67" s="14">
        <v>0</v>
      </c>
      <c r="AC67" s="14">
        <v>0</v>
      </c>
      <c r="AD67" s="14">
        <v>0.8</v>
      </c>
      <c r="AE67" s="14">
        <v>0</v>
      </c>
      <c r="AF67" s="14" t="s">
        <v>150</v>
      </c>
      <c r="AG67" s="14"/>
      <c r="AH67" s="15">
        <v>6</v>
      </c>
      <c r="AI67" s="17"/>
      <c r="AJ67" s="14"/>
      <c r="AK67" s="14">
        <v>14</v>
      </c>
      <c r="AL67" s="14">
        <v>140</v>
      </c>
      <c r="AM67" s="17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4" t="s">
        <v>160</v>
      </c>
      <c r="B68" s="14" t="s">
        <v>42</v>
      </c>
      <c r="C68" s="14">
        <v>2</v>
      </c>
      <c r="D68" s="14"/>
      <c r="E68" s="14">
        <v>2</v>
      </c>
      <c r="F68" s="14"/>
      <c r="G68" s="15">
        <v>0</v>
      </c>
      <c r="H68" s="14">
        <v>180</v>
      </c>
      <c r="I68" s="14" t="s">
        <v>161</v>
      </c>
      <c r="J68" s="14"/>
      <c r="K68" s="14">
        <v>2</v>
      </c>
      <c r="L68" s="14">
        <f t="shared" si="19"/>
        <v>0</v>
      </c>
      <c r="M68" s="14"/>
      <c r="N68" s="14"/>
      <c r="O68" s="14"/>
      <c r="P68" s="14">
        <f t="shared" si="20"/>
        <v>0.4</v>
      </c>
      <c r="Q68" s="16"/>
      <c r="R68" s="16"/>
      <c r="S68" s="16"/>
      <c r="T68" s="14">
        <f t="shared" si="21"/>
        <v>0</v>
      </c>
      <c r="U68" s="14">
        <f t="shared" si="22"/>
        <v>0</v>
      </c>
      <c r="V68" s="14">
        <v>0.2</v>
      </c>
      <c r="W68" s="14">
        <v>0</v>
      </c>
      <c r="X68" s="14">
        <v>0</v>
      </c>
      <c r="Y68" s="14">
        <v>1.2</v>
      </c>
      <c r="Z68" s="14">
        <v>2.4</v>
      </c>
      <c r="AA68" s="14">
        <v>1.2</v>
      </c>
      <c r="AB68" s="14">
        <v>0</v>
      </c>
      <c r="AC68" s="14">
        <v>0</v>
      </c>
      <c r="AD68" s="14">
        <v>0.2</v>
      </c>
      <c r="AE68" s="14">
        <v>0</v>
      </c>
      <c r="AF68" s="14" t="s">
        <v>150</v>
      </c>
      <c r="AG68" s="14"/>
      <c r="AH68" s="15">
        <v>6</v>
      </c>
      <c r="AI68" s="17"/>
      <c r="AJ68" s="14"/>
      <c r="AK68" s="14">
        <v>14</v>
      </c>
      <c r="AL68" s="14">
        <v>140</v>
      </c>
      <c r="AM68" s="17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162</v>
      </c>
      <c r="B69" s="1" t="s">
        <v>42</v>
      </c>
      <c r="C69" s="1">
        <v>389</v>
      </c>
      <c r="D69" s="1">
        <v>670</v>
      </c>
      <c r="E69" s="1">
        <v>354</v>
      </c>
      <c r="F69" s="1">
        <v>550</v>
      </c>
      <c r="G69" s="7">
        <v>0.3</v>
      </c>
      <c r="H69" s="1">
        <v>180</v>
      </c>
      <c r="I69" s="1" t="s">
        <v>163</v>
      </c>
      <c r="J69" s="1"/>
      <c r="K69" s="1">
        <v>360</v>
      </c>
      <c r="L69" s="1">
        <f t="shared" si="19"/>
        <v>-6</v>
      </c>
      <c r="M69" s="1"/>
      <c r="N69" s="1"/>
      <c r="O69" s="1"/>
      <c r="P69" s="1">
        <f t="shared" si="20"/>
        <v>70.8</v>
      </c>
      <c r="Q69" s="5">
        <v>441.19999999999993</v>
      </c>
      <c r="R69" s="5">
        <f>14*P69-F69+P69*$R$1</f>
        <v>759.8</v>
      </c>
      <c r="S69" s="5">
        <f t="shared" ref="S69:S81" si="24">AH69*AI69</f>
        <v>840</v>
      </c>
      <c r="T69" s="1">
        <f t="shared" si="21"/>
        <v>19.63276836158192</v>
      </c>
      <c r="U69" s="1">
        <f t="shared" si="22"/>
        <v>7.768361581920904</v>
      </c>
      <c r="V69" s="1">
        <v>49</v>
      </c>
      <c r="W69" s="1">
        <v>74.599999999999994</v>
      </c>
      <c r="X69" s="1">
        <v>42.4</v>
      </c>
      <c r="Y69" s="1">
        <v>82.8</v>
      </c>
      <c r="Z69" s="1">
        <v>105.4</v>
      </c>
      <c r="AA69" s="1">
        <v>88.6</v>
      </c>
      <c r="AB69" s="1">
        <v>68.2</v>
      </c>
      <c r="AC69" s="1">
        <v>69.8</v>
      </c>
      <c r="AD69" s="1">
        <v>93.6</v>
      </c>
      <c r="AE69" s="1">
        <v>71.400000000000006</v>
      </c>
      <c r="AF69" s="1"/>
      <c r="AG69" s="1">
        <f t="shared" ref="AG69:AG81" si="25">G69*R69</f>
        <v>227.93999999999997</v>
      </c>
      <c r="AH69" s="7">
        <v>12</v>
      </c>
      <c r="AI69" s="9">
        <f t="shared" ref="AI69:AI79" si="26">MROUND(R69, AH69*AK69)/AH69</f>
        <v>70</v>
      </c>
      <c r="AJ69" s="1">
        <f t="shared" ref="AJ69:AJ79" si="27">AI69*AH69*G69</f>
        <v>252</v>
      </c>
      <c r="AK69" s="1">
        <v>14</v>
      </c>
      <c r="AL69" s="1">
        <v>70</v>
      </c>
      <c r="AM69" s="9">
        <f t="shared" ref="AM69:AM81" si="28">AI69/AL69</f>
        <v>1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164</v>
      </c>
      <c r="B70" s="1" t="s">
        <v>42</v>
      </c>
      <c r="C70" s="1">
        <v>-8</v>
      </c>
      <c r="D70" s="1">
        <v>702</v>
      </c>
      <c r="E70" s="1">
        <v>29</v>
      </c>
      <c r="F70" s="1">
        <v>644</v>
      </c>
      <c r="G70" s="7">
        <v>0.3</v>
      </c>
      <c r="H70" s="1">
        <v>180</v>
      </c>
      <c r="I70" s="1" t="s">
        <v>165</v>
      </c>
      <c r="J70" s="1"/>
      <c r="K70" s="1">
        <v>32</v>
      </c>
      <c r="L70" s="1">
        <f t="shared" ref="L70:L79" si="29">E70-K70</f>
        <v>-3</v>
      </c>
      <c r="M70" s="1"/>
      <c r="N70" s="1"/>
      <c r="O70" s="1"/>
      <c r="P70" s="1">
        <f t="shared" ref="P70:P79" si="30">E70/5</f>
        <v>5.8</v>
      </c>
      <c r="Q70" s="5"/>
      <c r="R70" s="5"/>
      <c r="S70" s="5">
        <f t="shared" si="24"/>
        <v>0</v>
      </c>
      <c r="T70" s="1">
        <f t="shared" ref="T70:T79" si="31">(F70+S70)/P70</f>
        <v>111.0344827586207</v>
      </c>
      <c r="U70" s="1">
        <f t="shared" ref="U70:U79" si="32">F70/P70</f>
        <v>111.0344827586207</v>
      </c>
      <c r="V70" s="1">
        <v>43</v>
      </c>
      <c r="W70" s="1">
        <v>63.6</v>
      </c>
      <c r="X70" s="1">
        <v>73.400000000000006</v>
      </c>
      <c r="Y70" s="1">
        <v>55.2</v>
      </c>
      <c r="Z70" s="1">
        <v>76.400000000000006</v>
      </c>
      <c r="AA70" s="1">
        <v>87.2</v>
      </c>
      <c r="AB70" s="1">
        <v>75.8</v>
      </c>
      <c r="AC70" s="1">
        <v>67.599999999999994</v>
      </c>
      <c r="AD70" s="1">
        <v>78.8</v>
      </c>
      <c r="AE70" s="1">
        <v>62.6</v>
      </c>
      <c r="AF70" s="1"/>
      <c r="AG70" s="1">
        <f t="shared" si="25"/>
        <v>0</v>
      </c>
      <c r="AH70" s="7">
        <v>12</v>
      </c>
      <c r="AI70" s="9">
        <f t="shared" si="26"/>
        <v>0</v>
      </c>
      <c r="AJ70" s="1">
        <f t="shared" si="27"/>
        <v>0</v>
      </c>
      <c r="AK70" s="1">
        <v>14</v>
      </c>
      <c r="AL70" s="1">
        <v>70</v>
      </c>
      <c r="AM70" s="9">
        <f t="shared" si="28"/>
        <v>0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166</v>
      </c>
      <c r="B71" s="1" t="s">
        <v>42</v>
      </c>
      <c r="C71" s="1">
        <v>175</v>
      </c>
      <c r="D71" s="1">
        <v>28</v>
      </c>
      <c r="E71" s="1">
        <v>57</v>
      </c>
      <c r="F71" s="1">
        <v>118</v>
      </c>
      <c r="G71" s="7">
        <v>0.3</v>
      </c>
      <c r="H71" s="1">
        <v>180</v>
      </c>
      <c r="I71" s="1" t="s">
        <v>167</v>
      </c>
      <c r="J71" s="1"/>
      <c r="K71" s="1">
        <v>57</v>
      </c>
      <c r="L71" s="1">
        <f t="shared" si="29"/>
        <v>0</v>
      </c>
      <c r="M71" s="1"/>
      <c r="N71" s="1"/>
      <c r="O71" s="1"/>
      <c r="P71" s="1">
        <f t="shared" si="30"/>
        <v>11.4</v>
      </c>
      <c r="Q71" s="5">
        <v>98.6</v>
      </c>
      <c r="R71" s="5">
        <f t="shared" ref="R71:R77" si="33">14*P71-F71+P71*$R$1</f>
        <v>92.9</v>
      </c>
      <c r="S71" s="5">
        <f t="shared" si="24"/>
        <v>0</v>
      </c>
      <c r="T71" s="1">
        <f t="shared" si="31"/>
        <v>10.350877192982455</v>
      </c>
      <c r="U71" s="1">
        <f t="shared" si="32"/>
        <v>10.350877192982455</v>
      </c>
      <c r="V71" s="1">
        <v>9.4</v>
      </c>
      <c r="W71" s="1">
        <v>13</v>
      </c>
      <c r="X71" s="1">
        <v>18.8</v>
      </c>
      <c r="Y71" s="1">
        <v>41.2</v>
      </c>
      <c r="Z71" s="1">
        <v>38.200000000000003</v>
      </c>
      <c r="AA71" s="1">
        <v>31.2</v>
      </c>
      <c r="AB71" s="1">
        <v>44</v>
      </c>
      <c r="AC71" s="1">
        <v>38.200000000000003</v>
      </c>
      <c r="AD71" s="1">
        <v>26.8</v>
      </c>
      <c r="AE71" s="1">
        <v>31.6</v>
      </c>
      <c r="AF71" s="1"/>
      <c r="AG71" s="1">
        <f t="shared" si="25"/>
        <v>27.87</v>
      </c>
      <c r="AH71" s="7">
        <v>14</v>
      </c>
      <c r="AI71" s="9">
        <f t="shared" si="26"/>
        <v>0</v>
      </c>
      <c r="AJ71" s="1">
        <f t="shared" si="27"/>
        <v>0</v>
      </c>
      <c r="AK71" s="1">
        <v>14</v>
      </c>
      <c r="AL71" s="1">
        <v>70</v>
      </c>
      <c r="AM71" s="9">
        <f t="shared" si="28"/>
        <v>0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168</v>
      </c>
      <c r="B72" s="1" t="s">
        <v>42</v>
      </c>
      <c r="C72" s="1">
        <v>135</v>
      </c>
      <c r="D72" s="1">
        <v>84</v>
      </c>
      <c r="E72" s="1">
        <v>71</v>
      </c>
      <c r="F72" s="1">
        <v>143</v>
      </c>
      <c r="G72" s="7">
        <v>0.22</v>
      </c>
      <c r="H72" s="1"/>
      <c r="I72" s="1" t="s">
        <v>169</v>
      </c>
      <c r="J72" s="1"/>
      <c r="K72" s="1">
        <v>71</v>
      </c>
      <c r="L72" s="1">
        <f t="shared" si="29"/>
        <v>0</v>
      </c>
      <c r="M72" s="1"/>
      <c r="N72" s="1"/>
      <c r="O72" s="1"/>
      <c r="P72" s="1">
        <f t="shared" si="30"/>
        <v>14.2</v>
      </c>
      <c r="Q72" s="5">
        <v>55.799999999999983</v>
      </c>
      <c r="R72" s="5">
        <f t="shared" si="33"/>
        <v>119.69999999999999</v>
      </c>
      <c r="S72" s="5">
        <f t="shared" si="24"/>
        <v>84</v>
      </c>
      <c r="T72" s="1">
        <f t="shared" si="31"/>
        <v>15.985915492957748</v>
      </c>
      <c r="U72" s="1">
        <f t="shared" si="32"/>
        <v>10.070422535211268</v>
      </c>
      <c r="V72" s="1">
        <v>19.2</v>
      </c>
      <c r="W72" s="1">
        <v>17.2</v>
      </c>
      <c r="X72" s="1">
        <v>4.2</v>
      </c>
      <c r="Y72" s="1">
        <v>11.4</v>
      </c>
      <c r="Z72" s="1">
        <v>36.6</v>
      </c>
      <c r="AA72" s="1">
        <v>10.8</v>
      </c>
      <c r="AB72" s="1">
        <v>0</v>
      </c>
      <c r="AC72" s="1">
        <v>0</v>
      </c>
      <c r="AD72" s="1">
        <v>0</v>
      </c>
      <c r="AE72" s="1">
        <v>0</v>
      </c>
      <c r="AF72" s="1" t="s">
        <v>170</v>
      </c>
      <c r="AG72" s="1">
        <f t="shared" si="25"/>
        <v>26.333999999999996</v>
      </c>
      <c r="AH72" s="7">
        <v>6</v>
      </c>
      <c r="AI72" s="9">
        <f t="shared" si="26"/>
        <v>14</v>
      </c>
      <c r="AJ72" s="1">
        <f t="shared" si="27"/>
        <v>18.48</v>
      </c>
      <c r="AK72" s="1">
        <v>14</v>
      </c>
      <c r="AL72" s="1">
        <v>140</v>
      </c>
      <c r="AM72" s="9">
        <f t="shared" si="28"/>
        <v>0.1</v>
      </c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171</v>
      </c>
      <c r="B73" s="1" t="s">
        <v>42</v>
      </c>
      <c r="C73" s="1">
        <v>252</v>
      </c>
      <c r="D73" s="1">
        <v>720</v>
      </c>
      <c r="E73" s="1">
        <v>257</v>
      </c>
      <c r="F73" s="1">
        <v>662</v>
      </c>
      <c r="G73" s="7">
        <v>0.25</v>
      </c>
      <c r="H73" s="1">
        <v>180</v>
      </c>
      <c r="I73" s="1" t="s">
        <v>172</v>
      </c>
      <c r="J73" s="1"/>
      <c r="K73" s="1">
        <v>257</v>
      </c>
      <c r="L73" s="1">
        <f t="shared" si="29"/>
        <v>0</v>
      </c>
      <c r="M73" s="1"/>
      <c r="N73" s="1"/>
      <c r="O73" s="1"/>
      <c r="P73" s="1">
        <f t="shared" si="30"/>
        <v>51.4</v>
      </c>
      <c r="Q73" s="5">
        <v>109</v>
      </c>
      <c r="R73" s="5">
        <f t="shared" si="33"/>
        <v>288.89999999999998</v>
      </c>
      <c r="S73" s="5">
        <f t="shared" si="24"/>
        <v>336</v>
      </c>
      <c r="T73" s="1">
        <f t="shared" si="31"/>
        <v>19.416342412451364</v>
      </c>
      <c r="U73" s="1">
        <f t="shared" si="32"/>
        <v>12.879377431906615</v>
      </c>
      <c r="V73" s="1">
        <v>68</v>
      </c>
      <c r="W73" s="1">
        <v>81</v>
      </c>
      <c r="X73" s="1">
        <v>92.4</v>
      </c>
      <c r="Y73" s="1">
        <v>133.6</v>
      </c>
      <c r="Z73" s="1">
        <v>161</v>
      </c>
      <c r="AA73" s="1">
        <v>199</v>
      </c>
      <c r="AB73" s="1">
        <v>158.4</v>
      </c>
      <c r="AC73" s="1">
        <v>149.6</v>
      </c>
      <c r="AD73" s="1">
        <v>187.6</v>
      </c>
      <c r="AE73" s="1">
        <v>139</v>
      </c>
      <c r="AF73" s="1"/>
      <c r="AG73" s="1">
        <f t="shared" si="25"/>
        <v>72.224999999999994</v>
      </c>
      <c r="AH73" s="7">
        <v>12</v>
      </c>
      <c r="AI73" s="9">
        <f t="shared" si="26"/>
        <v>28</v>
      </c>
      <c r="AJ73" s="1">
        <f t="shared" si="27"/>
        <v>84</v>
      </c>
      <c r="AK73" s="1">
        <v>14</v>
      </c>
      <c r="AL73" s="1">
        <v>70</v>
      </c>
      <c r="AM73" s="9">
        <f t="shared" si="28"/>
        <v>0.4</v>
      </c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173</v>
      </c>
      <c r="B74" s="1" t="s">
        <v>42</v>
      </c>
      <c r="C74" s="1">
        <v>377</v>
      </c>
      <c r="D74" s="1">
        <v>891</v>
      </c>
      <c r="E74" s="1">
        <v>291</v>
      </c>
      <c r="F74" s="1">
        <v>908</v>
      </c>
      <c r="G74" s="7">
        <v>0.25</v>
      </c>
      <c r="H74" s="1">
        <v>180</v>
      </c>
      <c r="I74" s="1" t="s">
        <v>174</v>
      </c>
      <c r="J74" s="1"/>
      <c r="K74" s="1">
        <v>309</v>
      </c>
      <c r="L74" s="1">
        <f t="shared" si="29"/>
        <v>-18</v>
      </c>
      <c r="M74" s="1"/>
      <c r="N74" s="1"/>
      <c r="O74" s="1"/>
      <c r="P74" s="1">
        <f t="shared" si="30"/>
        <v>58.2</v>
      </c>
      <c r="Q74" s="5"/>
      <c r="R74" s="5"/>
      <c r="S74" s="5">
        <f t="shared" si="24"/>
        <v>0</v>
      </c>
      <c r="T74" s="1">
        <f t="shared" si="31"/>
        <v>15.601374570446735</v>
      </c>
      <c r="U74" s="1">
        <f t="shared" si="32"/>
        <v>15.601374570446735</v>
      </c>
      <c r="V74" s="1">
        <v>75.599999999999994</v>
      </c>
      <c r="W74" s="1">
        <v>91.4</v>
      </c>
      <c r="X74" s="1">
        <v>101.8</v>
      </c>
      <c r="Y74" s="1">
        <v>129</v>
      </c>
      <c r="Z74" s="1">
        <v>148</v>
      </c>
      <c r="AA74" s="1">
        <v>142.6</v>
      </c>
      <c r="AB74" s="1">
        <v>124.8</v>
      </c>
      <c r="AC74" s="1">
        <v>120</v>
      </c>
      <c r="AD74" s="1">
        <v>168</v>
      </c>
      <c r="AE74" s="1">
        <v>118</v>
      </c>
      <c r="AF74" s="1"/>
      <c r="AG74" s="1">
        <f t="shared" si="25"/>
        <v>0</v>
      </c>
      <c r="AH74" s="7">
        <v>12</v>
      </c>
      <c r="AI74" s="9">
        <f t="shared" si="26"/>
        <v>0</v>
      </c>
      <c r="AJ74" s="1">
        <f t="shared" si="27"/>
        <v>0</v>
      </c>
      <c r="AK74" s="1">
        <v>14</v>
      </c>
      <c r="AL74" s="1">
        <v>70</v>
      </c>
      <c r="AM74" s="9">
        <f t="shared" si="28"/>
        <v>0</v>
      </c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175</v>
      </c>
      <c r="B75" s="1" t="s">
        <v>42</v>
      </c>
      <c r="C75" s="1">
        <v>96</v>
      </c>
      <c r="D75" s="1">
        <v>1</v>
      </c>
      <c r="E75" s="1">
        <v>38</v>
      </c>
      <c r="F75" s="1">
        <v>52</v>
      </c>
      <c r="G75" s="7">
        <v>0.2</v>
      </c>
      <c r="H75" s="1">
        <v>365</v>
      </c>
      <c r="I75" s="1" t="s">
        <v>176</v>
      </c>
      <c r="J75" s="1"/>
      <c r="K75" s="1">
        <v>38</v>
      </c>
      <c r="L75" s="1">
        <f t="shared" si="29"/>
        <v>0</v>
      </c>
      <c r="M75" s="1"/>
      <c r="N75" s="1"/>
      <c r="O75" s="1"/>
      <c r="P75" s="1">
        <f t="shared" si="30"/>
        <v>7.6</v>
      </c>
      <c r="Q75" s="5">
        <v>54.399999999999991</v>
      </c>
      <c r="R75" s="5">
        <f t="shared" si="33"/>
        <v>88.6</v>
      </c>
      <c r="S75" s="5">
        <f t="shared" si="24"/>
        <v>84</v>
      </c>
      <c r="T75" s="1">
        <f t="shared" si="31"/>
        <v>17.894736842105264</v>
      </c>
      <c r="U75" s="1">
        <f t="shared" si="32"/>
        <v>6.8421052631578947</v>
      </c>
      <c r="V75" s="1">
        <v>7.2</v>
      </c>
      <c r="W75" s="1">
        <v>6.6</v>
      </c>
      <c r="X75" s="1">
        <v>10.199999999999999</v>
      </c>
      <c r="Y75" s="1">
        <v>13.2</v>
      </c>
      <c r="Z75" s="1">
        <v>17.600000000000001</v>
      </c>
      <c r="AA75" s="1">
        <v>20</v>
      </c>
      <c r="AB75" s="1">
        <v>19.2</v>
      </c>
      <c r="AC75" s="1">
        <v>15.6</v>
      </c>
      <c r="AD75" s="1">
        <v>14.2</v>
      </c>
      <c r="AE75" s="1">
        <v>9.1999999999999993</v>
      </c>
      <c r="AF75" s="1"/>
      <c r="AG75" s="1">
        <f t="shared" si="25"/>
        <v>17.72</v>
      </c>
      <c r="AH75" s="7">
        <v>6</v>
      </c>
      <c r="AI75" s="9">
        <f t="shared" si="26"/>
        <v>14</v>
      </c>
      <c r="AJ75" s="1">
        <f t="shared" si="27"/>
        <v>16.8</v>
      </c>
      <c r="AK75" s="1">
        <v>14</v>
      </c>
      <c r="AL75" s="1">
        <v>140</v>
      </c>
      <c r="AM75" s="9">
        <f t="shared" si="28"/>
        <v>0.1</v>
      </c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177</v>
      </c>
      <c r="B76" s="1" t="s">
        <v>42</v>
      </c>
      <c r="C76" s="1">
        <v>194</v>
      </c>
      <c r="D76" s="1"/>
      <c r="E76" s="1">
        <v>71</v>
      </c>
      <c r="F76" s="1">
        <v>117</v>
      </c>
      <c r="G76" s="7">
        <v>0.23</v>
      </c>
      <c r="H76" s="1">
        <v>180</v>
      </c>
      <c r="I76" s="1" t="s">
        <v>178</v>
      </c>
      <c r="J76" s="1"/>
      <c r="K76" s="1">
        <v>71</v>
      </c>
      <c r="L76" s="1">
        <f t="shared" si="29"/>
        <v>0</v>
      </c>
      <c r="M76" s="1"/>
      <c r="N76" s="1"/>
      <c r="O76" s="1"/>
      <c r="P76" s="1">
        <f t="shared" si="30"/>
        <v>14.2</v>
      </c>
      <c r="Q76" s="5">
        <v>81.799999999999983</v>
      </c>
      <c r="R76" s="5">
        <f t="shared" si="33"/>
        <v>145.69999999999999</v>
      </c>
      <c r="S76" s="5">
        <f t="shared" si="24"/>
        <v>168</v>
      </c>
      <c r="T76" s="1">
        <f t="shared" si="31"/>
        <v>20.070422535211268</v>
      </c>
      <c r="U76" s="1">
        <f t="shared" si="32"/>
        <v>8.23943661971831</v>
      </c>
      <c r="V76" s="1">
        <v>9.4</v>
      </c>
      <c r="W76" s="1">
        <v>4.8</v>
      </c>
      <c r="X76" s="1">
        <v>2.4</v>
      </c>
      <c r="Y76" s="1">
        <v>29.4</v>
      </c>
      <c r="Z76" s="1">
        <v>30.4</v>
      </c>
      <c r="AA76" s="1">
        <v>31.4</v>
      </c>
      <c r="AB76" s="1">
        <v>18.399999999999999</v>
      </c>
      <c r="AC76" s="1">
        <v>14.4</v>
      </c>
      <c r="AD76" s="1">
        <v>19.2</v>
      </c>
      <c r="AE76" s="1">
        <v>15.2</v>
      </c>
      <c r="AF76" s="1"/>
      <c r="AG76" s="1">
        <f t="shared" si="25"/>
        <v>33.510999999999996</v>
      </c>
      <c r="AH76" s="7">
        <v>6</v>
      </c>
      <c r="AI76" s="9">
        <f t="shared" si="26"/>
        <v>28</v>
      </c>
      <c r="AJ76" s="1">
        <f t="shared" si="27"/>
        <v>38.64</v>
      </c>
      <c r="AK76" s="1">
        <v>14</v>
      </c>
      <c r="AL76" s="1">
        <v>140</v>
      </c>
      <c r="AM76" s="9">
        <f t="shared" si="28"/>
        <v>0.2</v>
      </c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179</v>
      </c>
      <c r="B77" s="1" t="s">
        <v>42</v>
      </c>
      <c r="C77" s="1">
        <v>179</v>
      </c>
      <c r="D77" s="1">
        <v>324</v>
      </c>
      <c r="E77" s="1">
        <v>132</v>
      </c>
      <c r="F77" s="1">
        <v>215</v>
      </c>
      <c r="G77" s="7">
        <v>0.23</v>
      </c>
      <c r="H77" s="1"/>
      <c r="I77" s="1" t="s">
        <v>169</v>
      </c>
      <c r="J77" s="1"/>
      <c r="K77" s="1">
        <v>138</v>
      </c>
      <c r="L77" s="1">
        <f t="shared" si="29"/>
        <v>-6</v>
      </c>
      <c r="M77" s="1"/>
      <c r="N77" s="1"/>
      <c r="O77" s="1"/>
      <c r="P77" s="1">
        <f t="shared" si="30"/>
        <v>26.4</v>
      </c>
      <c r="Q77" s="5">
        <v>154.59999999999997</v>
      </c>
      <c r="R77" s="5">
        <f t="shared" si="33"/>
        <v>273.39999999999998</v>
      </c>
      <c r="S77" s="5">
        <f t="shared" si="24"/>
        <v>252</v>
      </c>
      <c r="T77" s="1">
        <f t="shared" si="31"/>
        <v>17.689393939393941</v>
      </c>
      <c r="U77" s="1">
        <f t="shared" si="32"/>
        <v>8.1439393939393945</v>
      </c>
      <c r="V77" s="1">
        <v>28</v>
      </c>
      <c r="W77" s="1">
        <v>29</v>
      </c>
      <c r="X77" s="1">
        <v>20.2</v>
      </c>
      <c r="Y77" s="1">
        <v>32.799999999999997</v>
      </c>
      <c r="Z77" s="1">
        <v>72.2</v>
      </c>
      <c r="AA77" s="1">
        <v>10.6</v>
      </c>
      <c r="AB77" s="1">
        <v>0</v>
      </c>
      <c r="AC77" s="1">
        <v>0</v>
      </c>
      <c r="AD77" s="1">
        <v>0</v>
      </c>
      <c r="AE77" s="1">
        <v>0</v>
      </c>
      <c r="AF77" s="1" t="s">
        <v>170</v>
      </c>
      <c r="AG77" s="1">
        <f t="shared" si="25"/>
        <v>62.881999999999998</v>
      </c>
      <c r="AH77" s="7">
        <v>6</v>
      </c>
      <c r="AI77" s="9">
        <f t="shared" si="26"/>
        <v>42</v>
      </c>
      <c r="AJ77" s="1">
        <f t="shared" si="27"/>
        <v>57.96</v>
      </c>
      <c r="AK77" s="1">
        <v>14</v>
      </c>
      <c r="AL77" s="1">
        <v>140</v>
      </c>
      <c r="AM77" s="9">
        <f t="shared" si="28"/>
        <v>0.3</v>
      </c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180</v>
      </c>
      <c r="B78" s="1" t="s">
        <v>89</v>
      </c>
      <c r="C78" s="1">
        <v>35.1</v>
      </c>
      <c r="D78" s="1">
        <v>37.799999999999997</v>
      </c>
      <c r="E78" s="1">
        <v>5.4</v>
      </c>
      <c r="F78" s="1">
        <v>67.5</v>
      </c>
      <c r="G78" s="7">
        <v>1</v>
      </c>
      <c r="H78" s="1">
        <v>180</v>
      </c>
      <c r="I78" s="1" t="s">
        <v>181</v>
      </c>
      <c r="J78" s="1"/>
      <c r="K78" s="1">
        <v>5.4</v>
      </c>
      <c r="L78" s="1">
        <f t="shared" si="29"/>
        <v>0</v>
      </c>
      <c r="M78" s="1"/>
      <c r="N78" s="1"/>
      <c r="O78" s="1"/>
      <c r="P78" s="1">
        <f t="shared" si="30"/>
        <v>1.08</v>
      </c>
      <c r="Q78" s="5"/>
      <c r="R78" s="5"/>
      <c r="S78" s="5">
        <f t="shared" si="24"/>
        <v>0</v>
      </c>
      <c r="T78" s="1">
        <f t="shared" si="31"/>
        <v>62.499999999999993</v>
      </c>
      <c r="U78" s="1">
        <f t="shared" si="32"/>
        <v>62.499999999999993</v>
      </c>
      <c r="V78" s="1">
        <v>2.16</v>
      </c>
      <c r="W78" s="1">
        <v>4.32</v>
      </c>
      <c r="X78" s="1">
        <v>3.24</v>
      </c>
      <c r="Y78" s="1">
        <v>5.4</v>
      </c>
      <c r="Z78" s="1">
        <v>3.78</v>
      </c>
      <c r="AA78" s="1">
        <v>7.56</v>
      </c>
      <c r="AB78" s="1">
        <v>8.64</v>
      </c>
      <c r="AC78" s="1">
        <v>9.7200000000000006</v>
      </c>
      <c r="AD78" s="1">
        <v>4.8600000000000003</v>
      </c>
      <c r="AE78" s="1">
        <v>3.78</v>
      </c>
      <c r="AF78" s="22" t="s">
        <v>78</v>
      </c>
      <c r="AG78" s="1">
        <f t="shared" si="25"/>
        <v>0</v>
      </c>
      <c r="AH78" s="7">
        <v>2.7</v>
      </c>
      <c r="AI78" s="9">
        <f t="shared" si="26"/>
        <v>0</v>
      </c>
      <c r="AJ78" s="1">
        <f t="shared" si="27"/>
        <v>0</v>
      </c>
      <c r="AK78" s="1">
        <v>14</v>
      </c>
      <c r="AL78" s="1">
        <v>126</v>
      </c>
      <c r="AM78" s="9">
        <f t="shared" si="28"/>
        <v>0</v>
      </c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182</v>
      </c>
      <c r="B79" s="1" t="s">
        <v>89</v>
      </c>
      <c r="C79" s="1">
        <v>465</v>
      </c>
      <c r="D79" s="1">
        <v>30</v>
      </c>
      <c r="E79" s="1">
        <v>270</v>
      </c>
      <c r="F79" s="1">
        <v>170</v>
      </c>
      <c r="G79" s="7">
        <v>1</v>
      </c>
      <c r="H79" s="1">
        <v>180</v>
      </c>
      <c r="I79" s="1" t="s">
        <v>183</v>
      </c>
      <c r="J79" s="1"/>
      <c r="K79" s="1">
        <v>270</v>
      </c>
      <c r="L79" s="1">
        <f t="shared" si="29"/>
        <v>0</v>
      </c>
      <c r="M79" s="1"/>
      <c r="N79" s="1"/>
      <c r="O79" s="1"/>
      <c r="P79" s="1">
        <f t="shared" si="30"/>
        <v>54</v>
      </c>
      <c r="Q79" s="5">
        <v>586</v>
      </c>
      <c r="R79" s="5">
        <f>14*P79-F79+P79*$R$1</f>
        <v>829</v>
      </c>
      <c r="S79" s="5">
        <f t="shared" si="24"/>
        <v>840</v>
      </c>
      <c r="T79" s="1">
        <f t="shared" si="31"/>
        <v>18.703703703703702</v>
      </c>
      <c r="U79" s="1">
        <f t="shared" si="32"/>
        <v>3.1481481481481484</v>
      </c>
      <c r="V79" s="1">
        <v>45</v>
      </c>
      <c r="W79" s="1">
        <v>48</v>
      </c>
      <c r="X79" s="1">
        <v>54</v>
      </c>
      <c r="Y79" s="1">
        <v>78</v>
      </c>
      <c r="Z79" s="1">
        <v>64</v>
      </c>
      <c r="AA79" s="1">
        <v>52</v>
      </c>
      <c r="AB79" s="1">
        <v>57</v>
      </c>
      <c r="AC79" s="1">
        <v>43</v>
      </c>
      <c r="AD79" s="1">
        <v>53</v>
      </c>
      <c r="AE79" s="1">
        <v>46</v>
      </c>
      <c r="AF79" s="1"/>
      <c r="AG79" s="1">
        <f t="shared" si="25"/>
        <v>829</v>
      </c>
      <c r="AH79" s="7">
        <v>5</v>
      </c>
      <c r="AI79" s="9">
        <f t="shared" si="26"/>
        <v>168</v>
      </c>
      <c r="AJ79" s="1">
        <f t="shared" si="27"/>
        <v>840</v>
      </c>
      <c r="AK79" s="1">
        <v>12</v>
      </c>
      <c r="AL79" s="1">
        <v>84</v>
      </c>
      <c r="AM79" s="9">
        <f t="shared" si="28"/>
        <v>2</v>
      </c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27" t="s">
        <v>186</v>
      </c>
      <c r="B80" s="27" t="s">
        <v>42</v>
      </c>
      <c r="C80" s="27"/>
      <c r="D80" s="27"/>
      <c r="E80" s="27"/>
      <c r="F80" s="27"/>
      <c r="G80" s="28">
        <v>0.8</v>
      </c>
      <c r="H80" s="27">
        <v>180</v>
      </c>
      <c r="I80" s="27" t="s">
        <v>187</v>
      </c>
      <c r="J80" s="27"/>
      <c r="K80" s="27"/>
      <c r="L80" s="27"/>
      <c r="M80" s="27"/>
      <c r="N80" s="27"/>
      <c r="O80" s="27"/>
      <c r="P80" s="27">
        <f t="shared" ref="P80:P81" si="34">E80/5</f>
        <v>0</v>
      </c>
      <c r="Q80" s="29"/>
      <c r="R80" s="29">
        <v>50</v>
      </c>
      <c r="S80" s="29">
        <f t="shared" si="24"/>
        <v>96</v>
      </c>
      <c r="T80" s="27" t="e">
        <f t="shared" ref="T80:T81" si="35">(F80+S80)/P80</f>
        <v>#DIV/0!</v>
      </c>
      <c r="U80" s="27" t="e">
        <f t="shared" ref="U80:U81" si="36">F80/P80</f>
        <v>#DIV/0!</v>
      </c>
      <c r="V80" s="27">
        <v>0</v>
      </c>
      <c r="W80" s="27">
        <v>0</v>
      </c>
      <c r="X80" s="27">
        <v>0</v>
      </c>
      <c r="Y80" s="27">
        <v>0</v>
      </c>
      <c r="Z80" s="27">
        <v>0</v>
      </c>
      <c r="AA80" s="27">
        <v>0</v>
      </c>
      <c r="AB80" s="27">
        <v>0</v>
      </c>
      <c r="AC80" s="27">
        <v>0</v>
      </c>
      <c r="AD80" s="27">
        <v>0</v>
      </c>
      <c r="AE80" s="27">
        <v>0</v>
      </c>
      <c r="AF80" s="27" t="s">
        <v>170</v>
      </c>
      <c r="AG80" s="27">
        <f t="shared" si="25"/>
        <v>40</v>
      </c>
      <c r="AH80" s="28">
        <v>8</v>
      </c>
      <c r="AI80" s="30">
        <f t="shared" ref="AI80:AI81" si="37">MROUND(R80, AH80*AK80)/AH80</f>
        <v>12</v>
      </c>
      <c r="AJ80" s="27">
        <f t="shared" ref="AJ80:AJ81" si="38">AI80*AH80*G80</f>
        <v>76.800000000000011</v>
      </c>
      <c r="AK80" s="27">
        <v>12</v>
      </c>
      <c r="AL80" s="27">
        <v>84</v>
      </c>
      <c r="AM80" s="30">
        <f t="shared" si="28"/>
        <v>0.14285714285714285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27" t="s">
        <v>188</v>
      </c>
      <c r="B81" s="27" t="s">
        <v>42</v>
      </c>
      <c r="C81" s="27"/>
      <c r="D81" s="27"/>
      <c r="E81" s="27"/>
      <c r="F81" s="27"/>
      <c r="G81" s="28">
        <v>0.4</v>
      </c>
      <c r="H81" s="27">
        <v>180</v>
      </c>
      <c r="I81" s="27" t="s">
        <v>189</v>
      </c>
      <c r="J81" s="27"/>
      <c r="K81" s="27"/>
      <c r="L81" s="27"/>
      <c r="M81" s="27"/>
      <c r="N81" s="27"/>
      <c r="O81" s="27"/>
      <c r="P81" s="27">
        <f t="shared" si="34"/>
        <v>0</v>
      </c>
      <c r="Q81" s="29"/>
      <c r="R81" s="29">
        <v>100</v>
      </c>
      <c r="S81" s="29">
        <f t="shared" si="24"/>
        <v>192</v>
      </c>
      <c r="T81" s="27" t="e">
        <f t="shared" si="35"/>
        <v>#DIV/0!</v>
      </c>
      <c r="U81" s="27" t="e">
        <f t="shared" si="36"/>
        <v>#DIV/0!</v>
      </c>
      <c r="V81" s="27">
        <v>0</v>
      </c>
      <c r="W81" s="27">
        <v>0</v>
      </c>
      <c r="X81" s="27">
        <v>0</v>
      </c>
      <c r="Y81" s="27">
        <v>0</v>
      </c>
      <c r="Z81" s="27">
        <v>0</v>
      </c>
      <c r="AA81" s="27">
        <v>0</v>
      </c>
      <c r="AB81" s="27">
        <v>0</v>
      </c>
      <c r="AC81" s="27">
        <v>0</v>
      </c>
      <c r="AD81" s="27">
        <v>0</v>
      </c>
      <c r="AE81" s="27">
        <v>0</v>
      </c>
      <c r="AF81" s="27" t="s">
        <v>170</v>
      </c>
      <c r="AG81" s="27">
        <f t="shared" si="25"/>
        <v>40</v>
      </c>
      <c r="AH81" s="28">
        <v>16</v>
      </c>
      <c r="AI81" s="30">
        <f t="shared" si="37"/>
        <v>12</v>
      </c>
      <c r="AJ81" s="27">
        <f t="shared" si="38"/>
        <v>76.800000000000011</v>
      </c>
      <c r="AK81" s="27">
        <v>12</v>
      </c>
      <c r="AL81" s="27">
        <v>84</v>
      </c>
      <c r="AM81" s="30">
        <f t="shared" si="28"/>
        <v>0.14285714285714285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7"/>
      <c r="AI82" s="9"/>
      <c r="AJ82" s="1"/>
      <c r="AK82" s="1"/>
      <c r="AL82" s="1"/>
      <c r="AM82" s="9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7"/>
      <c r="AI83" s="9"/>
      <c r="AJ83" s="1"/>
      <c r="AK83" s="1"/>
      <c r="AL83" s="1"/>
      <c r="AM83" s="9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7"/>
      <c r="AI84" s="9"/>
      <c r="AJ84" s="1"/>
      <c r="AK84" s="1"/>
      <c r="AL84" s="1"/>
      <c r="AM84" s="9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7"/>
      <c r="AI85" s="9"/>
      <c r="AJ85" s="1"/>
      <c r="AK85" s="1"/>
      <c r="AL85" s="1"/>
      <c r="AM85" s="9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7"/>
      <c r="AI86" s="9"/>
      <c r="AJ86" s="1"/>
      <c r="AK86" s="1"/>
      <c r="AL86" s="1"/>
      <c r="AM86" s="9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7"/>
      <c r="AI87" s="9"/>
      <c r="AJ87" s="1"/>
      <c r="AK87" s="1"/>
      <c r="AL87" s="1"/>
      <c r="AM87" s="9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7"/>
      <c r="AI88" s="9"/>
      <c r="AJ88" s="1"/>
      <c r="AK88" s="1"/>
      <c r="AL88" s="1"/>
      <c r="AM88" s="9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7"/>
      <c r="AI89" s="9"/>
      <c r="AJ89" s="1"/>
      <c r="AK89" s="1"/>
      <c r="AL89" s="1"/>
      <c r="AM89" s="9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7"/>
      <c r="AI90" s="9"/>
      <c r="AJ90" s="1"/>
      <c r="AK90" s="1"/>
      <c r="AL90" s="1"/>
      <c r="AM90" s="9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7"/>
      <c r="AI91" s="9"/>
      <c r="AJ91" s="1"/>
      <c r="AK91" s="1"/>
      <c r="AL91" s="1"/>
      <c r="AM91" s="9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7"/>
      <c r="AI92" s="9"/>
      <c r="AJ92" s="1"/>
      <c r="AK92" s="1"/>
      <c r="AL92" s="1"/>
      <c r="AM92" s="9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7"/>
      <c r="AI93" s="9"/>
      <c r="AJ93" s="1"/>
      <c r="AK93" s="1"/>
      <c r="AL93" s="1"/>
      <c r="AM93" s="9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7"/>
      <c r="AI94" s="9"/>
      <c r="AJ94" s="1"/>
      <c r="AK94" s="1"/>
      <c r="AL94" s="1"/>
      <c r="AM94" s="9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7"/>
      <c r="AI95" s="9"/>
      <c r="AJ95" s="1"/>
      <c r="AK95" s="1"/>
      <c r="AL95" s="1"/>
      <c r="AM95" s="9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7"/>
      <c r="AI96" s="9"/>
      <c r="AJ96" s="1"/>
      <c r="AK96" s="1"/>
      <c r="AL96" s="1"/>
      <c r="AM96" s="9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7"/>
      <c r="AI97" s="9"/>
      <c r="AJ97" s="1"/>
      <c r="AK97" s="1"/>
      <c r="AL97" s="1"/>
      <c r="AM97" s="9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7"/>
      <c r="AI98" s="9"/>
      <c r="AJ98" s="1"/>
      <c r="AK98" s="1"/>
      <c r="AL98" s="1"/>
      <c r="AM98" s="9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7"/>
      <c r="AI99" s="9"/>
      <c r="AJ99" s="1"/>
      <c r="AK99" s="1"/>
      <c r="AL99" s="1"/>
      <c r="AM99" s="9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7"/>
      <c r="AI100" s="9"/>
      <c r="AJ100" s="1"/>
      <c r="AK100" s="1"/>
      <c r="AL100" s="1"/>
      <c r="AM100" s="9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7"/>
      <c r="AI101" s="9"/>
      <c r="AJ101" s="1"/>
      <c r="AK101" s="1"/>
      <c r="AL101" s="1"/>
      <c r="AM101" s="9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7"/>
      <c r="AI102" s="9"/>
      <c r="AJ102" s="1"/>
      <c r="AK102" s="1"/>
      <c r="AL102" s="1"/>
      <c r="AM102" s="9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7"/>
      <c r="AI103" s="9"/>
      <c r="AJ103" s="1"/>
      <c r="AK103" s="1"/>
      <c r="AL103" s="1"/>
      <c r="AM103" s="9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7"/>
      <c r="AI104" s="9"/>
      <c r="AJ104" s="1"/>
      <c r="AK104" s="1"/>
      <c r="AL104" s="1"/>
      <c r="AM104" s="9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7"/>
      <c r="AI105" s="9"/>
      <c r="AJ105" s="1"/>
      <c r="AK105" s="1"/>
      <c r="AL105" s="1"/>
      <c r="AM105" s="9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7"/>
      <c r="AI106" s="9"/>
      <c r="AJ106" s="1"/>
      <c r="AK106" s="1"/>
      <c r="AL106" s="1"/>
      <c r="AM106" s="9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7"/>
      <c r="AI107" s="9"/>
      <c r="AJ107" s="1"/>
      <c r="AK107" s="1"/>
      <c r="AL107" s="1"/>
      <c r="AM107" s="9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7"/>
      <c r="AI108" s="9"/>
      <c r="AJ108" s="1"/>
      <c r="AK108" s="1"/>
      <c r="AL108" s="1"/>
      <c r="AM108" s="9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7"/>
      <c r="AI109" s="9"/>
      <c r="AJ109" s="1"/>
      <c r="AK109" s="1"/>
      <c r="AL109" s="1"/>
      <c r="AM109" s="9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7"/>
      <c r="AI110" s="9"/>
      <c r="AJ110" s="1"/>
      <c r="AK110" s="1"/>
      <c r="AL110" s="1"/>
      <c r="AM110" s="9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7"/>
      <c r="AI111" s="9"/>
      <c r="AJ111" s="1"/>
      <c r="AK111" s="1"/>
      <c r="AL111" s="1"/>
      <c r="AM111" s="9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7"/>
      <c r="AI112" s="9"/>
      <c r="AJ112" s="1"/>
      <c r="AK112" s="1"/>
      <c r="AL112" s="1"/>
      <c r="AM112" s="9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7"/>
      <c r="AI113" s="9"/>
      <c r="AJ113" s="1"/>
      <c r="AK113" s="1"/>
      <c r="AL113" s="1"/>
      <c r="AM113" s="9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7"/>
      <c r="AI114" s="9"/>
      <c r="AJ114" s="1"/>
      <c r="AK114" s="1"/>
      <c r="AL114" s="1"/>
      <c r="AM114" s="9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7"/>
      <c r="AI115" s="9"/>
      <c r="AJ115" s="1"/>
      <c r="AK115" s="1"/>
      <c r="AL115" s="1"/>
      <c r="AM115" s="9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7"/>
      <c r="AI116" s="9"/>
      <c r="AJ116" s="1"/>
      <c r="AK116" s="1"/>
      <c r="AL116" s="1"/>
      <c r="AM116" s="9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7"/>
      <c r="AI117" s="9"/>
      <c r="AJ117" s="1"/>
      <c r="AK117" s="1"/>
      <c r="AL117" s="1"/>
      <c r="AM117" s="9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7"/>
      <c r="AI118" s="9"/>
      <c r="AJ118" s="1"/>
      <c r="AK118" s="1"/>
      <c r="AL118" s="1"/>
      <c r="AM118" s="9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7"/>
      <c r="AI119" s="9"/>
      <c r="AJ119" s="1"/>
      <c r="AK119" s="1"/>
      <c r="AL119" s="1"/>
      <c r="AM119" s="9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7"/>
      <c r="AI120" s="9"/>
      <c r="AJ120" s="1"/>
      <c r="AK120" s="1"/>
      <c r="AL120" s="1"/>
      <c r="AM120" s="9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7"/>
      <c r="AI121" s="9"/>
      <c r="AJ121" s="1"/>
      <c r="AK121" s="1"/>
      <c r="AL121" s="1"/>
      <c r="AM121" s="9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7"/>
      <c r="AI122" s="9"/>
      <c r="AJ122" s="1"/>
      <c r="AK122" s="1"/>
      <c r="AL122" s="1"/>
      <c r="AM122" s="9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7"/>
      <c r="AI123" s="9"/>
      <c r="AJ123" s="1"/>
      <c r="AK123" s="1"/>
      <c r="AL123" s="1"/>
      <c r="AM123" s="9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7"/>
      <c r="AI124" s="9"/>
      <c r="AJ124" s="1"/>
      <c r="AK124" s="1"/>
      <c r="AL124" s="1"/>
      <c r="AM124" s="9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7"/>
      <c r="AI125" s="9"/>
      <c r="AJ125" s="1"/>
      <c r="AK125" s="1"/>
      <c r="AL125" s="1"/>
      <c r="AM125" s="9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7"/>
      <c r="AI126" s="9"/>
      <c r="AJ126" s="1"/>
      <c r="AK126" s="1"/>
      <c r="AL126" s="1"/>
      <c r="AM126" s="9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7"/>
      <c r="AI127" s="9"/>
      <c r="AJ127" s="1"/>
      <c r="AK127" s="1"/>
      <c r="AL127" s="1"/>
      <c r="AM127" s="9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7"/>
      <c r="AI128" s="9"/>
      <c r="AJ128" s="1"/>
      <c r="AK128" s="1"/>
      <c r="AL128" s="1"/>
      <c r="AM128" s="9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7"/>
      <c r="AI129" s="9"/>
      <c r="AJ129" s="1"/>
      <c r="AK129" s="1"/>
      <c r="AL129" s="1"/>
      <c r="AM129" s="9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7"/>
      <c r="AI130" s="9"/>
      <c r="AJ130" s="1"/>
      <c r="AK130" s="1"/>
      <c r="AL130" s="1"/>
      <c r="AM130" s="9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7"/>
      <c r="AI131" s="9"/>
      <c r="AJ131" s="1"/>
      <c r="AK131" s="1"/>
      <c r="AL131" s="1"/>
      <c r="AM131" s="9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7"/>
      <c r="AI132" s="9"/>
      <c r="AJ132" s="1"/>
      <c r="AK132" s="1"/>
      <c r="AL132" s="1"/>
      <c r="AM132" s="9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7"/>
      <c r="AI133" s="9"/>
      <c r="AJ133" s="1"/>
      <c r="AK133" s="1"/>
      <c r="AL133" s="1"/>
      <c r="AM133" s="9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7"/>
      <c r="AI134" s="9"/>
      <c r="AJ134" s="1"/>
      <c r="AK134" s="1"/>
      <c r="AL134" s="1"/>
      <c r="AM134" s="9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7"/>
      <c r="AI135" s="9"/>
      <c r="AJ135" s="1"/>
      <c r="AK135" s="1"/>
      <c r="AL135" s="1"/>
      <c r="AM135" s="9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7"/>
      <c r="AI136" s="9"/>
      <c r="AJ136" s="1"/>
      <c r="AK136" s="1"/>
      <c r="AL136" s="1"/>
      <c r="AM136" s="9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7"/>
      <c r="AI137" s="9"/>
      <c r="AJ137" s="1"/>
      <c r="AK137" s="1"/>
      <c r="AL137" s="1"/>
      <c r="AM137" s="9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7"/>
      <c r="AI138" s="9"/>
      <c r="AJ138" s="1"/>
      <c r="AK138" s="1"/>
      <c r="AL138" s="1"/>
      <c r="AM138" s="9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7"/>
      <c r="AI139" s="9"/>
      <c r="AJ139" s="1"/>
      <c r="AK139" s="1"/>
      <c r="AL139" s="1"/>
      <c r="AM139" s="9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7"/>
      <c r="AI140" s="9"/>
      <c r="AJ140" s="1"/>
      <c r="AK140" s="1"/>
      <c r="AL140" s="1"/>
      <c r="AM140" s="9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7"/>
      <c r="AI141" s="9"/>
      <c r="AJ141" s="1"/>
      <c r="AK141" s="1"/>
      <c r="AL141" s="1"/>
      <c r="AM141" s="9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7"/>
      <c r="AI142" s="9"/>
      <c r="AJ142" s="1"/>
      <c r="AK142" s="1"/>
      <c r="AL142" s="1"/>
      <c r="AM142" s="9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7"/>
      <c r="AI143" s="9"/>
      <c r="AJ143" s="1"/>
      <c r="AK143" s="1"/>
      <c r="AL143" s="1"/>
      <c r="AM143" s="9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7"/>
      <c r="AI144" s="9"/>
      <c r="AJ144" s="1"/>
      <c r="AK144" s="1"/>
      <c r="AL144" s="1"/>
      <c r="AM144" s="9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7"/>
      <c r="AI145" s="9"/>
      <c r="AJ145" s="1"/>
      <c r="AK145" s="1"/>
      <c r="AL145" s="1"/>
      <c r="AM145" s="9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7"/>
      <c r="AI146" s="9"/>
      <c r="AJ146" s="1"/>
      <c r="AK146" s="1"/>
      <c r="AL146" s="1"/>
      <c r="AM146" s="9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7"/>
      <c r="AI147" s="9"/>
      <c r="AJ147" s="1"/>
      <c r="AK147" s="1"/>
      <c r="AL147" s="1"/>
      <c r="AM147" s="9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7"/>
      <c r="AI148" s="9"/>
      <c r="AJ148" s="1"/>
      <c r="AK148" s="1"/>
      <c r="AL148" s="1"/>
      <c r="AM148" s="9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7"/>
      <c r="AI149" s="9"/>
      <c r="AJ149" s="1"/>
      <c r="AK149" s="1"/>
      <c r="AL149" s="1"/>
      <c r="AM149" s="9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7"/>
      <c r="AI150" s="9"/>
      <c r="AJ150" s="1"/>
      <c r="AK150" s="1"/>
      <c r="AL150" s="1"/>
      <c r="AM150" s="9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7"/>
      <c r="AI151" s="9"/>
      <c r="AJ151" s="1"/>
      <c r="AK151" s="1"/>
      <c r="AL151" s="1"/>
      <c r="AM151" s="9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7"/>
      <c r="AI152" s="9"/>
      <c r="AJ152" s="1"/>
      <c r="AK152" s="1"/>
      <c r="AL152" s="1"/>
      <c r="AM152" s="9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7"/>
      <c r="AI153" s="9"/>
      <c r="AJ153" s="1"/>
      <c r="AK153" s="1"/>
      <c r="AL153" s="1"/>
      <c r="AM153" s="9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7"/>
      <c r="AI154" s="9"/>
      <c r="AJ154" s="1"/>
      <c r="AK154" s="1"/>
      <c r="AL154" s="1"/>
      <c r="AM154" s="9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7"/>
      <c r="AI155" s="9"/>
      <c r="AJ155" s="1"/>
      <c r="AK155" s="1"/>
      <c r="AL155" s="1"/>
      <c r="AM155" s="9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7"/>
      <c r="AI156" s="9"/>
      <c r="AJ156" s="1"/>
      <c r="AK156" s="1"/>
      <c r="AL156" s="1"/>
      <c r="AM156" s="9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7"/>
      <c r="AI157" s="9"/>
      <c r="AJ157" s="1"/>
      <c r="AK157" s="1"/>
      <c r="AL157" s="1"/>
      <c r="AM157" s="9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7"/>
      <c r="AI158" s="9"/>
      <c r="AJ158" s="1"/>
      <c r="AK158" s="1"/>
      <c r="AL158" s="1"/>
      <c r="AM158" s="9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7"/>
      <c r="AI159" s="9"/>
      <c r="AJ159" s="1"/>
      <c r="AK159" s="1"/>
      <c r="AL159" s="1"/>
      <c r="AM159" s="9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7"/>
      <c r="AI160" s="9"/>
      <c r="AJ160" s="1"/>
      <c r="AK160" s="1"/>
      <c r="AL160" s="1"/>
      <c r="AM160" s="9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7"/>
      <c r="AI161" s="9"/>
      <c r="AJ161" s="1"/>
      <c r="AK161" s="1"/>
      <c r="AL161" s="1"/>
      <c r="AM161" s="9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7"/>
      <c r="AI162" s="9"/>
      <c r="AJ162" s="1"/>
      <c r="AK162" s="1"/>
      <c r="AL162" s="1"/>
      <c r="AM162" s="9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7"/>
      <c r="AI163" s="9"/>
      <c r="AJ163" s="1"/>
      <c r="AK163" s="1"/>
      <c r="AL163" s="1"/>
      <c r="AM163" s="9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7"/>
      <c r="AI164" s="9"/>
      <c r="AJ164" s="1"/>
      <c r="AK164" s="1"/>
      <c r="AL164" s="1"/>
      <c r="AM164" s="9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7"/>
      <c r="AI165" s="9"/>
      <c r="AJ165" s="1"/>
      <c r="AK165" s="1"/>
      <c r="AL165" s="1"/>
      <c r="AM165" s="9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7"/>
      <c r="AI166" s="9"/>
      <c r="AJ166" s="1"/>
      <c r="AK166" s="1"/>
      <c r="AL166" s="1"/>
      <c r="AM166" s="9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7"/>
      <c r="AI167" s="9"/>
      <c r="AJ167" s="1"/>
      <c r="AK167" s="1"/>
      <c r="AL167" s="1"/>
      <c r="AM167" s="9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7"/>
      <c r="AI168" s="9"/>
      <c r="AJ168" s="1"/>
      <c r="AK168" s="1"/>
      <c r="AL168" s="1"/>
      <c r="AM168" s="9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7"/>
      <c r="AI169" s="9"/>
      <c r="AJ169" s="1"/>
      <c r="AK169" s="1"/>
      <c r="AL169" s="1"/>
      <c r="AM169" s="9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7"/>
      <c r="AI170" s="9"/>
      <c r="AJ170" s="1"/>
      <c r="AK170" s="1"/>
      <c r="AL170" s="1"/>
      <c r="AM170" s="9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7"/>
      <c r="AI171" s="9"/>
      <c r="AJ171" s="1"/>
      <c r="AK171" s="1"/>
      <c r="AL171" s="1"/>
      <c r="AM171" s="9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7"/>
      <c r="AI172" s="9"/>
      <c r="AJ172" s="1"/>
      <c r="AK172" s="1"/>
      <c r="AL172" s="1"/>
      <c r="AM172" s="9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7"/>
      <c r="AI173" s="9"/>
      <c r="AJ173" s="1"/>
      <c r="AK173" s="1"/>
      <c r="AL173" s="1"/>
      <c r="AM173" s="9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7"/>
      <c r="AI174" s="9"/>
      <c r="AJ174" s="1"/>
      <c r="AK174" s="1"/>
      <c r="AL174" s="1"/>
      <c r="AM174" s="9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7"/>
      <c r="AI175" s="9"/>
      <c r="AJ175" s="1"/>
      <c r="AK175" s="1"/>
      <c r="AL175" s="1"/>
      <c r="AM175" s="9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7"/>
      <c r="AI176" s="9"/>
      <c r="AJ176" s="1"/>
      <c r="AK176" s="1"/>
      <c r="AL176" s="1"/>
      <c r="AM176" s="9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7"/>
      <c r="AI177" s="9"/>
      <c r="AJ177" s="1"/>
      <c r="AK177" s="1"/>
      <c r="AL177" s="1"/>
      <c r="AM177" s="9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7"/>
      <c r="AI178" s="9"/>
      <c r="AJ178" s="1"/>
      <c r="AK178" s="1"/>
      <c r="AL178" s="1"/>
      <c r="AM178" s="9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7"/>
      <c r="AI179" s="9"/>
      <c r="AJ179" s="1"/>
      <c r="AK179" s="1"/>
      <c r="AL179" s="1"/>
      <c r="AM179" s="9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7"/>
      <c r="AI180" s="9"/>
      <c r="AJ180" s="1"/>
      <c r="AK180" s="1"/>
      <c r="AL180" s="1"/>
      <c r="AM180" s="9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7"/>
      <c r="AI181" s="9"/>
      <c r="AJ181" s="1"/>
      <c r="AK181" s="1"/>
      <c r="AL181" s="1"/>
      <c r="AM181" s="9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7"/>
      <c r="AI182" s="9"/>
      <c r="AJ182" s="1"/>
      <c r="AK182" s="1"/>
      <c r="AL182" s="1"/>
      <c r="AM182" s="9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7"/>
      <c r="AI183" s="9"/>
      <c r="AJ183" s="1"/>
      <c r="AK183" s="1"/>
      <c r="AL183" s="1"/>
      <c r="AM183" s="9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7"/>
      <c r="AI184" s="9"/>
      <c r="AJ184" s="1"/>
      <c r="AK184" s="1"/>
      <c r="AL184" s="1"/>
      <c r="AM184" s="9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7"/>
      <c r="AI185" s="9"/>
      <c r="AJ185" s="1"/>
      <c r="AK185" s="1"/>
      <c r="AL185" s="1"/>
      <c r="AM185" s="9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7"/>
      <c r="AI186" s="9"/>
      <c r="AJ186" s="1"/>
      <c r="AK186" s="1"/>
      <c r="AL186" s="1"/>
      <c r="AM186" s="9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7"/>
      <c r="AI187" s="9"/>
      <c r="AJ187" s="1"/>
      <c r="AK187" s="1"/>
      <c r="AL187" s="1"/>
      <c r="AM187" s="9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7"/>
      <c r="AI188" s="9"/>
      <c r="AJ188" s="1"/>
      <c r="AK188" s="1"/>
      <c r="AL188" s="1"/>
      <c r="AM188" s="9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7"/>
      <c r="AI189" s="9"/>
      <c r="AJ189" s="1"/>
      <c r="AK189" s="1"/>
      <c r="AL189" s="1"/>
      <c r="AM189" s="9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7"/>
      <c r="AI190" s="9"/>
      <c r="AJ190" s="1"/>
      <c r="AK190" s="1"/>
      <c r="AL190" s="1"/>
      <c r="AM190" s="9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7"/>
      <c r="AI191" s="9"/>
      <c r="AJ191" s="1"/>
      <c r="AK191" s="1"/>
      <c r="AL191" s="1"/>
      <c r="AM191" s="9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7"/>
      <c r="AI192" s="9"/>
      <c r="AJ192" s="1"/>
      <c r="AK192" s="1"/>
      <c r="AL192" s="1"/>
      <c r="AM192" s="9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7"/>
      <c r="AI193" s="9"/>
      <c r="AJ193" s="1"/>
      <c r="AK193" s="1"/>
      <c r="AL193" s="1"/>
      <c r="AM193" s="9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7"/>
      <c r="AI194" s="9"/>
      <c r="AJ194" s="1"/>
      <c r="AK194" s="1"/>
      <c r="AL194" s="1"/>
      <c r="AM194" s="9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7"/>
      <c r="AI195" s="9"/>
      <c r="AJ195" s="1"/>
      <c r="AK195" s="1"/>
      <c r="AL195" s="1"/>
      <c r="AM195" s="9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7"/>
      <c r="AI196" s="9"/>
      <c r="AJ196" s="1"/>
      <c r="AK196" s="1"/>
      <c r="AL196" s="1"/>
      <c r="AM196" s="9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7"/>
      <c r="AI197" s="9"/>
      <c r="AJ197" s="1"/>
      <c r="AK197" s="1"/>
      <c r="AL197" s="1"/>
      <c r="AM197" s="9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7"/>
      <c r="AI198" s="9"/>
      <c r="AJ198" s="1"/>
      <c r="AK198" s="1"/>
      <c r="AL198" s="1"/>
      <c r="AM198" s="9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7"/>
      <c r="AI199" s="9"/>
      <c r="AJ199" s="1"/>
      <c r="AK199" s="1"/>
      <c r="AL199" s="1"/>
      <c r="AM199" s="9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7"/>
      <c r="AI200" s="9"/>
      <c r="AJ200" s="1"/>
      <c r="AK200" s="1"/>
      <c r="AL200" s="1"/>
      <c r="AM200" s="9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7"/>
      <c r="AI201" s="9"/>
      <c r="AJ201" s="1"/>
      <c r="AK201" s="1"/>
      <c r="AL201" s="1"/>
      <c r="AM201" s="9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7"/>
      <c r="AI202" s="9"/>
      <c r="AJ202" s="1"/>
      <c r="AK202" s="1"/>
      <c r="AL202" s="1"/>
      <c r="AM202" s="9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7"/>
      <c r="AI203" s="9"/>
      <c r="AJ203" s="1"/>
      <c r="AK203" s="1"/>
      <c r="AL203" s="1"/>
      <c r="AM203" s="9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7"/>
      <c r="AI204" s="9"/>
      <c r="AJ204" s="1"/>
      <c r="AK204" s="1"/>
      <c r="AL204" s="1"/>
      <c r="AM204" s="9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7"/>
      <c r="AI205" s="9"/>
      <c r="AJ205" s="1"/>
      <c r="AK205" s="1"/>
      <c r="AL205" s="1"/>
      <c r="AM205" s="9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7"/>
      <c r="AI206" s="9"/>
      <c r="AJ206" s="1"/>
      <c r="AK206" s="1"/>
      <c r="AL206" s="1"/>
      <c r="AM206" s="9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7"/>
      <c r="AI207" s="9"/>
      <c r="AJ207" s="1"/>
      <c r="AK207" s="1"/>
      <c r="AL207" s="1"/>
      <c r="AM207" s="9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7"/>
      <c r="AI208" s="9"/>
      <c r="AJ208" s="1"/>
      <c r="AK208" s="1"/>
      <c r="AL208" s="1"/>
      <c r="AM208" s="9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7"/>
      <c r="AI209" s="9"/>
      <c r="AJ209" s="1"/>
      <c r="AK209" s="1"/>
      <c r="AL209" s="1"/>
      <c r="AM209" s="9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7"/>
      <c r="AI210" s="9"/>
      <c r="AJ210" s="1"/>
      <c r="AK210" s="1"/>
      <c r="AL210" s="1"/>
      <c r="AM210" s="9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7"/>
      <c r="AI211" s="9"/>
      <c r="AJ211" s="1"/>
      <c r="AK211" s="1"/>
      <c r="AL211" s="1"/>
      <c r="AM211" s="9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7"/>
      <c r="AI212" s="9"/>
      <c r="AJ212" s="1"/>
      <c r="AK212" s="1"/>
      <c r="AL212" s="1"/>
      <c r="AM212" s="9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7"/>
      <c r="AI213" s="9"/>
      <c r="AJ213" s="1"/>
      <c r="AK213" s="1"/>
      <c r="AL213" s="1"/>
      <c r="AM213" s="9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7"/>
      <c r="AI214" s="9"/>
      <c r="AJ214" s="1"/>
      <c r="AK214" s="1"/>
      <c r="AL214" s="1"/>
      <c r="AM214" s="9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7"/>
      <c r="AI215" s="9"/>
      <c r="AJ215" s="1"/>
      <c r="AK215" s="1"/>
      <c r="AL215" s="1"/>
      <c r="AM215" s="9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7"/>
      <c r="AI216" s="9"/>
      <c r="AJ216" s="1"/>
      <c r="AK216" s="1"/>
      <c r="AL216" s="1"/>
      <c r="AM216" s="9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7"/>
      <c r="AI217" s="9"/>
      <c r="AJ217" s="1"/>
      <c r="AK217" s="1"/>
      <c r="AL217" s="1"/>
      <c r="AM217" s="9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7"/>
      <c r="AI218" s="9"/>
      <c r="AJ218" s="1"/>
      <c r="AK218" s="1"/>
      <c r="AL218" s="1"/>
      <c r="AM218" s="9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7"/>
      <c r="AI219" s="9"/>
      <c r="AJ219" s="1"/>
      <c r="AK219" s="1"/>
      <c r="AL219" s="1"/>
      <c r="AM219" s="9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7"/>
      <c r="AI220" s="9"/>
      <c r="AJ220" s="1"/>
      <c r="AK220" s="1"/>
      <c r="AL220" s="1"/>
      <c r="AM220" s="9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7"/>
      <c r="AI221" s="9"/>
      <c r="AJ221" s="1"/>
      <c r="AK221" s="1"/>
      <c r="AL221" s="1"/>
      <c r="AM221" s="9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7"/>
      <c r="AI222" s="9"/>
      <c r="AJ222" s="1"/>
      <c r="AK222" s="1"/>
      <c r="AL222" s="1"/>
      <c r="AM222" s="9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7"/>
      <c r="AI223" s="9"/>
      <c r="AJ223" s="1"/>
      <c r="AK223" s="1"/>
      <c r="AL223" s="1"/>
      <c r="AM223" s="9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7"/>
      <c r="AI224" s="9"/>
      <c r="AJ224" s="1"/>
      <c r="AK224" s="1"/>
      <c r="AL224" s="1"/>
      <c r="AM224" s="9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7"/>
      <c r="AI225" s="9"/>
      <c r="AJ225" s="1"/>
      <c r="AK225" s="1"/>
      <c r="AL225" s="1"/>
      <c r="AM225" s="9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7"/>
      <c r="AI226" s="9"/>
      <c r="AJ226" s="1"/>
      <c r="AK226" s="1"/>
      <c r="AL226" s="1"/>
      <c r="AM226" s="9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7"/>
      <c r="AI227" s="9"/>
      <c r="AJ227" s="1"/>
      <c r="AK227" s="1"/>
      <c r="AL227" s="1"/>
      <c r="AM227" s="9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7"/>
      <c r="AI228" s="9"/>
      <c r="AJ228" s="1"/>
      <c r="AK228" s="1"/>
      <c r="AL228" s="1"/>
      <c r="AM228" s="9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7"/>
      <c r="AI229" s="9"/>
      <c r="AJ229" s="1"/>
      <c r="AK229" s="1"/>
      <c r="AL229" s="1"/>
      <c r="AM229" s="9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7"/>
      <c r="AI230" s="9"/>
      <c r="AJ230" s="1"/>
      <c r="AK230" s="1"/>
      <c r="AL230" s="1"/>
      <c r="AM230" s="9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7"/>
      <c r="AI231" s="9"/>
      <c r="AJ231" s="1"/>
      <c r="AK231" s="1"/>
      <c r="AL231" s="1"/>
      <c r="AM231" s="9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7"/>
      <c r="AI232" s="9"/>
      <c r="AJ232" s="1"/>
      <c r="AK232" s="1"/>
      <c r="AL232" s="1"/>
      <c r="AM232" s="9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7"/>
      <c r="AI233" s="9"/>
      <c r="AJ233" s="1"/>
      <c r="AK233" s="1"/>
      <c r="AL233" s="1"/>
      <c r="AM233" s="9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7"/>
      <c r="AI234" s="9"/>
      <c r="AJ234" s="1"/>
      <c r="AK234" s="1"/>
      <c r="AL234" s="1"/>
      <c r="AM234" s="9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7"/>
      <c r="AI235" s="9"/>
      <c r="AJ235" s="1"/>
      <c r="AK235" s="1"/>
      <c r="AL235" s="1"/>
      <c r="AM235" s="9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7"/>
      <c r="AI236" s="9"/>
      <c r="AJ236" s="1"/>
      <c r="AK236" s="1"/>
      <c r="AL236" s="1"/>
      <c r="AM236" s="9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7"/>
      <c r="AI237" s="9"/>
      <c r="AJ237" s="1"/>
      <c r="AK237" s="1"/>
      <c r="AL237" s="1"/>
      <c r="AM237" s="9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7"/>
      <c r="AI238" s="9"/>
      <c r="AJ238" s="1"/>
      <c r="AK238" s="1"/>
      <c r="AL238" s="1"/>
      <c r="AM238" s="9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7"/>
      <c r="AI239" s="9"/>
      <c r="AJ239" s="1"/>
      <c r="AK239" s="1"/>
      <c r="AL239" s="1"/>
      <c r="AM239" s="9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7"/>
      <c r="AI240" s="9"/>
      <c r="AJ240" s="1"/>
      <c r="AK240" s="1"/>
      <c r="AL240" s="1"/>
      <c r="AM240" s="9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7"/>
      <c r="AI241" s="9"/>
      <c r="AJ241" s="1"/>
      <c r="AK241" s="1"/>
      <c r="AL241" s="1"/>
      <c r="AM241" s="9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7"/>
      <c r="AI242" s="9"/>
      <c r="AJ242" s="1"/>
      <c r="AK242" s="1"/>
      <c r="AL242" s="1"/>
      <c r="AM242" s="9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7"/>
      <c r="AI243" s="9"/>
      <c r="AJ243" s="1"/>
      <c r="AK243" s="1"/>
      <c r="AL243" s="1"/>
      <c r="AM243" s="9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7"/>
      <c r="AI244" s="9"/>
      <c r="AJ244" s="1"/>
      <c r="AK244" s="1"/>
      <c r="AL244" s="1"/>
      <c r="AM244" s="9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7"/>
      <c r="AI245" s="9"/>
      <c r="AJ245" s="1"/>
      <c r="AK245" s="1"/>
      <c r="AL245" s="1"/>
      <c r="AM245" s="9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7"/>
      <c r="AI246" s="9"/>
      <c r="AJ246" s="1"/>
      <c r="AK246" s="1"/>
      <c r="AL246" s="1"/>
      <c r="AM246" s="9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7"/>
      <c r="AI247" s="9"/>
      <c r="AJ247" s="1"/>
      <c r="AK247" s="1"/>
      <c r="AL247" s="1"/>
      <c r="AM247" s="9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7"/>
      <c r="AI248" s="9"/>
      <c r="AJ248" s="1"/>
      <c r="AK248" s="1"/>
      <c r="AL248" s="1"/>
      <c r="AM248" s="9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7"/>
      <c r="AI249" s="9"/>
      <c r="AJ249" s="1"/>
      <c r="AK249" s="1"/>
      <c r="AL249" s="1"/>
      <c r="AM249" s="9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7"/>
      <c r="AI250" s="9"/>
      <c r="AJ250" s="1"/>
      <c r="AK250" s="1"/>
      <c r="AL250" s="1"/>
      <c r="AM250" s="9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7"/>
      <c r="AI251" s="9"/>
      <c r="AJ251" s="1"/>
      <c r="AK251" s="1"/>
      <c r="AL251" s="1"/>
      <c r="AM251" s="9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7"/>
      <c r="AI252" s="9"/>
      <c r="AJ252" s="1"/>
      <c r="AK252" s="1"/>
      <c r="AL252" s="1"/>
      <c r="AM252" s="9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7"/>
      <c r="AI253" s="9"/>
      <c r="AJ253" s="1"/>
      <c r="AK253" s="1"/>
      <c r="AL253" s="1"/>
      <c r="AM253" s="9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7"/>
      <c r="AI254" s="9"/>
      <c r="AJ254" s="1"/>
      <c r="AK254" s="1"/>
      <c r="AL254" s="1"/>
      <c r="AM254" s="9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7"/>
      <c r="AI255" s="9"/>
      <c r="AJ255" s="1"/>
      <c r="AK255" s="1"/>
      <c r="AL255" s="1"/>
      <c r="AM255" s="9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7"/>
      <c r="AI256" s="9"/>
      <c r="AJ256" s="1"/>
      <c r="AK256" s="1"/>
      <c r="AL256" s="1"/>
      <c r="AM256" s="9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7"/>
      <c r="AI257" s="9"/>
      <c r="AJ257" s="1"/>
      <c r="AK257" s="1"/>
      <c r="AL257" s="1"/>
      <c r="AM257" s="9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7"/>
      <c r="AI258" s="9"/>
      <c r="AJ258" s="1"/>
      <c r="AK258" s="1"/>
      <c r="AL258" s="1"/>
      <c r="AM258" s="9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7"/>
      <c r="AI259" s="9"/>
      <c r="AJ259" s="1"/>
      <c r="AK259" s="1"/>
      <c r="AL259" s="1"/>
      <c r="AM259" s="9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7"/>
      <c r="AI260" s="9"/>
      <c r="AJ260" s="1"/>
      <c r="AK260" s="1"/>
      <c r="AL260" s="1"/>
      <c r="AM260" s="9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7"/>
      <c r="AI261" s="9"/>
      <c r="AJ261" s="1"/>
      <c r="AK261" s="1"/>
      <c r="AL261" s="1"/>
      <c r="AM261" s="9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7"/>
      <c r="AI262" s="9"/>
      <c r="AJ262" s="1"/>
      <c r="AK262" s="1"/>
      <c r="AL262" s="1"/>
      <c r="AM262" s="9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7"/>
      <c r="AI263" s="9"/>
      <c r="AJ263" s="1"/>
      <c r="AK263" s="1"/>
      <c r="AL263" s="1"/>
      <c r="AM263" s="9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7"/>
      <c r="AI264" s="9"/>
      <c r="AJ264" s="1"/>
      <c r="AK264" s="1"/>
      <c r="AL264" s="1"/>
      <c r="AM264" s="9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7"/>
      <c r="AI265" s="9"/>
      <c r="AJ265" s="1"/>
      <c r="AK265" s="1"/>
      <c r="AL265" s="1"/>
      <c r="AM265" s="9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7"/>
      <c r="AI266" s="9"/>
      <c r="AJ266" s="1"/>
      <c r="AK266" s="1"/>
      <c r="AL266" s="1"/>
      <c r="AM266" s="9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7"/>
      <c r="AI267" s="9"/>
      <c r="AJ267" s="1"/>
      <c r="AK267" s="1"/>
      <c r="AL267" s="1"/>
      <c r="AM267" s="9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7"/>
      <c r="AI268" s="9"/>
      <c r="AJ268" s="1"/>
      <c r="AK268" s="1"/>
      <c r="AL268" s="1"/>
      <c r="AM268" s="9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7"/>
      <c r="AI269" s="9"/>
      <c r="AJ269" s="1"/>
      <c r="AK269" s="1"/>
      <c r="AL269" s="1"/>
      <c r="AM269" s="9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7"/>
      <c r="AI270" s="9"/>
      <c r="AJ270" s="1"/>
      <c r="AK270" s="1"/>
      <c r="AL270" s="1"/>
      <c r="AM270" s="9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7"/>
      <c r="AI271" s="9"/>
      <c r="AJ271" s="1"/>
      <c r="AK271" s="1"/>
      <c r="AL271" s="1"/>
      <c r="AM271" s="9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7"/>
      <c r="AI272" s="9"/>
      <c r="AJ272" s="1"/>
      <c r="AK272" s="1"/>
      <c r="AL272" s="1"/>
      <c r="AM272" s="9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7"/>
      <c r="AI273" s="9"/>
      <c r="AJ273" s="1"/>
      <c r="AK273" s="1"/>
      <c r="AL273" s="1"/>
      <c r="AM273" s="9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7"/>
      <c r="AI274" s="9"/>
      <c r="AJ274" s="1"/>
      <c r="AK274" s="1"/>
      <c r="AL274" s="1"/>
      <c r="AM274" s="9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7"/>
      <c r="AI275" s="9"/>
      <c r="AJ275" s="1"/>
      <c r="AK275" s="1"/>
      <c r="AL275" s="1"/>
      <c r="AM275" s="9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7"/>
      <c r="AI276" s="9"/>
      <c r="AJ276" s="1"/>
      <c r="AK276" s="1"/>
      <c r="AL276" s="1"/>
      <c r="AM276" s="9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7"/>
      <c r="AI277" s="9"/>
      <c r="AJ277" s="1"/>
      <c r="AK277" s="1"/>
      <c r="AL277" s="1"/>
      <c r="AM277" s="9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7"/>
      <c r="AI278" s="9"/>
      <c r="AJ278" s="1"/>
      <c r="AK278" s="1"/>
      <c r="AL278" s="1"/>
      <c r="AM278" s="9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7"/>
      <c r="AI279" s="9"/>
      <c r="AJ279" s="1"/>
      <c r="AK279" s="1"/>
      <c r="AL279" s="1"/>
      <c r="AM279" s="9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7"/>
      <c r="AI280" s="9"/>
      <c r="AJ280" s="1"/>
      <c r="AK280" s="1"/>
      <c r="AL280" s="1"/>
      <c r="AM280" s="9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7"/>
      <c r="AI281" s="9"/>
      <c r="AJ281" s="1"/>
      <c r="AK281" s="1"/>
      <c r="AL281" s="1"/>
      <c r="AM281" s="9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7"/>
      <c r="AI282" s="9"/>
      <c r="AJ282" s="1"/>
      <c r="AK282" s="1"/>
      <c r="AL282" s="1"/>
      <c r="AM282" s="9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7"/>
      <c r="AI283" s="9"/>
      <c r="AJ283" s="1"/>
      <c r="AK283" s="1"/>
      <c r="AL283" s="1"/>
      <c r="AM283" s="9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7"/>
      <c r="AI284" s="9"/>
      <c r="AJ284" s="1"/>
      <c r="AK284" s="1"/>
      <c r="AL284" s="1"/>
      <c r="AM284" s="9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7"/>
      <c r="AI285" s="9"/>
      <c r="AJ285" s="1"/>
      <c r="AK285" s="1"/>
      <c r="AL285" s="1"/>
      <c r="AM285" s="9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7"/>
      <c r="AI286" s="9"/>
      <c r="AJ286" s="1"/>
      <c r="AK286" s="1"/>
      <c r="AL286" s="1"/>
      <c r="AM286" s="9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7"/>
      <c r="AI287" s="9"/>
      <c r="AJ287" s="1"/>
      <c r="AK287" s="1"/>
      <c r="AL287" s="1"/>
      <c r="AM287" s="9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7"/>
      <c r="AI288" s="9"/>
      <c r="AJ288" s="1"/>
      <c r="AK288" s="1"/>
      <c r="AL288" s="1"/>
      <c r="AM288" s="9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7"/>
      <c r="AI289" s="9"/>
      <c r="AJ289" s="1"/>
      <c r="AK289" s="1"/>
      <c r="AL289" s="1"/>
      <c r="AM289" s="9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7"/>
      <c r="AI290" s="9"/>
      <c r="AJ290" s="1"/>
      <c r="AK290" s="1"/>
      <c r="AL290" s="1"/>
      <c r="AM290" s="9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7"/>
      <c r="AI291" s="9"/>
      <c r="AJ291" s="1"/>
      <c r="AK291" s="1"/>
      <c r="AL291" s="1"/>
      <c r="AM291" s="9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7"/>
      <c r="AI292" s="9"/>
      <c r="AJ292" s="1"/>
      <c r="AK292" s="1"/>
      <c r="AL292" s="1"/>
      <c r="AM292" s="9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7"/>
      <c r="AI293" s="9"/>
      <c r="AJ293" s="1"/>
      <c r="AK293" s="1"/>
      <c r="AL293" s="1"/>
      <c r="AM293" s="9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7"/>
      <c r="AI294" s="9"/>
      <c r="AJ294" s="1"/>
      <c r="AK294" s="1"/>
      <c r="AL294" s="1"/>
      <c r="AM294" s="9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7"/>
      <c r="AI295" s="9"/>
      <c r="AJ295" s="1"/>
      <c r="AK295" s="1"/>
      <c r="AL295" s="1"/>
      <c r="AM295" s="9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7"/>
      <c r="AI296" s="9"/>
      <c r="AJ296" s="1"/>
      <c r="AK296" s="1"/>
      <c r="AL296" s="1"/>
      <c r="AM296" s="9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7"/>
      <c r="AI297" s="9"/>
      <c r="AJ297" s="1"/>
      <c r="AK297" s="1"/>
      <c r="AL297" s="1"/>
      <c r="AM297" s="9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7"/>
      <c r="AI298" s="9"/>
      <c r="AJ298" s="1"/>
      <c r="AK298" s="1"/>
      <c r="AL298" s="1"/>
      <c r="AM298" s="9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7"/>
      <c r="AI299" s="9"/>
      <c r="AJ299" s="1"/>
      <c r="AK299" s="1"/>
      <c r="AL299" s="1"/>
      <c r="AM299" s="9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7"/>
      <c r="AI300" s="9"/>
      <c r="AJ300" s="1"/>
      <c r="AK300" s="1"/>
      <c r="AL300" s="1"/>
      <c r="AM300" s="9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7"/>
      <c r="AI301" s="9"/>
      <c r="AJ301" s="1"/>
      <c r="AK301" s="1"/>
      <c r="AL301" s="1"/>
      <c r="AM301" s="9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7"/>
      <c r="AI302" s="9"/>
      <c r="AJ302" s="1"/>
      <c r="AK302" s="1"/>
      <c r="AL302" s="1"/>
      <c r="AM302" s="9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7"/>
      <c r="AI303" s="9"/>
      <c r="AJ303" s="1"/>
      <c r="AK303" s="1"/>
      <c r="AL303" s="1"/>
      <c r="AM303" s="9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7"/>
      <c r="AI304" s="9"/>
      <c r="AJ304" s="1"/>
      <c r="AK304" s="1"/>
      <c r="AL304" s="1"/>
      <c r="AM304" s="9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7"/>
      <c r="AI305" s="9"/>
      <c r="AJ305" s="1"/>
      <c r="AK305" s="1"/>
      <c r="AL305" s="1"/>
      <c r="AM305" s="9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7"/>
      <c r="AI306" s="9"/>
      <c r="AJ306" s="1"/>
      <c r="AK306" s="1"/>
      <c r="AL306" s="1"/>
      <c r="AM306" s="9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7"/>
      <c r="AI307" s="9"/>
      <c r="AJ307" s="1"/>
      <c r="AK307" s="1"/>
      <c r="AL307" s="1"/>
      <c r="AM307" s="9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7"/>
      <c r="AI308" s="9"/>
      <c r="AJ308" s="1"/>
      <c r="AK308" s="1"/>
      <c r="AL308" s="1"/>
      <c r="AM308" s="9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7"/>
      <c r="AI309" s="9"/>
      <c r="AJ309" s="1"/>
      <c r="AK309" s="1"/>
      <c r="AL309" s="1"/>
      <c r="AM309" s="9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7"/>
      <c r="AI310" s="9"/>
      <c r="AJ310" s="1"/>
      <c r="AK310" s="1"/>
      <c r="AL310" s="1"/>
      <c r="AM310" s="9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7"/>
      <c r="AI311" s="9"/>
      <c r="AJ311" s="1"/>
      <c r="AK311" s="1"/>
      <c r="AL311" s="1"/>
      <c r="AM311" s="9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7"/>
      <c r="AI312" s="9"/>
      <c r="AJ312" s="1"/>
      <c r="AK312" s="1"/>
      <c r="AL312" s="1"/>
      <c r="AM312" s="9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7"/>
      <c r="AI313" s="9"/>
      <c r="AJ313" s="1"/>
      <c r="AK313" s="1"/>
      <c r="AL313" s="1"/>
      <c r="AM313" s="9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7"/>
      <c r="AI314" s="9"/>
      <c r="AJ314" s="1"/>
      <c r="AK314" s="1"/>
      <c r="AL314" s="1"/>
      <c r="AM314" s="9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7"/>
      <c r="AI315" s="9"/>
      <c r="AJ315" s="1"/>
      <c r="AK315" s="1"/>
      <c r="AL315" s="1"/>
      <c r="AM315" s="9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7"/>
      <c r="AI316" s="9"/>
      <c r="AJ316" s="1"/>
      <c r="AK316" s="1"/>
      <c r="AL316" s="1"/>
      <c r="AM316" s="9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7"/>
      <c r="AI317" s="9"/>
      <c r="AJ317" s="1"/>
      <c r="AK317" s="1"/>
      <c r="AL317" s="1"/>
      <c r="AM317" s="9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7"/>
      <c r="AI318" s="9"/>
      <c r="AJ318" s="1"/>
      <c r="AK318" s="1"/>
      <c r="AL318" s="1"/>
      <c r="AM318" s="9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7"/>
      <c r="AI319" s="9"/>
      <c r="AJ319" s="1"/>
      <c r="AK319" s="1"/>
      <c r="AL319" s="1"/>
      <c r="AM319" s="9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7"/>
      <c r="AI320" s="9"/>
      <c r="AJ320" s="1"/>
      <c r="AK320" s="1"/>
      <c r="AL320" s="1"/>
      <c r="AM320" s="9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7"/>
      <c r="AI321" s="9"/>
      <c r="AJ321" s="1"/>
      <c r="AK321" s="1"/>
      <c r="AL321" s="1"/>
      <c r="AM321" s="9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7"/>
      <c r="AI322" s="9"/>
      <c r="AJ322" s="1"/>
      <c r="AK322" s="1"/>
      <c r="AL322" s="1"/>
      <c r="AM322" s="9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7"/>
      <c r="AI323" s="9"/>
      <c r="AJ323" s="1"/>
      <c r="AK323" s="1"/>
      <c r="AL323" s="1"/>
      <c r="AM323" s="9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7"/>
      <c r="AI324" s="9"/>
      <c r="AJ324" s="1"/>
      <c r="AK324" s="1"/>
      <c r="AL324" s="1"/>
      <c r="AM324" s="9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7"/>
      <c r="AI325" s="9"/>
      <c r="AJ325" s="1"/>
      <c r="AK325" s="1"/>
      <c r="AL325" s="1"/>
      <c r="AM325" s="9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7"/>
      <c r="AI326" s="9"/>
      <c r="AJ326" s="1"/>
      <c r="AK326" s="1"/>
      <c r="AL326" s="1"/>
      <c r="AM326" s="9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7"/>
      <c r="AI327" s="9"/>
      <c r="AJ327" s="1"/>
      <c r="AK327" s="1"/>
      <c r="AL327" s="1"/>
      <c r="AM327" s="9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7"/>
      <c r="AI328" s="9"/>
      <c r="AJ328" s="1"/>
      <c r="AK328" s="1"/>
      <c r="AL328" s="1"/>
      <c r="AM328" s="9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7"/>
      <c r="AI329" s="9"/>
      <c r="AJ329" s="1"/>
      <c r="AK329" s="1"/>
      <c r="AL329" s="1"/>
      <c r="AM329" s="9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7"/>
      <c r="AI330" s="9"/>
      <c r="AJ330" s="1"/>
      <c r="AK330" s="1"/>
      <c r="AL330" s="1"/>
      <c r="AM330" s="9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7"/>
      <c r="AI331" s="9"/>
      <c r="AJ331" s="1"/>
      <c r="AK331" s="1"/>
      <c r="AL331" s="1"/>
      <c r="AM331" s="9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7"/>
      <c r="AI332" s="9"/>
      <c r="AJ332" s="1"/>
      <c r="AK332" s="1"/>
      <c r="AL332" s="1"/>
      <c r="AM332" s="9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7"/>
      <c r="AI333" s="9"/>
      <c r="AJ333" s="1"/>
      <c r="AK333" s="1"/>
      <c r="AL333" s="1"/>
      <c r="AM333" s="9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7"/>
      <c r="AI334" s="9"/>
      <c r="AJ334" s="1"/>
      <c r="AK334" s="1"/>
      <c r="AL334" s="1"/>
      <c r="AM334" s="9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7"/>
      <c r="AI335" s="9"/>
      <c r="AJ335" s="1"/>
      <c r="AK335" s="1"/>
      <c r="AL335" s="1"/>
      <c r="AM335" s="9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7"/>
      <c r="AI336" s="9"/>
      <c r="AJ336" s="1"/>
      <c r="AK336" s="1"/>
      <c r="AL336" s="1"/>
      <c r="AM336" s="9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7"/>
      <c r="AI337" s="9"/>
      <c r="AJ337" s="1"/>
      <c r="AK337" s="1"/>
      <c r="AL337" s="1"/>
      <c r="AM337" s="9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7"/>
      <c r="AI338" s="9"/>
      <c r="AJ338" s="1"/>
      <c r="AK338" s="1"/>
      <c r="AL338" s="1"/>
      <c r="AM338" s="9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7"/>
      <c r="AI339" s="9"/>
      <c r="AJ339" s="1"/>
      <c r="AK339" s="1"/>
      <c r="AL339" s="1"/>
      <c r="AM339" s="9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7"/>
      <c r="AI340" s="9"/>
      <c r="AJ340" s="1"/>
      <c r="AK340" s="1"/>
      <c r="AL340" s="1"/>
      <c r="AM340" s="9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7"/>
      <c r="AI341" s="9"/>
      <c r="AJ341" s="1"/>
      <c r="AK341" s="1"/>
      <c r="AL341" s="1"/>
      <c r="AM341" s="9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7"/>
      <c r="AI342" s="9"/>
      <c r="AJ342" s="1"/>
      <c r="AK342" s="1"/>
      <c r="AL342" s="1"/>
      <c r="AM342" s="9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7"/>
      <c r="AI343" s="9"/>
      <c r="AJ343" s="1"/>
      <c r="AK343" s="1"/>
      <c r="AL343" s="1"/>
      <c r="AM343" s="9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7"/>
      <c r="AI344" s="9"/>
      <c r="AJ344" s="1"/>
      <c r="AK344" s="1"/>
      <c r="AL344" s="1"/>
      <c r="AM344" s="9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7"/>
      <c r="AI345" s="9"/>
      <c r="AJ345" s="1"/>
      <c r="AK345" s="1"/>
      <c r="AL345" s="1"/>
      <c r="AM345" s="9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7"/>
      <c r="AI346" s="9"/>
      <c r="AJ346" s="1"/>
      <c r="AK346" s="1"/>
      <c r="AL346" s="1"/>
      <c r="AM346" s="9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7"/>
      <c r="AI347" s="9"/>
      <c r="AJ347" s="1"/>
      <c r="AK347" s="1"/>
      <c r="AL347" s="1"/>
      <c r="AM347" s="9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7"/>
      <c r="AI348" s="9"/>
      <c r="AJ348" s="1"/>
      <c r="AK348" s="1"/>
      <c r="AL348" s="1"/>
      <c r="AM348" s="9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7"/>
      <c r="AI349" s="9"/>
      <c r="AJ349" s="1"/>
      <c r="AK349" s="1"/>
      <c r="AL349" s="1"/>
      <c r="AM349" s="9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7"/>
      <c r="AI350" s="9"/>
      <c r="AJ350" s="1"/>
      <c r="AK350" s="1"/>
      <c r="AL350" s="1"/>
      <c r="AM350" s="9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7"/>
      <c r="AI351" s="9"/>
      <c r="AJ351" s="1"/>
      <c r="AK351" s="1"/>
      <c r="AL351" s="1"/>
      <c r="AM351" s="9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7"/>
      <c r="AI352" s="9"/>
      <c r="AJ352" s="1"/>
      <c r="AK352" s="1"/>
      <c r="AL352" s="1"/>
      <c r="AM352" s="9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7"/>
      <c r="AI353" s="9"/>
      <c r="AJ353" s="1"/>
      <c r="AK353" s="1"/>
      <c r="AL353" s="1"/>
      <c r="AM353" s="9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7"/>
      <c r="AI354" s="9"/>
      <c r="AJ354" s="1"/>
      <c r="AK354" s="1"/>
      <c r="AL354" s="1"/>
      <c r="AM354" s="9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7"/>
      <c r="AI355" s="9"/>
      <c r="AJ355" s="1"/>
      <c r="AK355" s="1"/>
      <c r="AL355" s="1"/>
      <c r="AM355" s="9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7"/>
      <c r="AI356" s="9"/>
      <c r="AJ356" s="1"/>
      <c r="AK356" s="1"/>
      <c r="AL356" s="1"/>
      <c r="AM356" s="9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7"/>
      <c r="AI357" s="9"/>
      <c r="AJ357" s="1"/>
      <c r="AK357" s="1"/>
      <c r="AL357" s="1"/>
      <c r="AM357" s="9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7"/>
      <c r="AI358" s="9"/>
      <c r="AJ358" s="1"/>
      <c r="AK358" s="1"/>
      <c r="AL358" s="1"/>
      <c r="AM358" s="9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7"/>
      <c r="AI359" s="9"/>
      <c r="AJ359" s="1"/>
      <c r="AK359" s="1"/>
      <c r="AL359" s="1"/>
      <c r="AM359" s="9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7"/>
      <c r="AI360" s="9"/>
      <c r="AJ360" s="1"/>
      <c r="AK360" s="1"/>
      <c r="AL360" s="1"/>
      <c r="AM360" s="9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7"/>
      <c r="AI361" s="9"/>
      <c r="AJ361" s="1"/>
      <c r="AK361" s="1"/>
      <c r="AL361" s="1"/>
      <c r="AM361" s="9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7"/>
      <c r="AI362" s="9"/>
      <c r="AJ362" s="1"/>
      <c r="AK362" s="1"/>
      <c r="AL362" s="1"/>
      <c r="AM362" s="9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7"/>
      <c r="AI363" s="9"/>
      <c r="AJ363" s="1"/>
      <c r="AK363" s="1"/>
      <c r="AL363" s="1"/>
      <c r="AM363" s="9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7"/>
      <c r="AI364" s="9"/>
      <c r="AJ364" s="1"/>
      <c r="AK364" s="1"/>
      <c r="AL364" s="1"/>
      <c r="AM364" s="9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7"/>
      <c r="AI365" s="9"/>
      <c r="AJ365" s="1"/>
      <c r="AK365" s="1"/>
      <c r="AL365" s="1"/>
      <c r="AM365" s="9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7"/>
      <c r="AI366" s="9"/>
      <c r="AJ366" s="1"/>
      <c r="AK366" s="1"/>
      <c r="AL366" s="1"/>
      <c r="AM366" s="9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7"/>
      <c r="AI367" s="9"/>
      <c r="AJ367" s="1"/>
      <c r="AK367" s="1"/>
      <c r="AL367" s="1"/>
      <c r="AM367" s="9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7"/>
      <c r="AI368" s="9"/>
      <c r="AJ368" s="1"/>
      <c r="AK368" s="1"/>
      <c r="AL368" s="1"/>
      <c r="AM368" s="9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7"/>
      <c r="AI369" s="9"/>
      <c r="AJ369" s="1"/>
      <c r="AK369" s="1"/>
      <c r="AL369" s="1"/>
      <c r="AM369" s="9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7"/>
      <c r="AI370" s="9"/>
      <c r="AJ370" s="1"/>
      <c r="AK370" s="1"/>
      <c r="AL370" s="1"/>
      <c r="AM370" s="9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7"/>
      <c r="AI371" s="9"/>
      <c r="AJ371" s="1"/>
      <c r="AK371" s="1"/>
      <c r="AL371" s="1"/>
      <c r="AM371" s="9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7"/>
      <c r="AI372" s="9"/>
      <c r="AJ372" s="1"/>
      <c r="AK372" s="1"/>
      <c r="AL372" s="1"/>
      <c r="AM372" s="9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7"/>
      <c r="AI373" s="9"/>
      <c r="AJ373" s="1"/>
      <c r="AK373" s="1"/>
      <c r="AL373" s="1"/>
      <c r="AM373" s="9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7"/>
      <c r="AI374" s="9"/>
      <c r="AJ374" s="1"/>
      <c r="AK374" s="1"/>
      <c r="AL374" s="1"/>
      <c r="AM374" s="9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7"/>
      <c r="AI375" s="9"/>
      <c r="AJ375" s="1"/>
      <c r="AK375" s="1"/>
      <c r="AL375" s="1"/>
      <c r="AM375" s="9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7"/>
      <c r="AI376" s="9"/>
      <c r="AJ376" s="1"/>
      <c r="AK376" s="1"/>
      <c r="AL376" s="1"/>
      <c r="AM376" s="9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7"/>
      <c r="AI377" s="9"/>
      <c r="AJ377" s="1"/>
      <c r="AK377" s="1"/>
      <c r="AL377" s="1"/>
      <c r="AM377" s="9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7"/>
      <c r="AI378" s="9"/>
      <c r="AJ378" s="1"/>
      <c r="AK378" s="1"/>
      <c r="AL378" s="1"/>
      <c r="AM378" s="9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7"/>
      <c r="AI379" s="9"/>
      <c r="AJ379" s="1"/>
      <c r="AK379" s="1"/>
      <c r="AL379" s="1"/>
      <c r="AM379" s="9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7"/>
      <c r="AI380" s="9"/>
      <c r="AJ380" s="1"/>
      <c r="AK380" s="1"/>
      <c r="AL380" s="1"/>
      <c r="AM380" s="9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7"/>
      <c r="AI381" s="9"/>
      <c r="AJ381" s="1"/>
      <c r="AK381" s="1"/>
      <c r="AL381" s="1"/>
      <c r="AM381" s="9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7"/>
      <c r="AI382" s="9"/>
      <c r="AJ382" s="1"/>
      <c r="AK382" s="1"/>
      <c r="AL382" s="1"/>
      <c r="AM382" s="9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7"/>
      <c r="AI383" s="9"/>
      <c r="AJ383" s="1"/>
      <c r="AK383" s="1"/>
      <c r="AL383" s="1"/>
      <c r="AM383" s="9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7"/>
      <c r="AI384" s="9"/>
      <c r="AJ384" s="1"/>
      <c r="AK384" s="1"/>
      <c r="AL384" s="1"/>
      <c r="AM384" s="9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7"/>
      <c r="AI385" s="9"/>
      <c r="AJ385" s="1"/>
      <c r="AK385" s="1"/>
      <c r="AL385" s="1"/>
      <c r="AM385" s="9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7"/>
      <c r="AI386" s="9"/>
      <c r="AJ386" s="1"/>
      <c r="AK386" s="1"/>
      <c r="AL386" s="1"/>
      <c r="AM386" s="9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7"/>
      <c r="AI387" s="9"/>
      <c r="AJ387" s="1"/>
      <c r="AK387" s="1"/>
      <c r="AL387" s="1"/>
      <c r="AM387" s="9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7"/>
      <c r="AI388" s="9"/>
      <c r="AJ388" s="1"/>
      <c r="AK388" s="1"/>
      <c r="AL388" s="1"/>
      <c r="AM388" s="9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7"/>
      <c r="AI389" s="9"/>
      <c r="AJ389" s="1"/>
      <c r="AK389" s="1"/>
      <c r="AL389" s="1"/>
      <c r="AM389" s="9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7"/>
      <c r="AI390" s="9"/>
      <c r="AJ390" s="1"/>
      <c r="AK390" s="1"/>
      <c r="AL390" s="1"/>
      <c r="AM390" s="9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7"/>
      <c r="AI391" s="9"/>
      <c r="AJ391" s="1"/>
      <c r="AK391" s="1"/>
      <c r="AL391" s="1"/>
      <c r="AM391" s="9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7"/>
      <c r="AI392" s="9"/>
      <c r="AJ392" s="1"/>
      <c r="AK392" s="1"/>
      <c r="AL392" s="1"/>
      <c r="AM392" s="9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7"/>
      <c r="AI393" s="9"/>
      <c r="AJ393" s="1"/>
      <c r="AK393" s="1"/>
      <c r="AL393" s="1"/>
      <c r="AM393" s="9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7"/>
      <c r="AI394" s="9"/>
      <c r="AJ394" s="1"/>
      <c r="AK394" s="1"/>
      <c r="AL394" s="1"/>
      <c r="AM394" s="9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7"/>
      <c r="AI395" s="9"/>
      <c r="AJ395" s="1"/>
      <c r="AK395" s="1"/>
      <c r="AL395" s="1"/>
      <c r="AM395" s="9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7"/>
      <c r="AI396" s="9"/>
      <c r="AJ396" s="1"/>
      <c r="AK396" s="1"/>
      <c r="AL396" s="1"/>
      <c r="AM396" s="9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7"/>
      <c r="AI397" s="9"/>
      <c r="AJ397" s="1"/>
      <c r="AK397" s="1"/>
      <c r="AL397" s="1"/>
      <c r="AM397" s="9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7"/>
      <c r="AI398" s="9"/>
      <c r="AJ398" s="1"/>
      <c r="AK398" s="1"/>
      <c r="AL398" s="1"/>
      <c r="AM398" s="9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7"/>
      <c r="AI399" s="9"/>
      <c r="AJ399" s="1"/>
      <c r="AK399" s="1"/>
      <c r="AL399" s="1"/>
      <c r="AM399" s="9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7"/>
      <c r="AI400" s="9"/>
      <c r="AJ400" s="1"/>
      <c r="AK400" s="1"/>
      <c r="AL400" s="1"/>
      <c r="AM400" s="9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7"/>
      <c r="AI401" s="9"/>
      <c r="AJ401" s="1"/>
      <c r="AK401" s="1"/>
      <c r="AL401" s="1"/>
      <c r="AM401" s="9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7"/>
      <c r="AI402" s="9"/>
      <c r="AJ402" s="1"/>
      <c r="AK402" s="1"/>
      <c r="AL402" s="1"/>
      <c r="AM402" s="9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7"/>
      <c r="AI403" s="9"/>
      <c r="AJ403" s="1"/>
      <c r="AK403" s="1"/>
      <c r="AL403" s="1"/>
      <c r="AM403" s="9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7"/>
      <c r="AI404" s="9"/>
      <c r="AJ404" s="1"/>
      <c r="AK404" s="1"/>
      <c r="AL404" s="1"/>
      <c r="AM404" s="9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7"/>
      <c r="AI405" s="9"/>
      <c r="AJ405" s="1"/>
      <c r="AK405" s="1"/>
      <c r="AL405" s="1"/>
      <c r="AM405" s="9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7"/>
      <c r="AI406" s="9"/>
      <c r="AJ406" s="1"/>
      <c r="AK406" s="1"/>
      <c r="AL406" s="1"/>
      <c r="AM406" s="9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7"/>
      <c r="AI407" s="9"/>
      <c r="AJ407" s="1"/>
      <c r="AK407" s="1"/>
      <c r="AL407" s="1"/>
      <c r="AM407" s="9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7"/>
      <c r="AI408" s="9"/>
      <c r="AJ408" s="1"/>
      <c r="AK408" s="1"/>
      <c r="AL408" s="1"/>
      <c r="AM408" s="9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7"/>
      <c r="AI409" s="9"/>
      <c r="AJ409" s="1"/>
      <c r="AK409" s="1"/>
      <c r="AL409" s="1"/>
      <c r="AM409" s="9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7"/>
      <c r="AI410" s="9"/>
      <c r="AJ410" s="1"/>
      <c r="AK410" s="1"/>
      <c r="AL410" s="1"/>
      <c r="AM410" s="9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7"/>
      <c r="AI411" s="9"/>
      <c r="AJ411" s="1"/>
      <c r="AK411" s="1"/>
      <c r="AL411" s="1"/>
      <c r="AM411" s="9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7"/>
      <c r="AI412" s="9"/>
      <c r="AJ412" s="1"/>
      <c r="AK412" s="1"/>
      <c r="AL412" s="1"/>
      <c r="AM412" s="9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7"/>
      <c r="AI413" s="9"/>
      <c r="AJ413" s="1"/>
      <c r="AK413" s="1"/>
      <c r="AL413" s="1"/>
      <c r="AM413" s="9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7"/>
      <c r="AI414" s="9"/>
      <c r="AJ414" s="1"/>
      <c r="AK414" s="1"/>
      <c r="AL414" s="1"/>
      <c r="AM414" s="9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7"/>
      <c r="AI415" s="9"/>
      <c r="AJ415" s="1"/>
      <c r="AK415" s="1"/>
      <c r="AL415" s="1"/>
      <c r="AM415" s="9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7"/>
      <c r="AI416" s="9"/>
      <c r="AJ416" s="1"/>
      <c r="AK416" s="1"/>
      <c r="AL416" s="1"/>
      <c r="AM416" s="9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7"/>
      <c r="AI417" s="9"/>
      <c r="AJ417" s="1"/>
      <c r="AK417" s="1"/>
      <c r="AL417" s="1"/>
      <c r="AM417" s="9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7"/>
      <c r="AI418" s="9"/>
      <c r="AJ418" s="1"/>
      <c r="AK418" s="1"/>
      <c r="AL418" s="1"/>
      <c r="AM418" s="9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7"/>
      <c r="AI419" s="9"/>
      <c r="AJ419" s="1"/>
      <c r="AK419" s="1"/>
      <c r="AL419" s="1"/>
      <c r="AM419" s="9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7"/>
      <c r="AI420" s="9"/>
      <c r="AJ420" s="1"/>
      <c r="AK420" s="1"/>
      <c r="AL420" s="1"/>
      <c r="AM420" s="9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7"/>
      <c r="AI421" s="9"/>
      <c r="AJ421" s="1"/>
      <c r="AK421" s="1"/>
      <c r="AL421" s="1"/>
      <c r="AM421" s="9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7"/>
      <c r="AI422" s="9"/>
      <c r="AJ422" s="1"/>
      <c r="AK422" s="1"/>
      <c r="AL422" s="1"/>
      <c r="AM422" s="9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7"/>
      <c r="AI423" s="9"/>
      <c r="AJ423" s="1"/>
      <c r="AK423" s="1"/>
      <c r="AL423" s="1"/>
      <c r="AM423" s="9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7"/>
      <c r="AI424" s="9"/>
      <c r="AJ424" s="1"/>
      <c r="AK424" s="1"/>
      <c r="AL424" s="1"/>
      <c r="AM424" s="9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7"/>
      <c r="AI425" s="9"/>
      <c r="AJ425" s="1"/>
      <c r="AK425" s="1"/>
      <c r="AL425" s="1"/>
      <c r="AM425" s="9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7"/>
      <c r="AI426" s="9"/>
      <c r="AJ426" s="1"/>
      <c r="AK426" s="1"/>
      <c r="AL426" s="1"/>
      <c r="AM426" s="9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7"/>
      <c r="AI427" s="9"/>
      <c r="AJ427" s="1"/>
      <c r="AK427" s="1"/>
      <c r="AL427" s="1"/>
      <c r="AM427" s="9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7"/>
      <c r="AI428" s="9"/>
      <c r="AJ428" s="1"/>
      <c r="AK428" s="1"/>
      <c r="AL428" s="1"/>
      <c r="AM428" s="9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7"/>
      <c r="AI429" s="9"/>
      <c r="AJ429" s="1"/>
      <c r="AK429" s="1"/>
      <c r="AL429" s="1"/>
      <c r="AM429" s="9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7"/>
      <c r="AI430" s="9"/>
      <c r="AJ430" s="1"/>
      <c r="AK430" s="1"/>
      <c r="AL430" s="1"/>
      <c r="AM430" s="9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7"/>
      <c r="AI431" s="9"/>
      <c r="AJ431" s="1"/>
      <c r="AK431" s="1"/>
      <c r="AL431" s="1"/>
      <c r="AM431" s="9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7"/>
      <c r="AI432" s="9"/>
      <c r="AJ432" s="1"/>
      <c r="AK432" s="1"/>
      <c r="AL432" s="1"/>
      <c r="AM432" s="9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7"/>
      <c r="AI433" s="9"/>
      <c r="AJ433" s="1"/>
      <c r="AK433" s="1"/>
      <c r="AL433" s="1"/>
      <c r="AM433" s="9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7"/>
      <c r="AI434" s="9"/>
      <c r="AJ434" s="1"/>
      <c r="AK434" s="1"/>
      <c r="AL434" s="1"/>
      <c r="AM434" s="9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7"/>
      <c r="AI435" s="9"/>
      <c r="AJ435" s="1"/>
      <c r="AK435" s="1"/>
      <c r="AL435" s="1"/>
      <c r="AM435" s="9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7"/>
      <c r="AI436" s="9"/>
      <c r="AJ436" s="1"/>
      <c r="AK436" s="1"/>
      <c r="AL436" s="1"/>
      <c r="AM436" s="9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7"/>
      <c r="AI437" s="9"/>
      <c r="AJ437" s="1"/>
      <c r="AK437" s="1"/>
      <c r="AL437" s="1"/>
      <c r="AM437" s="9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7"/>
      <c r="AI438" s="9"/>
      <c r="AJ438" s="1"/>
      <c r="AK438" s="1"/>
      <c r="AL438" s="1"/>
      <c r="AM438" s="9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7"/>
      <c r="AI439" s="9"/>
      <c r="AJ439" s="1"/>
      <c r="AK439" s="1"/>
      <c r="AL439" s="1"/>
      <c r="AM439" s="9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7"/>
      <c r="AI440" s="9"/>
      <c r="AJ440" s="1"/>
      <c r="AK440" s="1"/>
      <c r="AL440" s="1"/>
      <c r="AM440" s="9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7"/>
      <c r="AI441" s="9"/>
      <c r="AJ441" s="1"/>
      <c r="AK441" s="1"/>
      <c r="AL441" s="1"/>
      <c r="AM441" s="9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7"/>
      <c r="AI442" s="9"/>
      <c r="AJ442" s="1"/>
      <c r="AK442" s="1"/>
      <c r="AL442" s="1"/>
      <c r="AM442" s="9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7"/>
      <c r="AI443" s="9"/>
      <c r="AJ443" s="1"/>
      <c r="AK443" s="1"/>
      <c r="AL443" s="1"/>
      <c r="AM443" s="9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7"/>
      <c r="AI444" s="9"/>
      <c r="AJ444" s="1"/>
      <c r="AK444" s="1"/>
      <c r="AL444" s="1"/>
      <c r="AM444" s="9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7"/>
      <c r="AI445" s="9"/>
      <c r="AJ445" s="1"/>
      <c r="AK445" s="1"/>
      <c r="AL445" s="1"/>
      <c r="AM445" s="9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7"/>
      <c r="AI446" s="9"/>
      <c r="AJ446" s="1"/>
      <c r="AK446" s="1"/>
      <c r="AL446" s="1"/>
      <c r="AM446" s="9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7"/>
      <c r="AI447" s="9"/>
      <c r="AJ447" s="1"/>
      <c r="AK447" s="1"/>
      <c r="AL447" s="1"/>
      <c r="AM447" s="9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7"/>
      <c r="AI448" s="9"/>
      <c r="AJ448" s="1"/>
      <c r="AK448" s="1"/>
      <c r="AL448" s="1"/>
      <c r="AM448" s="9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7"/>
      <c r="AI449" s="9"/>
      <c r="AJ449" s="1"/>
      <c r="AK449" s="1"/>
      <c r="AL449" s="1"/>
      <c r="AM449" s="9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7"/>
      <c r="AI450" s="9"/>
      <c r="AJ450" s="1"/>
      <c r="AK450" s="1"/>
      <c r="AL450" s="1"/>
      <c r="AM450" s="9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7"/>
      <c r="AI451" s="9"/>
      <c r="AJ451" s="1"/>
      <c r="AK451" s="1"/>
      <c r="AL451" s="1"/>
      <c r="AM451" s="9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7"/>
      <c r="AI452" s="9"/>
      <c r="AJ452" s="1"/>
      <c r="AK452" s="1"/>
      <c r="AL452" s="1"/>
      <c r="AM452" s="9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7"/>
      <c r="AI453" s="9"/>
      <c r="AJ453" s="1"/>
      <c r="AK453" s="1"/>
      <c r="AL453" s="1"/>
      <c r="AM453" s="9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7"/>
      <c r="AI454" s="9"/>
      <c r="AJ454" s="1"/>
      <c r="AK454" s="1"/>
      <c r="AL454" s="1"/>
      <c r="AM454" s="9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7"/>
      <c r="AI455" s="9"/>
      <c r="AJ455" s="1"/>
      <c r="AK455" s="1"/>
      <c r="AL455" s="1"/>
      <c r="AM455" s="9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7"/>
      <c r="AI456" s="9"/>
      <c r="AJ456" s="1"/>
      <c r="AK456" s="1"/>
      <c r="AL456" s="1"/>
      <c r="AM456" s="9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7"/>
      <c r="AI457" s="9"/>
      <c r="AJ457" s="1"/>
      <c r="AK457" s="1"/>
      <c r="AL457" s="1"/>
      <c r="AM457" s="9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7"/>
      <c r="AI458" s="9"/>
      <c r="AJ458" s="1"/>
      <c r="AK458" s="1"/>
      <c r="AL458" s="1"/>
      <c r="AM458" s="9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7"/>
      <c r="AI459" s="9"/>
      <c r="AJ459" s="1"/>
      <c r="AK459" s="1"/>
      <c r="AL459" s="1"/>
      <c r="AM459" s="9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7"/>
      <c r="AI460" s="9"/>
      <c r="AJ460" s="1"/>
      <c r="AK460" s="1"/>
      <c r="AL460" s="1"/>
      <c r="AM460" s="9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7"/>
      <c r="AI461" s="9"/>
      <c r="AJ461" s="1"/>
      <c r="AK461" s="1"/>
      <c r="AL461" s="1"/>
      <c r="AM461" s="9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7"/>
      <c r="AI462" s="9"/>
      <c r="AJ462" s="1"/>
      <c r="AK462" s="1"/>
      <c r="AL462" s="1"/>
      <c r="AM462" s="9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7"/>
      <c r="AI463" s="9"/>
      <c r="AJ463" s="1"/>
      <c r="AK463" s="1"/>
      <c r="AL463" s="1"/>
      <c r="AM463" s="9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7"/>
      <c r="AI464" s="9"/>
      <c r="AJ464" s="1"/>
      <c r="AK464" s="1"/>
      <c r="AL464" s="1"/>
      <c r="AM464" s="9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7"/>
      <c r="AI465" s="9"/>
      <c r="AJ465" s="1"/>
      <c r="AK465" s="1"/>
      <c r="AL465" s="1"/>
      <c r="AM465" s="9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7"/>
      <c r="AI466" s="9"/>
      <c r="AJ466" s="1"/>
      <c r="AK466" s="1"/>
      <c r="AL466" s="1"/>
      <c r="AM466" s="9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7"/>
      <c r="AI467" s="9"/>
      <c r="AJ467" s="1"/>
      <c r="AK467" s="1"/>
      <c r="AL467" s="1"/>
      <c r="AM467" s="9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7"/>
      <c r="AI468" s="9"/>
      <c r="AJ468" s="1"/>
      <c r="AK468" s="1"/>
      <c r="AL468" s="1"/>
      <c r="AM468" s="9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7"/>
      <c r="AI469" s="9"/>
      <c r="AJ469" s="1"/>
      <c r="AK469" s="1"/>
      <c r="AL469" s="1"/>
      <c r="AM469" s="9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7"/>
      <c r="AI470" s="9"/>
      <c r="AJ470" s="1"/>
      <c r="AK470" s="1"/>
      <c r="AL470" s="1"/>
      <c r="AM470" s="9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7"/>
      <c r="AI471" s="9"/>
      <c r="AJ471" s="1"/>
      <c r="AK471" s="1"/>
      <c r="AL471" s="1"/>
      <c r="AM471" s="9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7"/>
      <c r="AI472" s="9"/>
      <c r="AJ472" s="1"/>
      <c r="AK472" s="1"/>
      <c r="AL472" s="1"/>
      <c r="AM472" s="9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7"/>
      <c r="AI473" s="9"/>
      <c r="AJ473" s="1"/>
      <c r="AK473" s="1"/>
      <c r="AL473" s="1"/>
      <c r="AM473" s="9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7"/>
      <c r="AI474" s="9"/>
      <c r="AJ474" s="1"/>
      <c r="AK474" s="1"/>
      <c r="AL474" s="1"/>
      <c r="AM474" s="9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7"/>
      <c r="AI475" s="9"/>
      <c r="AJ475" s="1"/>
      <c r="AK475" s="1"/>
      <c r="AL475" s="1"/>
      <c r="AM475" s="9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7"/>
      <c r="AI476" s="9"/>
      <c r="AJ476" s="1"/>
      <c r="AK476" s="1"/>
      <c r="AL476" s="1"/>
      <c r="AM476" s="9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7"/>
      <c r="AI477" s="9"/>
      <c r="AJ477" s="1"/>
      <c r="AK477" s="1"/>
      <c r="AL477" s="1"/>
      <c r="AM477" s="9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7"/>
      <c r="AI478" s="9"/>
      <c r="AJ478" s="1"/>
      <c r="AK478" s="1"/>
      <c r="AL478" s="1"/>
      <c r="AM478" s="9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7"/>
      <c r="AI479" s="9"/>
      <c r="AJ479" s="1"/>
      <c r="AK479" s="1"/>
      <c r="AL479" s="1"/>
      <c r="AM479" s="9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7"/>
      <c r="AI480" s="9"/>
      <c r="AJ480" s="1"/>
      <c r="AK480" s="1"/>
      <c r="AL480" s="1"/>
      <c r="AM480" s="9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7"/>
      <c r="AI481" s="9"/>
      <c r="AJ481" s="1"/>
      <c r="AK481" s="1"/>
      <c r="AL481" s="1"/>
      <c r="AM481" s="9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7"/>
      <c r="AI482" s="9"/>
      <c r="AJ482" s="1"/>
      <c r="AK482" s="1"/>
      <c r="AL482" s="1"/>
      <c r="AM482" s="9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7"/>
      <c r="AI483" s="9"/>
      <c r="AJ483" s="1"/>
      <c r="AK483" s="1"/>
      <c r="AL483" s="1"/>
      <c r="AM483" s="9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7"/>
      <c r="AI484" s="9"/>
      <c r="AJ484" s="1"/>
      <c r="AK484" s="1"/>
      <c r="AL484" s="1"/>
      <c r="AM484" s="9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7"/>
      <c r="AI485" s="9"/>
      <c r="AJ485" s="1"/>
      <c r="AK485" s="1"/>
      <c r="AL485" s="1"/>
      <c r="AM485" s="9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7"/>
      <c r="AI486" s="9"/>
      <c r="AJ486" s="1"/>
      <c r="AK486" s="1"/>
      <c r="AL486" s="1"/>
      <c r="AM486" s="9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7"/>
      <c r="AI487" s="9"/>
      <c r="AJ487" s="1"/>
      <c r="AK487" s="1"/>
      <c r="AL487" s="1"/>
      <c r="AM487" s="9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7"/>
      <c r="AI488" s="9"/>
      <c r="AJ488" s="1"/>
      <c r="AK488" s="1"/>
      <c r="AL488" s="1"/>
      <c r="AM488" s="9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7"/>
      <c r="AI489" s="9"/>
      <c r="AJ489" s="1"/>
      <c r="AK489" s="1"/>
      <c r="AL489" s="1"/>
      <c r="AM489" s="9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7"/>
      <c r="AI490" s="9"/>
      <c r="AJ490" s="1"/>
      <c r="AK490" s="1"/>
      <c r="AL490" s="1"/>
      <c r="AM490" s="9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7"/>
      <c r="AI491" s="9"/>
      <c r="AJ491" s="1"/>
      <c r="AK491" s="1"/>
      <c r="AL491" s="1"/>
      <c r="AM491" s="9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7"/>
      <c r="AI492" s="9"/>
      <c r="AJ492" s="1"/>
      <c r="AK492" s="1"/>
      <c r="AL492" s="1"/>
      <c r="AM492" s="9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7"/>
      <c r="AI493" s="9"/>
      <c r="AJ493" s="1"/>
      <c r="AK493" s="1"/>
      <c r="AL493" s="1"/>
      <c r="AM493" s="9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7"/>
      <c r="AI494" s="9"/>
      <c r="AJ494" s="1"/>
      <c r="AK494" s="1"/>
      <c r="AL494" s="1"/>
      <c r="AM494" s="9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7"/>
      <c r="AI495" s="9"/>
      <c r="AJ495" s="1"/>
      <c r="AK495" s="1"/>
      <c r="AL495" s="1"/>
      <c r="AM495" s="9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7"/>
      <c r="AI496" s="9"/>
      <c r="AJ496" s="1"/>
      <c r="AK496" s="1"/>
      <c r="AL496" s="1"/>
      <c r="AM496" s="9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7"/>
      <c r="AI497" s="9"/>
      <c r="AJ497" s="1"/>
      <c r="AK497" s="1"/>
      <c r="AL497" s="1"/>
      <c r="AM497" s="9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7"/>
      <c r="AI498" s="9"/>
      <c r="AJ498" s="1"/>
      <c r="AK498" s="1"/>
      <c r="AL498" s="1"/>
      <c r="AM498" s="9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7"/>
      <c r="AI499" s="9"/>
      <c r="AJ499" s="1"/>
      <c r="AK499" s="1"/>
      <c r="AL499" s="1"/>
      <c r="AM499" s="9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M8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2026-10-08T10:02:05Z</dcterms:created>
  <dcterms:modified xsi:type="dcterms:W3CDTF">2026-10-09T11:10:45Z</dcterms:modified>
</cp:coreProperties>
</file>