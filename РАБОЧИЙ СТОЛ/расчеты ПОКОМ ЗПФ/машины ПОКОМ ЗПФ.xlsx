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0FFFC1E8-20AE-4795-B3B8-9E7CEA96FAB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4" i="1" l="1"/>
  <c r="O4" i="1"/>
  <c r="N5" i="1"/>
  <c r="O5" i="1"/>
  <c r="N6" i="1"/>
  <c r="O6" i="1"/>
  <c r="N7" i="1"/>
  <c r="O7" i="1"/>
  <c r="N8" i="1"/>
  <c r="O8" i="1"/>
  <c r="N9" i="1"/>
  <c r="O9" i="1"/>
  <c r="N10" i="1"/>
  <c r="O10" i="1"/>
  <c r="O3" i="1"/>
  <c r="N3" i="1"/>
  <c r="K11" i="1"/>
  <c r="J11" i="1"/>
  <c r="M11" i="1" l="1"/>
  <c r="L11" i="1"/>
  <c r="C11" i="1" l="1"/>
  <c r="E11" i="1" l="1"/>
  <c r="F11" i="1"/>
  <c r="G11" i="1"/>
  <c r="H11" i="1"/>
  <c r="I11" i="1"/>
  <c r="O11" i="1" l="1"/>
  <c r="D11" i="1"/>
  <c r="B11" i="1"/>
  <c r="N11" i="1" l="1"/>
</calcChain>
</file>

<file path=xl/sharedStrings.xml><?xml version="1.0" encoding="utf-8"?>
<sst xmlns="http://schemas.openxmlformats.org/spreadsheetml/2006/main" count="29" uniqueCount="21">
  <si>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</si>
  <si>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</si>
  <si>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</si>
  <si>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</si>
  <si>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</si>
  <si>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</si>
  <si>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ИТОГОВЫЕ ДАННЫЕ</t>
  </si>
  <si>
    <t>нетто</t>
  </si>
  <si>
    <t>ПРС ЛП</t>
  </si>
  <si>
    <t>Остаток, вес</t>
  </si>
  <si>
    <t>КОЛ-ВО коробок</t>
  </si>
  <si>
    <t>Горняк Донецк</t>
  </si>
  <si>
    <t>коробок</t>
  </si>
  <si>
    <t>Остаток, кор.</t>
  </si>
  <si>
    <t>Горняк Луганск</t>
  </si>
  <si>
    <t>Мариуполь</t>
  </si>
  <si>
    <t>1 машина 19,10</t>
  </si>
  <si>
    <t>1 машина 20,10</t>
  </si>
  <si>
    <t>2 машина 19,10</t>
  </si>
  <si>
    <t>3 машина 19,10</t>
  </si>
  <si>
    <t>4 машина 19,10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</si>
</sst>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0" fontId="1" fillId="0" borderId="19" xfId="0" applyFont="1" applyBorder="1"/>
    <xf numFmtId="0" fontId="0" fillId="0" borderId="23" xfId="0" applyBorder="1"/>
    <xf numFmtId="0" fontId="0" fillId="0" borderId="1" xfId="0" applyBorder="1"/>
    <xf numFmtId="0" fontId="0" fillId="0" borderId="5" xfId="0" applyBorder="1"/>
    <xf numFmtId="0" fontId="0" fillId="0" borderId="11" xfId="0" applyBorder="1"/>
    <xf numFmtId="0" fontId="0" fillId="0" borderId="12" xfId="0" applyBorder="1"/>
    <xf numFmtId="0" fontId="0" fillId="0" borderId="0" xfId="0" applyFill="1" applyBorder="1"/>
    <xf numFmtId="0" fontId="1" fillId="0" borderId="25" xfId="0" applyFont="1" applyBorder="1"/>
    <xf numFmtId="0" fontId="1" fillId="2" borderId="28" xfId="0" applyFont="1" applyFill="1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28" xfId="0" applyBorder="1"/>
    <xf numFmtId="0" fontId="1" fillId="0" borderId="32" xfId="0" applyFont="1" applyBorder="1"/>
    <xf numFmtId="0" fontId="0" fillId="0" borderId="21" xfId="0" applyBorder="1"/>
    <xf numFmtId="0" fontId="0" fillId="3" borderId="33" xfId="0" applyFill="1" applyBorder="1"/>
    <xf numFmtId="0" fontId="0" fillId="4" borderId="33" xfId="0" applyFill="1" applyBorder="1"/>
    <xf numFmtId="0" fontId="0" fillId="0" borderId="33" xfId="0" applyBorder="1"/>
    <xf numFmtId="0" fontId="0" fillId="0" borderId="24" xfId="0" applyBorder="1"/>
    <xf numFmtId="0" fontId="0" fillId="4" borderId="24" xfId="0" applyFill="1" applyBorder="1"/>
    <xf numFmtId="0" fontId="0" fillId="3" borderId="34" xfId="0" applyFill="1" applyBorder="1"/>
    <xf numFmtId="0" fontId="1" fillId="0" borderId="35" xfId="0" applyFont="1" applyBorder="1"/>
    <xf numFmtId="0" fontId="1" fillId="0" borderId="26" xfId="0" applyFont="1" applyBorder="1"/>
    <xf numFmtId="0" fontId="0" fillId="0" borderId="36" xfId="0" applyBorder="1"/>
    <xf numFmtId="0" fontId="0" fillId="0" borderId="37" xfId="0" applyBorder="1"/>
    <xf numFmtId="0" fontId="0" fillId="0" borderId="18" xfId="0" applyBorder="1"/>
    <xf numFmtId="0" fontId="0" fillId="0" borderId="19" xfId="0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1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zoomScale="115" zoomScaleNormal="115" workbookViewId="0">
      <selection activeCell="P18" sqref="P18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9" width="9.85546875" customWidth="1"/>
    <col min="10" max="10" width="9.85546875" bestFit="1" customWidth="1"/>
    <col min="11" max="13" width="9.85546875" customWidth="1"/>
    <col min="14" max="15" width="8.140625" bestFit="1" customWidth="1"/>
  </cols>
  <sheetData>
    <row r="1" spans="1:15" x14ac:dyDescent="0.25">
      <c r="A1" s="49" t="s">
        <v>4</v>
      </c>
      <c r="B1" s="51" t="s">
        <v>5</v>
      </c>
      <c r="C1" s="45" t="s">
        <v>10</v>
      </c>
      <c r="D1" s="53" t="s">
        <v>16</v>
      </c>
      <c r="E1" s="54"/>
      <c r="F1" s="53" t="s">
        <v>18</v>
      </c>
      <c r="G1" s="54"/>
      <c r="H1" s="53" t="s">
        <v>19</v>
      </c>
      <c r="I1" s="54"/>
      <c r="J1" s="53" t="s">
        <v>20</v>
      </c>
      <c r="K1" s="54"/>
      <c r="L1" s="55" t="s">
        <v>17</v>
      </c>
      <c r="M1" s="54"/>
      <c r="N1" s="47" t="s">
        <v>9</v>
      </c>
      <c r="O1" s="43" t="s">
        <v>13</v>
      </c>
    </row>
    <row r="2" spans="1:15" ht="15.75" thickBot="1" x14ac:dyDescent="0.3">
      <c r="A2" s="50"/>
      <c r="B2" s="52"/>
      <c r="C2" s="46"/>
      <c r="D2" s="8" t="s">
        <v>7</v>
      </c>
      <c r="E2" s="9" t="s">
        <v>12</v>
      </c>
      <c r="F2" s="8" t="s">
        <v>7</v>
      </c>
      <c r="G2" s="9" t="s">
        <v>12</v>
      </c>
      <c r="H2" s="8" t="s">
        <v>7</v>
      </c>
      <c r="I2" s="9" t="s">
        <v>12</v>
      </c>
      <c r="J2" s="8" t="s">
        <v>7</v>
      </c>
      <c r="K2" s="9" t="s">
        <v>12</v>
      </c>
      <c r="L2" s="24" t="s">
        <v>7</v>
      </c>
      <c r="M2" s="9" t="s">
        <v>12</v>
      </c>
      <c r="N2" s="48"/>
      <c r="O2" s="44"/>
    </row>
    <row r="3" spans="1:15" x14ac:dyDescent="0.25">
      <c r="A3" s="30" t="s">
        <v>0</v>
      </c>
      <c r="B3" s="18">
        <v>5844</v>
      </c>
      <c r="C3" s="20">
        <v>1358</v>
      </c>
      <c r="D3" s="4"/>
      <c r="E3" s="5"/>
      <c r="F3" s="4"/>
      <c r="G3" s="5"/>
      <c r="H3" s="18">
        <v>5844</v>
      </c>
      <c r="I3" s="20">
        <v>1358</v>
      </c>
      <c r="J3" s="18"/>
      <c r="K3" s="20"/>
      <c r="L3" s="25"/>
      <c r="M3" s="6"/>
      <c r="N3" s="4">
        <f>B3-D3-F3-H3-J3-L3</f>
        <v>0</v>
      </c>
      <c r="O3" s="5">
        <f>C3-E3-G3-I3-K3-M3</f>
        <v>0</v>
      </c>
    </row>
    <row r="4" spans="1:15" x14ac:dyDescent="0.25">
      <c r="A4" s="31" t="s">
        <v>1</v>
      </c>
      <c r="B4" s="2">
        <v>17834</v>
      </c>
      <c r="C4" s="10">
        <v>4470</v>
      </c>
      <c r="D4" s="2"/>
      <c r="E4" s="3"/>
      <c r="F4" s="2">
        <v>12984</v>
      </c>
      <c r="G4" s="3">
        <v>3488</v>
      </c>
      <c r="H4" s="2"/>
      <c r="I4" s="3"/>
      <c r="J4" s="2"/>
      <c r="K4" s="3"/>
      <c r="L4" s="26">
        <v>4850</v>
      </c>
      <c r="M4" s="7">
        <v>982</v>
      </c>
      <c r="N4" s="4">
        <f t="shared" ref="N4:N10" si="0">B4-D4-F4-H4-J4-L4</f>
        <v>0</v>
      </c>
      <c r="O4" s="5">
        <f t="shared" ref="O4:O10" si="1">C4-E4-G4-I4-K4-M4</f>
        <v>0</v>
      </c>
    </row>
    <row r="5" spans="1:15" x14ac:dyDescent="0.25">
      <c r="A5" s="32" t="s">
        <v>2</v>
      </c>
      <c r="B5" s="2">
        <v>6282</v>
      </c>
      <c r="C5" s="10">
        <v>1682</v>
      </c>
      <c r="D5" s="17">
        <v>6282</v>
      </c>
      <c r="E5" s="10">
        <v>1682</v>
      </c>
      <c r="F5" s="2"/>
      <c r="G5" s="3"/>
      <c r="H5" s="2"/>
      <c r="I5" s="3"/>
      <c r="J5" s="2"/>
      <c r="K5" s="3"/>
      <c r="L5" s="26"/>
      <c r="M5" s="7"/>
      <c r="N5" s="4">
        <f t="shared" si="0"/>
        <v>0</v>
      </c>
      <c r="O5" s="5">
        <f t="shared" si="1"/>
        <v>0</v>
      </c>
    </row>
    <row r="6" spans="1:15" x14ac:dyDescent="0.25">
      <c r="A6" s="33" t="s">
        <v>3</v>
      </c>
      <c r="B6" s="2">
        <v>7673</v>
      </c>
      <c r="C6" s="10">
        <v>1748</v>
      </c>
      <c r="D6" s="17"/>
      <c r="E6" s="10"/>
      <c r="F6" s="2"/>
      <c r="G6" s="3"/>
      <c r="H6" s="2">
        <v>7673</v>
      </c>
      <c r="I6" s="10">
        <v>1748</v>
      </c>
      <c r="J6" s="2"/>
      <c r="K6" s="10"/>
      <c r="L6" s="26"/>
      <c r="M6" s="7"/>
      <c r="N6" s="4">
        <f t="shared" si="0"/>
        <v>0</v>
      </c>
      <c r="O6" s="5">
        <f t="shared" si="1"/>
        <v>0</v>
      </c>
    </row>
    <row r="7" spans="1:15" x14ac:dyDescent="0.25">
      <c r="A7" s="34" t="s">
        <v>15</v>
      </c>
      <c r="B7" s="2">
        <v>1425</v>
      </c>
      <c r="C7" s="10">
        <v>380</v>
      </c>
      <c r="D7" s="17"/>
      <c r="E7" s="10"/>
      <c r="F7" s="2"/>
      <c r="G7" s="3"/>
      <c r="H7" s="2">
        <v>1425</v>
      </c>
      <c r="I7" s="10">
        <v>380</v>
      </c>
      <c r="J7" s="2"/>
      <c r="K7" s="10"/>
      <c r="L7" s="26"/>
      <c r="M7" s="7"/>
      <c r="N7" s="4">
        <f t="shared" si="0"/>
        <v>0</v>
      </c>
      <c r="O7" s="5">
        <f t="shared" si="1"/>
        <v>0</v>
      </c>
    </row>
    <row r="8" spans="1:15" x14ac:dyDescent="0.25">
      <c r="A8" s="35" t="s">
        <v>14</v>
      </c>
      <c r="B8" s="2">
        <v>7074</v>
      </c>
      <c r="C8" s="10">
        <v>1862</v>
      </c>
      <c r="D8" s="17">
        <v>7074</v>
      </c>
      <c r="E8" s="10">
        <v>1862</v>
      </c>
      <c r="F8" s="2"/>
      <c r="G8" s="3"/>
      <c r="H8" s="2"/>
      <c r="I8" s="3"/>
      <c r="J8" s="2"/>
      <c r="K8" s="3"/>
      <c r="L8" s="26"/>
      <c r="M8" s="7"/>
      <c r="N8" s="4">
        <f t="shared" si="0"/>
        <v>0</v>
      </c>
      <c r="O8" s="5">
        <f t="shared" si="1"/>
        <v>0</v>
      </c>
    </row>
    <row r="9" spans="1:15" x14ac:dyDescent="0.25">
      <c r="A9" s="34" t="s">
        <v>11</v>
      </c>
      <c r="B9" s="2">
        <v>12372</v>
      </c>
      <c r="C9" s="14">
        <v>3442</v>
      </c>
      <c r="D9" s="11"/>
      <c r="E9" s="13"/>
      <c r="F9" s="11"/>
      <c r="G9" s="13"/>
      <c r="H9" s="11"/>
      <c r="I9" s="13"/>
      <c r="J9" s="2">
        <v>12372</v>
      </c>
      <c r="K9" s="14">
        <v>3442</v>
      </c>
      <c r="L9" s="27"/>
      <c r="M9" s="12"/>
      <c r="N9" s="4">
        <f t="shared" si="0"/>
        <v>0</v>
      </c>
      <c r="O9" s="5">
        <f t="shared" si="1"/>
        <v>0</v>
      </c>
    </row>
    <row r="10" spans="1:15" ht="15.75" thickBot="1" x14ac:dyDescent="0.3">
      <c r="A10" s="36" t="s">
        <v>8</v>
      </c>
      <c r="B10" s="19">
        <v>9987</v>
      </c>
      <c r="C10" s="21">
        <v>2456</v>
      </c>
      <c r="D10" s="11"/>
      <c r="E10" s="13"/>
      <c r="F10" s="11"/>
      <c r="G10" s="13"/>
      <c r="H10" s="11"/>
      <c r="I10" s="13"/>
      <c r="J10" s="11"/>
      <c r="K10" s="13"/>
      <c r="L10" s="28">
        <v>9987</v>
      </c>
      <c r="M10" s="21">
        <v>2456</v>
      </c>
      <c r="N10" s="39">
        <f t="shared" si="0"/>
        <v>0</v>
      </c>
      <c r="O10" s="40">
        <f t="shared" si="1"/>
        <v>0</v>
      </c>
    </row>
    <row r="11" spans="1:15" s="1" customFormat="1" ht="15.75" thickBot="1" x14ac:dyDescent="0.3">
      <c r="A11" s="37" t="s">
        <v>6</v>
      </c>
      <c r="B11" s="37">
        <f>SUM(B3:B10)</f>
        <v>68491</v>
      </c>
      <c r="C11" s="38">
        <f>SUM(C3:C10)</f>
        <v>17398</v>
      </c>
      <c r="D11" s="15">
        <f>SUM(D3:D10)</f>
        <v>13356</v>
      </c>
      <c r="E11" s="16">
        <f t="shared" ref="E11:I11" si="2">SUM(E3:E10)</f>
        <v>3544</v>
      </c>
      <c r="F11" s="15">
        <f t="shared" si="2"/>
        <v>12984</v>
      </c>
      <c r="G11" s="16">
        <f t="shared" si="2"/>
        <v>3488</v>
      </c>
      <c r="H11" s="15">
        <f t="shared" si="2"/>
        <v>14942</v>
      </c>
      <c r="I11" s="16">
        <f t="shared" si="2"/>
        <v>3486</v>
      </c>
      <c r="J11" s="15">
        <f t="shared" ref="J11:K11" si="3">SUM(J3:J10)</f>
        <v>12372</v>
      </c>
      <c r="K11" s="16">
        <f t="shared" si="3"/>
        <v>3442</v>
      </c>
      <c r="L11" s="29">
        <f t="shared" ref="L11:M11" si="4">SUM(L3:L10)</f>
        <v>14837</v>
      </c>
      <c r="M11" s="23">
        <f t="shared" si="4"/>
        <v>3438</v>
      </c>
      <c r="N11" s="41">
        <f t="shared" ref="N11" si="5">B11-D11-F11-H11-L11</f>
        <v>12372</v>
      </c>
      <c r="O11" s="42">
        <f t="shared" ref="O11" si="6">C11-E11-G11-I11-M11</f>
        <v>3442</v>
      </c>
    </row>
    <row r="12" spans="1:15" x14ac:dyDescent="0.25">
      <c r="C12" s="22"/>
      <c r="O12" s="22"/>
    </row>
  </sheetData>
  <mergeCells count="10">
    <mergeCell ref="O1:O2"/>
    <mergeCell ref="C1:C2"/>
    <mergeCell ref="N1:N2"/>
    <mergeCell ref="A1:A2"/>
    <mergeCell ref="B1:B2"/>
    <mergeCell ref="D1:E1"/>
    <mergeCell ref="F1:G1"/>
    <mergeCell ref="H1:I1"/>
    <mergeCell ref="L1:M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2026-10-16T12:38:18Z</dcterms:modified>
</cp:coreProperties>
</file>