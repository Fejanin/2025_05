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425ACA1A-1CF9-4EC6-8409-D0210BFEC5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Z278" i="1" s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Z259" i="1" s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P201" i="1"/>
  <c r="BO200" i="1"/>
  <c r="BM200" i="1"/>
  <c r="Z200" i="1"/>
  <c r="Y200" i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P188" i="1"/>
  <c r="BO188" i="1"/>
  <c r="BN188" i="1"/>
  <c r="BM188" i="1"/>
  <c r="Z188" i="1"/>
  <c r="Y188" i="1"/>
  <c r="P188" i="1"/>
  <c r="BO187" i="1"/>
  <c r="BM187" i="1"/>
  <c r="Z187" i="1"/>
  <c r="Y187" i="1"/>
  <c r="P187" i="1"/>
  <c r="Y184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Y174" i="1" s="1"/>
  <c r="P172" i="1"/>
  <c r="X169" i="1"/>
  <c r="X168" i="1"/>
  <c r="BO167" i="1"/>
  <c r="BM167" i="1"/>
  <c r="Z167" i="1"/>
  <c r="Z168" i="1" s="1"/>
  <c r="Y167" i="1"/>
  <c r="P167" i="1"/>
  <c r="Y164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Y152" i="1"/>
  <c r="X152" i="1"/>
  <c r="BP151" i="1"/>
  <c r="BO151" i="1"/>
  <c r="BN151" i="1"/>
  <c r="BM151" i="1"/>
  <c r="Z151" i="1"/>
  <c r="Y151" i="1"/>
  <c r="P151" i="1"/>
  <c r="BO150" i="1"/>
  <c r="BN150" i="1"/>
  <c r="BM150" i="1"/>
  <c r="Z150" i="1"/>
  <c r="Z152" i="1" s="1"/>
  <c r="Y150" i="1"/>
  <c r="P150" i="1"/>
  <c r="X147" i="1"/>
  <c r="X146" i="1"/>
  <c r="BO145" i="1"/>
  <c r="BM145" i="1"/>
  <c r="Z145" i="1"/>
  <c r="Y145" i="1"/>
  <c r="P145" i="1"/>
  <c r="BO144" i="1"/>
  <c r="BM144" i="1"/>
  <c r="Z144" i="1"/>
  <c r="Z146" i="1" s="1"/>
  <c r="Y144" i="1"/>
  <c r="P144" i="1"/>
  <c r="X141" i="1"/>
  <c r="X140" i="1"/>
  <c r="BO139" i="1"/>
  <c r="BM139" i="1"/>
  <c r="Z139" i="1"/>
  <c r="Y139" i="1"/>
  <c r="BP139" i="1" s="1"/>
  <c r="P139" i="1"/>
  <c r="BP138" i="1"/>
  <c r="BO138" i="1"/>
  <c r="BN138" i="1"/>
  <c r="BM138" i="1"/>
  <c r="Z138" i="1"/>
  <c r="Z140" i="1" s="1"/>
  <c r="Y138" i="1"/>
  <c r="P138" i="1"/>
  <c r="BO137" i="1"/>
  <c r="BM137" i="1"/>
  <c r="Z137" i="1"/>
  <c r="Y137" i="1"/>
  <c r="Y140" i="1" s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P126" i="1"/>
  <c r="X123" i="1"/>
  <c r="X122" i="1"/>
  <c r="BO121" i="1"/>
  <c r="BM121" i="1"/>
  <c r="Z121" i="1"/>
  <c r="Z122" i="1" s="1"/>
  <c r="Y121" i="1"/>
  <c r="P121" i="1"/>
  <c r="X119" i="1"/>
  <c r="X118" i="1"/>
  <c r="BO117" i="1"/>
  <c r="BM117" i="1"/>
  <c r="Z117" i="1"/>
  <c r="Z118" i="1" s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Z114" i="1" s="1"/>
  <c r="Y107" i="1"/>
  <c r="P107" i="1"/>
  <c r="X104" i="1"/>
  <c r="X103" i="1"/>
  <c r="BO102" i="1"/>
  <c r="BM102" i="1"/>
  <c r="Z102" i="1"/>
  <c r="Y102" i="1"/>
  <c r="P102" i="1"/>
  <c r="BO101" i="1"/>
  <c r="BM101" i="1"/>
  <c r="Z101" i="1"/>
  <c r="Z103" i="1" s="1"/>
  <c r="Y101" i="1"/>
  <c r="P101" i="1"/>
  <c r="X98" i="1"/>
  <c r="X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Z92" i="1"/>
  <c r="Y92" i="1"/>
  <c r="BP92" i="1" s="1"/>
  <c r="P92" i="1"/>
  <c r="BP91" i="1"/>
  <c r="BO91" i="1"/>
  <c r="BN91" i="1"/>
  <c r="BM91" i="1"/>
  <c r="Z91" i="1"/>
  <c r="Z97" i="1" s="1"/>
  <c r="Y91" i="1"/>
  <c r="P91" i="1"/>
  <c r="X88" i="1"/>
  <c r="X87" i="1"/>
  <c r="BO86" i="1"/>
  <c r="BM86" i="1"/>
  <c r="Z86" i="1"/>
  <c r="Y86" i="1"/>
  <c r="P86" i="1"/>
  <c r="BO85" i="1"/>
  <c r="BM85" i="1"/>
  <c r="Z85" i="1"/>
  <c r="Z87" i="1" s="1"/>
  <c r="Y85" i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X71" i="1"/>
  <c r="X70" i="1"/>
  <c r="BO69" i="1"/>
  <c r="BM69" i="1"/>
  <c r="Z69" i="1"/>
  <c r="Y69" i="1"/>
  <c r="P69" i="1"/>
  <c r="BO68" i="1"/>
  <c r="BM68" i="1"/>
  <c r="Z68" i="1"/>
  <c r="Y68" i="1"/>
  <c r="BP68" i="1" s="1"/>
  <c r="P68" i="1"/>
  <c r="BO67" i="1"/>
  <c r="BM67" i="1"/>
  <c r="Z67" i="1"/>
  <c r="Y67" i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P60" i="1"/>
  <c r="BO60" i="1"/>
  <c r="BN60" i="1"/>
  <c r="BM60" i="1"/>
  <c r="Z60" i="1"/>
  <c r="Y60" i="1"/>
  <c r="P60" i="1"/>
  <c r="BO59" i="1"/>
  <c r="BM59" i="1"/>
  <c r="Z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Z57" i="1"/>
  <c r="Y57" i="1"/>
  <c r="Y62" i="1" s="1"/>
  <c r="P57" i="1"/>
  <c r="X54" i="1"/>
  <c r="X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1" i="1" s="1"/>
  <c r="Z22" i="1"/>
  <c r="Y22" i="1"/>
  <c r="Y31" i="1" s="1"/>
  <c r="P22" i="1"/>
  <c r="H10" i="1"/>
  <c r="A9" i="1"/>
  <c r="F10" i="1" s="1"/>
  <c r="D7" i="1"/>
  <c r="Q6" i="1"/>
  <c r="P2" i="1"/>
  <c r="Y35" i="1" l="1"/>
  <c r="Y34" i="1"/>
  <c r="BP33" i="1"/>
  <c r="BN33" i="1"/>
  <c r="Y123" i="1"/>
  <c r="Y122" i="1"/>
  <c r="BP121" i="1"/>
  <c r="BN121" i="1"/>
  <c r="Y134" i="1"/>
  <c r="BP130" i="1"/>
  <c r="BN130" i="1"/>
  <c r="BP132" i="1"/>
  <c r="BN132" i="1"/>
  <c r="BP145" i="1"/>
  <c r="BN145" i="1"/>
  <c r="BP199" i="1"/>
  <c r="BN199" i="1"/>
  <c r="BP201" i="1"/>
  <c r="BN201" i="1"/>
  <c r="BP213" i="1"/>
  <c r="BN213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Y259" i="1"/>
  <c r="BP257" i="1"/>
  <c r="BN257" i="1"/>
  <c r="Y260" i="1"/>
  <c r="Y40" i="1"/>
  <c r="BP38" i="1"/>
  <c r="BN38" i="1"/>
  <c r="Y53" i="1"/>
  <c r="BP51" i="1"/>
  <c r="BN51" i="1"/>
  <c r="Y71" i="1"/>
  <c r="BP65" i="1"/>
  <c r="BN65" i="1"/>
  <c r="BP67" i="1"/>
  <c r="BN67" i="1"/>
  <c r="BP69" i="1"/>
  <c r="BN69" i="1"/>
  <c r="BP86" i="1"/>
  <c r="BN86" i="1"/>
  <c r="BP102" i="1"/>
  <c r="BN102" i="1"/>
  <c r="Y119" i="1"/>
  <c r="Y118" i="1"/>
  <c r="BP117" i="1"/>
  <c r="BN117" i="1"/>
  <c r="Y128" i="1"/>
  <c r="Y127" i="1"/>
  <c r="BP126" i="1"/>
  <c r="BN126" i="1"/>
  <c r="Y195" i="1"/>
  <c r="Y194" i="1"/>
  <c r="BP193" i="1"/>
  <c r="BN193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30" i="1"/>
  <c r="Z285" i="1" s="1"/>
  <c r="X282" i="1"/>
  <c r="X283" i="1" s="1"/>
  <c r="Z40" i="1"/>
  <c r="Z47" i="1"/>
  <c r="Z53" i="1"/>
  <c r="Z61" i="1"/>
  <c r="Z70" i="1"/>
  <c r="Y76" i="1"/>
  <c r="Y88" i="1"/>
  <c r="Y97" i="1"/>
  <c r="Y104" i="1"/>
  <c r="Y115" i="1"/>
  <c r="Z134" i="1"/>
  <c r="Y147" i="1"/>
  <c r="Z203" i="1"/>
  <c r="Z215" i="1"/>
  <c r="Z221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6" i="1"/>
  <c r="BP157" i="1"/>
  <c r="BN157" i="1"/>
  <c r="Y168" i="1"/>
  <c r="BP167" i="1"/>
  <c r="BN167" i="1"/>
  <c r="Y179" i="1"/>
  <c r="BP178" i="1"/>
  <c r="BN178" i="1"/>
  <c r="Y190" i="1"/>
  <c r="BP187" i="1"/>
  <c r="BN187" i="1"/>
  <c r="Y189" i="1"/>
  <c r="BP200" i="1"/>
  <c r="BN200" i="1"/>
  <c r="BP202" i="1"/>
  <c r="BN202" i="1"/>
  <c r="Y215" i="1"/>
  <c r="BP212" i="1"/>
  <c r="BN212" i="1"/>
  <c r="BP214" i="1"/>
  <c r="BN214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F9" i="1"/>
  <c r="J9" i="1"/>
  <c r="BN22" i="1"/>
  <c r="BP22" i="1"/>
  <c r="BN24" i="1"/>
  <c r="BN26" i="1"/>
  <c r="BN28" i="1"/>
  <c r="X284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BN144" i="1"/>
  <c r="BP144" i="1"/>
  <c r="Y153" i="1"/>
  <c r="BP150" i="1"/>
  <c r="Y158" i="1"/>
  <c r="Y159" i="1"/>
  <c r="Y163" i="1"/>
  <c r="BP162" i="1"/>
  <c r="BN162" i="1"/>
  <c r="Y169" i="1"/>
  <c r="Y173" i="1"/>
  <c r="BP172" i="1"/>
  <c r="BN172" i="1"/>
  <c r="Y180" i="1"/>
  <c r="Y183" i="1"/>
  <c r="BP182" i="1"/>
  <c r="BN182" i="1"/>
  <c r="Z189" i="1"/>
  <c r="Y203" i="1"/>
  <c r="Y204" i="1"/>
  <c r="Y209" i="1"/>
  <c r="BP208" i="1"/>
  <c r="BN208" i="1"/>
  <c r="Y216" i="1"/>
  <c r="Y222" i="1"/>
  <c r="BP219" i="1"/>
  <c r="BN219" i="1"/>
  <c r="Y221" i="1"/>
  <c r="BP258" i="1"/>
  <c r="BN258" i="1"/>
  <c r="Y279" i="1"/>
  <c r="Y280" i="1" l="1"/>
  <c r="Y281" i="1"/>
  <c r="Y282" i="1"/>
  <c r="Y284" i="1"/>
  <c r="Y283" i="1" l="1"/>
  <c r="C293" i="1" s="1"/>
  <c r="B293" i="1"/>
  <c r="A293" i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<sst xmlns="http://schemas.openxmlformats.org/spreadsheetml/2006/main" count="1310" uniqueCount="435">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</sst>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168</v>
      </c>
      <c r="Y45" s="279">
        <f>IFERROR(IF(X45="","",X45),"")</f>
        <v>168</v>
      </c>
      <c r="Z45" s="36">
        <f>IFERROR(IF(X45="","",X45*0.00941),"")</f>
        <v>1.5808800000000001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322.86239999999998</v>
      </c>
      <c r="BN45" s="67">
        <f>IFERROR(Y45*I45,"0")</f>
        <v>322.86239999999998</v>
      </c>
      <c r="BO45" s="67">
        <f>IFERROR(X45/J45,"0")</f>
        <v>1.2</v>
      </c>
      <c r="BP45" s="67">
        <f>IFERROR(Y45/J45,"0")</f>
        <v>1.2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56</v>
      </c>
      <c r="Y46" s="279">
        <f>IFERROR(IF(X46="","",X46),"")</f>
        <v>56</v>
      </c>
      <c r="Z46" s="36">
        <f>IFERROR(IF(X46="","",X46*0.00941),"")</f>
        <v>0.52695999999999998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107.6208</v>
      </c>
      <c r="BN46" s="67">
        <f>IFERROR(Y46*I46,"0")</f>
        <v>107.6208</v>
      </c>
      <c r="BO46" s="67">
        <f>IFERROR(X46/J46,"0")</f>
        <v>0.4</v>
      </c>
      <c r="BP46" s="67">
        <f>IFERROR(Y46/J46,"0")</f>
        <v>0.4</v>
      </c>
    </row>
    <row r="47" spans="1:68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224</v>
      </c>
      <c r="Y47" s="280">
        <f>IFERROR(SUM(Y45:Y46),"0")</f>
        <v>224</v>
      </c>
      <c r="Z47" s="280">
        <f>IFERROR(IF(Z45="",0,Z45),"0")+IFERROR(IF(Z46="",0,Z46),"0")</f>
        <v>2.1078399999999999</v>
      </c>
      <c r="AA47" s="281"/>
      <c r="AB47" s="281"/>
      <c r="AC47" s="281"/>
    </row>
    <row r="48" spans="1:68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336</v>
      </c>
      <c r="Y48" s="280">
        <f>IFERROR(SUMPRODUCT(Y45:Y46*H45:H46),"0")</f>
        <v>336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60</v>
      </c>
      <c r="Y51" s="279">
        <f>IFERROR(IF(X51="","",X51),"")</f>
        <v>60</v>
      </c>
      <c r="Z51" s="36">
        <f>IFERROR(IF(X51="","",X51*0.0155),"")</f>
        <v>0.92999999999999994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352.2</v>
      </c>
      <c r="BN51" s="67">
        <f>IFERROR(Y51*I51,"0")</f>
        <v>352.2</v>
      </c>
      <c r="BO51" s="67">
        <f>IFERROR(X51/J51,"0")</f>
        <v>0.7142857142857143</v>
      </c>
      <c r="BP51" s="67">
        <f>IFERROR(Y51/J51,"0")</f>
        <v>0.7142857142857143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36</v>
      </c>
      <c r="Y52" s="279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96</v>
      </c>
      <c r="Y53" s="280">
        <f>IFERROR(SUM(Y51:Y52),"0")</f>
        <v>96</v>
      </c>
      <c r="Z53" s="280">
        <f>IFERROR(IF(Z51="",0,Z51),"0")+IFERROR(IF(Z52="",0,Z52),"0")</f>
        <v>1.488</v>
      </c>
      <c r="AA53" s="281"/>
      <c r="AB53" s="281"/>
      <c r="AC53" s="281"/>
    </row>
    <row r="54" spans="1:68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537.6</v>
      </c>
      <c r="Y54" s="280">
        <f>IFERROR(SUMPRODUCT(Y51:Y52*H51:H52),"0")</f>
        <v>537.6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72</v>
      </c>
      <c r="Y58" s="279">
        <f>IFERROR(IF(X58="","",X58),"")</f>
        <v>72</v>
      </c>
      <c r="Z58" s="36">
        <f>IFERROR(IF(X58="","",X58*0.0155),"")</f>
        <v>1.1160000000000001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524.59199999999998</v>
      </c>
      <c r="BN58" s="67">
        <f>IFERROR(Y58*I58,"0")</f>
        <v>524.59199999999998</v>
      </c>
      <c r="BO58" s="67">
        <f>IFERROR(X58/J58,"0")</f>
        <v>0.8571428571428571</v>
      </c>
      <c r="BP58" s="67">
        <f>IFERROR(Y58/J58,"0")</f>
        <v>0.8571428571428571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120</v>
      </c>
      <c r="Y61" s="280">
        <f>IFERROR(SUM(Y57:Y60),"0")</f>
        <v>120</v>
      </c>
      <c r="Z61" s="280">
        <f>IFERROR(IF(Z57="",0,Z57),"0")+IFERROR(IF(Z58="",0,Z58),"0")+IFERROR(IF(Z59="",0,Z59),"0")+IFERROR(IF(Z60="",0,Z60),"0")</f>
        <v>1.86</v>
      </c>
      <c r="AA61" s="281"/>
      <c r="AB61" s="281"/>
      <c r="AC61" s="281"/>
    </row>
    <row r="62" spans="1:68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840</v>
      </c>
      <c r="Y62" s="280">
        <f>IFERROR(SUMPRODUCT(Y57:Y60*H57:H60),"0")</f>
        <v>840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98</v>
      </c>
      <c r="Y68" s="279">
        <f>IFERROR(IF(X68="","",X68),"")</f>
        <v>98</v>
      </c>
      <c r="Z68" s="36">
        <f>IFERROR(IF(X68="","",X68*0.00941),"")</f>
        <v>0.92218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152.88</v>
      </c>
      <c r="BN68" s="67">
        <f>IFERROR(Y68*I68,"0")</f>
        <v>152.88</v>
      </c>
      <c r="BO68" s="67">
        <f>IFERROR(X68/J68,"0")</f>
        <v>0.7</v>
      </c>
      <c r="BP68" s="67">
        <f>IFERROR(Y68/J68,"0")</f>
        <v>0.7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98</v>
      </c>
      <c r="Y70" s="280">
        <f>IFERROR(SUM(Y65:Y69),"0")</f>
        <v>98</v>
      </c>
      <c r="Z70" s="280">
        <f>IFERROR(IF(Z65="",0,Z65),"0")+IFERROR(IF(Z66="",0,Z66),"0")+IFERROR(IF(Z67="",0,Z67),"0")+IFERROR(IF(Z68="",0,Z68),"0")+IFERROR(IF(Z69="",0,Z69),"0")</f>
        <v>0.92218</v>
      </c>
      <c r="AA70" s="281"/>
      <c r="AB70" s="281"/>
      <c r="AC70" s="281"/>
    </row>
    <row r="71" spans="1:68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117.6</v>
      </c>
      <c r="Y71" s="280">
        <f>IFERROR(SUMPRODUCT(Y65:Y69*H65:H69),"0")</f>
        <v>117.6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84</v>
      </c>
      <c r="Y75" s="279">
        <f>IFERROR(IF(X75="","",X75),"")</f>
        <v>84</v>
      </c>
      <c r="Z75" s="36">
        <f>IFERROR(IF(X75="","",X75*0.00866),"")</f>
        <v>0.72743999999999998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437.90879999999999</v>
      </c>
      <c r="BN75" s="67">
        <f>IFERROR(Y75*I75,"0")</f>
        <v>437.90879999999999</v>
      </c>
      <c r="BO75" s="67">
        <f>IFERROR(X75/J75,"0")</f>
        <v>0.58333333333333337</v>
      </c>
      <c r="BP75" s="67">
        <f>IFERROR(Y75/J75,"0")</f>
        <v>0.58333333333333337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84</v>
      </c>
      <c r="Y76" s="280">
        <f>IFERROR(SUM(Y74:Y75),"0")</f>
        <v>84</v>
      </c>
      <c r="Z76" s="280">
        <f>IFERROR(IF(Z74="",0,Z74),"0")+IFERROR(IF(Z75="",0,Z75),"0")</f>
        <v>0.72743999999999998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420</v>
      </c>
      <c r="Y77" s="280">
        <f>IFERROR(SUMPRODUCT(Y74:Y75*H74:H75),"0")</f>
        <v>420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84</v>
      </c>
      <c r="Y80" s="279">
        <f>IFERROR(IF(X80="","",X80),"")</f>
        <v>84</v>
      </c>
      <c r="Z80" s="36">
        <f>IFERROR(IF(X80="","",X80*0.01788),"")</f>
        <v>1.5019199999999999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84</v>
      </c>
      <c r="Y81" s="280">
        <f>IFERROR(SUM(Y80:Y80),"0")</f>
        <v>84</v>
      </c>
      <c r="Z81" s="280">
        <f>IFERROR(IF(Z80="",0,Z80),"0")</f>
        <v>1.5019199999999999</v>
      </c>
      <c r="AA81" s="281"/>
      <c r="AB81" s="281"/>
      <c r="AC81" s="281"/>
    </row>
    <row r="82" spans="1:68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302.40000000000003</v>
      </c>
      <c r="Y82" s="280">
        <f>IFERROR(SUMPRODUCT(Y80:Y80*H80:H80),"0")</f>
        <v>302.40000000000003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140</v>
      </c>
      <c r="Y85" s="279">
        <f>IFERROR(IF(X85="","",X85),"")</f>
        <v>140</v>
      </c>
      <c r="Z85" s="36">
        <f>IFERROR(IF(X85="","",X85*0.01788),"")</f>
        <v>2.5032000000000001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602.50400000000002</v>
      </c>
      <c r="BN85" s="67">
        <f>IFERROR(Y85*I85,"0")</f>
        <v>602.50400000000002</v>
      </c>
      <c r="BO85" s="67">
        <f>IFERROR(X85/J85,"0")</f>
        <v>2</v>
      </c>
      <c r="BP85" s="67">
        <f>IFERROR(Y85/J85,"0")</f>
        <v>2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70</v>
      </c>
      <c r="Y86" s="279">
        <f>IFERROR(IF(X86="","",X86),"")</f>
        <v>70</v>
      </c>
      <c r="Z86" s="36">
        <f>IFERROR(IF(X86="","",X86*0.01788),"")</f>
        <v>1.2516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301.25200000000001</v>
      </c>
      <c r="BN86" s="67">
        <f>IFERROR(Y86*I86,"0")</f>
        <v>301.25200000000001</v>
      </c>
      <c r="BO86" s="67">
        <f>IFERROR(X86/J86,"0")</f>
        <v>1</v>
      </c>
      <c r="BP86" s="67">
        <f>IFERROR(Y86/J86,"0")</f>
        <v>1</v>
      </c>
    </row>
    <row r="87" spans="1:68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210</v>
      </c>
      <c r="Y87" s="280">
        <f>IFERROR(SUM(Y85:Y86),"0")</f>
        <v>210</v>
      </c>
      <c r="Z87" s="280">
        <f>IFERROR(IF(Z85="",0,Z85),"0")+IFERROR(IF(Z86="",0,Z86),"0")</f>
        <v>3.7548000000000004</v>
      </c>
      <c r="AA87" s="281"/>
      <c r="AB87" s="281"/>
      <c r="AC87" s="281"/>
    </row>
    <row r="88" spans="1:68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756</v>
      </c>
      <c r="Y88" s="280">
        <f>IFERROR(SUMPRODUCT(Y85:Y86*H85:H86),"0")</f>
        <v>756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70</v>
      </c>
      <c r="Y91" s="279">
        <f t="shared" ref="Y91:Y96" si="6">IFERROR(IF(X91="","",X91),"")</f>
        <v>70</v>
      </c>
      <c r="Z91" s="36">
        <f t="shared" ref="Z91:Z96" si="7">IFERROR(IF(X91="","",X91*0.01788),"")</f>
        <v>1.2516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250.852</v>
      </c>
      <c r="BN91" s="67">
        <f t="shared" ref="BN91:BN96" si="9">IFERROR(Y91*I91,"0")</f>
        <v>250.852</v>
      </c>
      <c r="BO91" s="67">
        <f t="shared" ref="BO91:BO96" si="10">IFERROR(X91/J91,"0")</f>
        <v>1</v>
      </c>
      <c r="BP91" s="67">
        <f t="shared" ref="BP91:BP96" si="11">IFERROR(Y91/J91,"0")</f>
        <v>1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84</v>
      </c>
      <c r="Y92" s="279">
        <f t="shared" si="6"/>
        <v>84</v>
      </c>
      <c r="Z92" s="36">
        <f t="shared" si="7"/>
        <v>1.5019199999999999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301.0224</v>
      </c>
      <c r="BN92" s="67">
        <f t="shared" si="9"/>
        <v>301.0224</v>
      </c>
      <c r="BO92" s="67">
        <f t="shared" si="10"/>
        <v>1.2</v>
      </c>
      <c r="BP92" s="67">
        <f t="shared" si="11"/>
        <v>1.2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210</v>
      </c>
      <c r="Y97" s="280">
        <f>IFERROR(SUM(Y91:Y96),"0")</f>
        <v>210</v>
      </c>
      <c r="Z97" s="280">
        <f>IFERROR(IF(Z91="",0,Z91),"0")+IFERROR(IF(Z92="",0,Z92),"0")+IFERROR(IF(Z93="",0,Z93),"0")+IFERROR(IF(Z94="",0,Z94),"0")+IFERROR(IF(Z95="",0,Z95),"0")+IFERROR(IF(Z96="",0,Z96),"0")</f>
        <v>3.7547999999999999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645.12</v>
      </c>
      <c r="Y98" s="280">
        <f>IFERROR(SUMPRODUCT(Y91:Y96*H91:H96),"0")</f>
        <v>645.12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84</v>
      </c>
      <c r="Y101" s="279">
        <f>IFERROR(IF(X101="","",X101),"")</f>
        <v>84</v>
      </c>
      <c r="Z101" s="36">
        <f>IFERROR(IF(X101="","",X101*0.00936),"")</f>
        <v>0.78624000000000005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209.26080000000002</v>
      </c>
      <c r="BN101" s="67">
        <f>IFERROR(Y101*I101,"0")</f>
        <v>209.26080000000002</v>
      </c>
      <c r="BO101" s="67">
        <f>IFERROR(X101/J101,"0")</f>
        <v>0.66666666666666663</v>
      </c>
      <c r="BP101" s="67">
        <f>IFERROR(Y101/J101,"0")</f>
        <v>0.66666666666666663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84</v>
      </c>
      <c r="Y103" s="280">
        <f>IFERROR(SUM(Y101:Y102),"0")</f>
        <v>84</v>
      </c>
      <c r="Z103" s="280">
        <f>IFERROR(IF(Z101="",0,Z101),"0")+IFERROR(IF(Z102="",0,Z102),"0")</f>
        <v>0.78624000000000005</v>
      </c>
      <c r="AA103" s="281"/>
      <c r="AB103" s="281"/>
      <c r="AC103" s="281"/>
    </row>
    <row r="104" spans="1:68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181.44</v>
      </c>
      <c r="Y104" s="280">
        <f>IFERROR(SUMPRODUCT(Y101:Y102*H101:H102),"0")</f>
        <v>181.44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84</v>
      </c>
      <c r="Y107" s="279">
        <f t="shared" ref="Y107:Y113" si="12">IFERROR(IF(X107="","",X107),"")</f>
        <v>84</v>
      </c>
      <c r="Z107" s="36">
        <f t="shared" ref="Z107:Z113" si="13">IFERROR(IF(X107="","",X107*0.0155),"")</f>
        <v>1.302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611.52</v>
      </c>
      <c r="BN107" s="67">
        <f t="shared" ref="BN107:BN113" si="15">IFERROR(Y107*I107,"0")</f>
        <v>611.52</v>
      </c>
      <c r="BO107" s="67">
        <f t="shared" ref="BO107:BO113" si="16">IFERROR(X107/J107,"0")</f>
        <v>1</v>
      </c>
      <c r="BP107" s="67">
        <f t="shared" ref="BP107:BP113" si="17">IFERROR(Y107/J107,"0")</f>
        <v>1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120</v>
      </c>
      <c r="Y110" s="279">
        <f t="shared" si="12"/>
        <v>120</v>
      </c>
      <c r="Z110" s="36">
        <f t="shared" si="13"/>
        <v>1.8599999999999999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876</v>
      </c>
      <c r="BN110" s="67">
        <f t="shared" si="15"/>
        <v>876</v>
      </c>
      <c r="BO110" s="67">
        <f t="shared" si="16"/>
        <v>1.4285714285714286</v>
      </c>
      <c r="BP110" s="67">
        <f t="shared" si="17"/>
        <v>1.4285714285714286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12</v>
      </c>
      <c r="Y112" s="279">
        <f t="shared" si="12"/>
        <v>12</v>
      </c>
      <c r="Z112" s="36">
        <f t="shared" si="13"/>
        <v>0.186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108</v>
      </c>
      <c r="Y113" s="279">
        <f t="shared" si="12"/>
        <v>108</v>
      </c>
      <c r="Z113" s="36">
        <f t="shared" si="13"/>
        <v>1.6739999999999999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788.4</v>
      </c>
      <c r="BN113" s="67">
        <f t="shared" si="15"/>
        <v>788.4</v>
      </c>
      <c r="BO113" s="67">
        <f t="shared" si="16"/>
        <v>1.2857142857142858</v>
      </c>
      <c r="BP113" s="67">
        <f t="shared" si="17"/>
        <v>1.2857142857142858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324</v>
      </c>
      <c r="Y114" s="280">
        <f>IFERROR(SUM(Y107:Y113),"0")</f>
        <v>324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5.0220000000000002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2260.8000000000002</v>
      </c>
      <c r="Y115" s="280">
        <f>IFERROR(SUMPRODUCT(Y107:Y113*H107:H113),"0")</f>
        <v>2260.8000000000002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56</v>
      </c>
      <c r="Y130" s="279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252</v>
      </c>
      <c r="Y134" s="280">
        <f>IFERROR(SUM(Y130:Y133),"0")</f>
        <v>252</v>
      </c>
      <c r="Z134" s="280">
        <f>IFERROR(IF(Z130="",0,Z130),"0")+IFERROR(IF(Z131="",0,Z131),"0")+IFERROR(IF(Z132="",0,Z132),"0")+IFERROR(IF(Z133="",0,Z133),"0")</f>
        <v>2.3713199999999999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346.08</v>
      </c>
      <c r="Y135" s="280">
        <f>IFERROR(SUMPRODUCT(Y130:Y133*H130:H133),"0")</f>
        <v>346.08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168</v>
      </c>
      <c r="Y144" s="279">
        <f>IFERROR(IF(X144="","",X144),"")</f>
        <v>168</v>
      </c>
      <c r="Z144" s="36">
        <f>IFERROR(IF(X144="","",X144*0.01788),"")</f>
        <v>3.0038399999999998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622.20479999999998</v>
      </c>
      <c r="BN144" s="67">
        <f>IFERROR(Y144*I144,"0")</f>
        <v>622.20479999999998</v>
      </c>
      <c r="BO144" s="67">
        <f>IFERROR(X144/J144,"0")</f>
        <v>2.4</v>
      </c>
      <c r="BP144" s="67">
        <f>IFERROR(Y144/J144,"0")</f>
        <v>2.4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182</v>
      </c>
      <c r="Y145" s="279">
        <f>IFERROR(IF(X145="","",X145),"")</f>
        <v>182</v>
      </c>
      <c r="Z145" s="36">
        <f>IFERROR(IF(X145="","",X145*0.01788),"")</f>
        <v>3.2541600000000002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674.05520000000001</v>
      </c>
      <c r="BN145" s="67">
        <f>IFERROR(Y145*I145,"0")</f>
        <v>674.05520000000001</v>
      </c>
      <c r="BO145" s="67">
        <f>IFERROR(X145/J145,"0")</f>
        <v>2.6</v>
      </c>
      <c r="BP145" s="67">
        <f>IFERROR(Y145/J145,"0")</f>
        <v>2.6</v>
      </c>
    </row>
    <row r="146" spans="1:68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350</v>
      </c>
      <c r="Y146" s="280">
        <f>IFERROR(SUM(Y144:Y145),"0")</f>
        <v>350</v>
      </c>
      <c r="Z146" s="280">
        <f>IFERROR(IF(Z144="",0,Z144),"0")+IFERROR(IF(Z145="",0,Z145),"0")</f>
        <v>6.258</v>
      </c>
      <c r="AA146" s="281"/>
      <c r="AB146" s="281"/>
      <c r="AC146" s="281"/>
    </row>
    <row r="147" spans="1:68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1050</v>
      </c>
      <c r="Y147" s="280">
        <f>IFERROR(SUMPRODUCT(Y144:Y145*H144:H145),"0")</f>
        <v>1050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84</v>
      </c>
      <c r="Y150" s="279">
        <f>IFERROR(IF(X150="","",X150),"")</f>
        <v>84</v>
      </c>
      <c r="Z150" s="36">
        <f>IFERROR(IF(X150="","",X150*0.01788),"")</f>
        <v>1.5019199999999999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314.83199999999999</v>
      </c>
      <c r="BN150" s="67">
        <f>IFERROR(Y150*I150,"0")</f>
        <v>314.83199999999999</v>
      </c>
      <c r="BO150" s="67">
        <f>IFERROR(X150/J150,"0")</f>
        <v>1.2</v>
      </c>
      <c r="BP150" s="67">
        <f>IFERROR(Y150/J150,"0")</f>
        <v>1.2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84</v>
      </c>
      <c r="Y152" s="280">
        <f>IFERROR(SUM(Y150:Y151),"0")</f>
        <v>84</v>
      </c>
      <c r="Z152" s="280">
        <f>IFERROR(IF(Z150="",0,Z150),"0")+IFERROR(IF(Z151="",0,Z151),"0")</f>
        <v>1.5019199999999999</v>
      </c>
      <c r="AA152" s="281"/>
      <c r="AB152" s="281"/>
      <c r="AC152" s="281"/>
    </row>
    <row r="153" spans="1:68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252</v>
      </c>
      <c r="Y153" s="280">
        <f>IFERROR(SUMPRODUCT(Y150:Y151*H150:H151),"0")</f>
        <v>252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56</v>
      </c>
      <c r="Y156" s="279">
        <f>IFERROR(IF(X156="","",X156),"")</f>
        <v>56</v>
      </c>
      <c r="Z156" s="36">
        <f>IFERROR(IF(X156="","",X156*0.01788),"")</f>
        <v>1.0012799999999999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ht="27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56</v>
      </c>
      <c r="Y157" s="279">
        <f>IFERROR(IF(X157="","",X157),"")</f>
        <v>56</v>
      </c>
      <c r="Z157" s="36">
        <f>IFERROR(IF(X157="","",X157*0.01788),"")</f>
        <v>1.0012799999999999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112</v>
      </c>
      <c r="Y158" s="280">
        <f>IFERROR(SUM(Y156:Y157),"0")</f>
        <v>112</v>
      </c>
      <c r="Z158" s="280">
        <f>IFERROR(IF(Z156="",0,Z156),"0")+IFERROR(IF(Z157="",0,Z157),"0")</f>
        <v>2.0025599999999999</v>
      </c>
      <c r="AA158" s="281"/>
      <c r="AB158" s="281"/>
      <c r="AC158" s="281"/>
    </row>
    <row r="159" spans="1:68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268.8</v>
      </c>
      <c r="Y159" s="280">
        <f>IFERROR(SUMPRODUCT(Y156:Y157*H156:H157),"0")</f>
        <v>268.8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70</v>
      </c>
      <c r="Y162" s="279">
        <f>IFERROR(IF(X162="","",X162),"")</f>
        <v>70</v>
      </c>
      <c r="Z162" s="36">
        <f>IFERROR(IF(X162="","",X162*0.01788),"")</f>
        <v>1.2516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259.25200000000001</v>
      </c>
      <c r="BN162" s="67">
        <f>IFERROR(Y162*I162,"0")</f>
        <v>259.25200000000001</v>
      </c>
      <c r="BO162" s="67">
        <f>IFERROR(X162/J162,"0")</f>
        <v>1</v>
      </c>
      <c r="BP162" s="67">
        <f>IFERROR(Y162/J162,"0")</f>
        <v>1</v>
      </c>
    </row>
    <row r="163" spans="1:68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70</v>
      </c>
      <c r="Y163" s="280">
        <f>IFERROR(SUM(Y162:Y162),"0")</f>
        <v>70</v>
      </c>
      <c r="Z163" s="280">
        <f>IFERROR(IF(Z162="",0,Z162),"0")</f>
        <v>1.2516</v>
      </c>
      <c r="AA163" s="281"/>
      <c r="AB163" s="281"/>
      <c r="AC163" s="281"/>
    </row>
    <row r="164" spans="1:68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210</v>
      </c>
      <c r="Y164" s="280">
        <f>IFERROR(SUMPRODUCT(Y162:Y162*H162:H162),"0")</f>
        <v>210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126</v>
      </c>
      <c r="Y172" s="279">
        <f>IFERROR(IF(X172="","",X172),"")</f>
        <v>126</v>
      </c>
      <c r="Z172" s="36">
        <f>IFERROR(IF(X172="","",X172*0.00941),"")</f>
        <v>1.1856599999999999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264.82679999999999</v>
      </c>
      <c r="BN172" s="67">
        <f>IFERROR(Y172*I172,"0")</f>
        <v>264.82679999999999</v>
      </c>
      <c r="BO172" s="67">
        <f>IFERROR(X172/J172,"0")</f>
        <v>0.9</v>
      </c>
      <c r="BP172" s="67">
        <f>IFERROR(Y172/J172,"0")</f>
        <v>0.9</v>
      </c>
    </row>
    <row r="173" spans="1:68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126</v>
      </c>
      <c r="Y173" s="280">
        <f>IFERROR(SUM(Y172:Y172),"0")</f>
        <v>126</v>
      </c>
      <c r="Z173" s="280">
        <f>IFERROR(IF(Z172="",0,Z172),"0")</f>
        <v>1.1856599999999999</v>
      </c>
      <c r="AA173" s="281"/>
      <c r="AB173" s="281"/>
      <c r="AC173" s="281"/>
    </row>
    <row r="174" spans="1:68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211.67999999999998</v>
      </c>
      <c r="Y174" s="280">
        <f>IFERROR(SUMPRODUCT(Y172:Y172*H172:H172),"0")</f>
        <v>211.67999999999998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192</v>
      </c>
      <c r="Y178" s="279">
        <f>IFERROR(IF(X178="","",X178),"")</f>
        <v>192</v>
      </c>
      <c r="Z178" s="36">
        <f>IFERROR(IF(X178="","",X178*0.0155),"")</f>
        <v>2.976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1197.1200000000001</v>
      </c>
      <c r="BN178" s="67">
        <f>IFERROR(Y178*I178,"0")</f>
        <v>1197.1200000000001</v>
      </c>
      <c r="BO178" s="67">
        <f>IFERROR(X178/J178,"0")</f>
        <v>2.2857142857142856</v>
      </c>
      <c r="BP178" s="67">
        <f>IFERROR(Y178/J178,"0")</f>
        <v>2.2857142857142856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192</v>
      </c>
      <c r="Y179" s="280">
        <f>IFERROR(SUM(Y178:Y178),"0")</f>
        <v>192</v>
      </c>
      <c r="Z179" s="280">
        <f>IFERROR(IF(Z178="",0,Z178),"0")</f>
        <v>2.976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1152</v>
      </c>
      <c r="Y180" s="280">
        <f>IFERROR(SUMPRODUCT(Y178:Y178*H178:H178),"0")</f>
        <v>1152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56</v>
      </c>
      <c r="Y182" s="279">
        <f>IFERROR(IF(X182="","",X182),"")</f>
        <v>56</v>
      </c>
      <c r="Z182" s="36">
        <f>IFERROR(IF(X182="","",X182*0.00936),"")</f>
        <v>0.52415999999999996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217.952</v>
      </c>
      <c r="BN182" s="67">
        <f>IFERROR(Y182*I182,"0")</f>
        <v>217.952</v>
      </c>
      <c r="BO182" s="67">
        <f>IFERROR(X182/J182,"0")</f>
        <v>0.44444444444444442</v>
      </c>
      <c r="BP182" s="67">
        <f>IFERROR(Y182/J182,"0")</f>
        <v>0.44444444444444442</v>
      </c>
    </row>
    <row r="183" spans="1:68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56</v>
      </c>
      <c r="Y183" s="280">
        <f>IFERROR(SUM(Y182:Y182),"0")</f>
        <v>56</v>
      </c>
      <c r="Z183" s="280">
        <f>IFERROR(IF(Z182="",0,Z182),"0")</f>
        <v>0.52415999999999996</v>
      </c>
      <c r="AA183" s="281"/>
      <c r="AB183" s="281"/>
      <c r="AC183" s="281"/>
    </row>
    <row r="184" spans="1:68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207.20000000000002</v>
      </c>
      <c r="Y184" s="280">
        <f>IFERROR(SUMPRODUCT(Y182:Y182*H182:H182),"0")</f>
        <v>207.20000000000002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48</v>
      </c>
      <c r="Y188" s="279">
        <f>IFERROR(IF(X188="","",X188),"")</f>
        <v>48</v>
      </c>
      <c r="Z188" s="36">
        <f>IFERROR(IF(X188="","",X188*0.00866),"")</f>
        <v>0.41567999999999994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250.23359999999997</v>
      </c>
      <c r="BN188" s="67">
        <f>IFERROR(Y188*I188,"0")</f>
        <v>250.23359999999997</v>
      </c>
      <c r="BO188" s="67">
        <f>IFERROR(X188/J188,"0")</f>
        <v>0.33333333333333331</v>
      </c>
      <c r="BP188" s="67">
        <f>IFERROR(Y188/J188,"0")</f>
        <v>0.33333333333333331</v>
      </c>
    </row>
    <row r="189" spans="1:68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48</v>
      </c>
      <c r="Y189" s="280">
        <f>IFERROR(SUM(Y187:Y188),"0")</f>
        <v>48</v>
      </c>
      <c r="Z189" s="280">
        <f>IFERROR(IF(Z187="",0,Z187),"0")+IFERROR(IF(Z188="",0,Z188),"0")</f>
        <v>0.41567999999999994</v>
      </c>
      <c r="AA189" s="281"/>
      <c r="AB189" s="281"/>
      <c r="AC189" s="281"/>
    </row>
    <row r="190" spans="1:68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240</v>
      </c>
      <c r="Y190" s="280">
        <f>IFERROR(SUMPRODUCT(Y187:Y188*H187:H188),"0")</f>
        <v>240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56</v>
      </c>
      <c r="Y199" s="279">
        <f>IFERROR(IF(X199="","",X199),"")</f>
        <v>56</v>
      </c>
      <c r="Z199" s="36">
        <f>IFERROR(IF(X199="","",X199*0.01788),"")</f>
        <v>1.0012799999999999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189.72800000000001</v>
      </c>
      <c r="BN199" s="67">
        <f>IFERROR(Y199*I199,"0")</f>
        <v>189.72800000000001</v>
      </c>
      <c r="BO199" s="67">
        <f>IFERROR(X199/J199,"0")</f>
        <v>0.8</v>
      </c>
      <c r="BP199" s="67">
        <f>IFERROR(Y199/J199,"0")</f>
        <v>0.8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42</v>
      </c>
      <c r="Y200" s="279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56</v>
      </c>
      <c r="Y201" s="279">
        <f>IFERROR(IF(X201="","",X201),"")</f>
        <v>56</v>
      </c>
      <c r="Z201" s="36">
        <f>IFERROR(IF(X201="","",X201*0.01788),"")</f>
        <v>1.0012799999999999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209.21600000000001</v>
      </c>
      <c r="BN201" s="67">
        <f>IFERROR(Y201*I201,"0")</f>
        <v>209.21600000000001</v>
      </c>
      <c r="BO201" s="67">
        <f>IFERROR(X201/J201,"0")</f>
        <v>0.8</v>
      </c>
      <c r="BP201" s="67">
        <f>IFERROR(Y201/J201,"0")</f>
        <v>0.8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182</v>
      </c>
      <c r="Y203" s="280">
        <f>IFERROR(SUM(Y199:Y202),"0")</f>
        <v>182</v>
      </c>
      <c r="Z203" s="280">
        <f>IFERROR(IF(Z199="",0,Z199),"0")+IFERROR(IF(Z200="",0,Z200),"0")+IFERROR(IF(Z201="",0,Z201),"0")+IFERROR(IF(Z202="",0,Z202),"0")</f>
        <v>3.2541599999999997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539.28</v>
      </c>
      <c r="Y204" s="280">
        <f>IFERROR(SUMPRODUCT(Y199:Y202*H199:H202),"0")</f>
        <v>539.28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84</v>
      </c>
      <c r="Y208" s="279">
        <f>IFERROR(IF(X208="","",X208),"")</f>
        <v>84</v>
      </c>
      <c r="Z208" s="36">
        <f>IFERROR(IF(X208="","",X208*0.01788),"")</f>
        <v>1.5019199999999999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250.32</v>
      </c>
      <c r="BN208" s="67">
        <f>IFERROR(Y208*I208,"0")</f>
        <v>250.32</v>
      </c>
      <c r="BO208" s="67">
        <f>IFERROR(X208/J208,"0")</f>
        <v>1.2</v>
      </c>
      <c r="BP208" s="67">
        <f>IFERROR(Y208/J208,"0")</f>
        <v>1.2</v>
      </c>
    </row>
    <row r="209" spans="1:68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84</v>
      </c>
      <c r="Y209" s="280">
        <f>IFERROR(SUM(Y208:Y208),"0")</f>
        <v>84</v>
      </c>
      <c r="Z209" s="280">
        <f>IFERROR(IF(Z208="",0,Z208),"0")</f>
        <v>1.5019199999999999</v>
      </c>
      <c r="AA209" s="281"/>
      <c r="AB209" s="281"/>
      <c r="AC209" s="281"/>
    </row>
    <row r="210" spans="1:68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231.83999999999997</v>
      </c>
      <c r="Y210" s="280">
        <f>IFERROR(SUMPRODUCT(Y208:Y208*H208:H208),"0")</f>
        <v>231.83999999999997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180</v>
      </c>
      <c r="Y225" s="279">
        <f>IFERROR(IF(X225="","",X225),"")</f>
        <v>180</v>
      </c>
      <c r="Z225" s="36">
        <f>IFERROR(IF(X225="","",X225*0.0155),"")</f>
        <v>2.79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941.40000000000009</v>
      </c>
      <c r="BN225" s="67">
        <f>IFERROR(Y225*I225,"0")</f>
        <v>941.40000000000009</v>
      </c>
      <c r="BO225" s="67">
        <f>IFERROR(X225/J225,"0")</f>
        <v>2.1428571428571428</v>
      </c>
      <c r="BP225" s="67">
        <f>IFERROR(Y225/J225,"0")</f>
        <v>2.1428571428571428</v>
      </c>
    </row>
    <row r="226" spans="1:68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180</v>
      </c>
      <c r="Y226" s="280">
        <f>IFERROR(SUM(Y225:Y225),"0")</f>
        <v>180</v>
      </c>
      <c r="Z226" s="280">
        <f>IFERROR(IF(Z225="",0,Z225),"0")</f>
        <v>2.79</v>
      </c>
      <c r="AA226" s="281"/>
      <c r="AB226" s="281"/>
      <c r="AC226" s="281"/>
    </row>
    <row r="227" spans="1:68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900</v>
      </c>
      <c r="Y227" s="280">
        <f>IFERROR(SUMPRODUCT(Y225:Y225*H225:H225),"0")</f>
        <v>900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28</v>
      </c>
      <c r="Y262" s="279">
        <f>IFERROR(IF(X262="","",X262),"")</f>
        <v>28</v>
      </c>
      <c r="Z262" s="36">
        <f>IFERROR(IF(X262="","",X262*0.00936),"")</f>
        <v>0.26207999999999998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125.64000000000001</v>
      </c>
      <c r="BN263" s="67">
        <f>IFERROR(Y263*I263,"0")</f>
        <v>125.64000000000001</v>
      </c>
      <c r="BO263" s="67">
        <f>IFERROR(X263/J263,"0")</f>
        <v>0.2857142857142857</v>
      </c>
      <c r="BP263" s="67">
        <f>IFERROR(Y263/J263,"0")</f>
        <v>0.2857142857142857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52</v>
      </c>
      <c r="Y265" s="280">
        <f>IFERROR(SUM(Y262:Y264),"0")</f>
        <v>52</v>
      </c>
      <c r="Z265" s="280">
        <f>IFERROR(IF(Z262="",0,Z262),"0")+IFERROR(IF(Z263="",0,Z263),"0")+IFERROR(IF(Z264="",0,Z264),"0")</f>
        <v>0.63407999999999998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195.60000000000002</v>
      </c>
      <c r="Y266" s="280">
        <f>IFERROR(SUMPRODUCT(Y262:Y264*H262:H264),"0")</f>
        <v>195.60000000000002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60</v>
      </c>
      <c r="Y268" s="279">
        <f t="shared" ref="Y268:Y277" si="18">IFERROR(IF(X268="","",X268),"")</f>
        <v>60</v>
      </c>
      <c r="Z268" s="36">
        <f>IFERROR(IF(X268="","",X268*0.0155),"")</f>
        <v>0.92999999999999994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344.1</v>
      </c>
      <c r="BN268" s="67">
        <f t="shared" ref="BN268:BN277" si="20">IFERROR(Y268*I268,"0")</f>
        <v>344.1</v>
      </c>
      <c r="BO268" s="67">
        <f t="shared" ref="BO268:BO277" si="21">IFERROR(X268/J268,"0")</f>
        <v>0.7142857142857143</v>
      </c>
      <c r="BP268" s="67">
        <f t="shared" ref="BP268:BP277" si="22">IFERROR(Y268/J268,"0")</f>
        <v>0.7142857142857143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56.000000000000028</v>
      </c>
      <c r="Y270" s="279">
        <f t="shared" si="18"/>
        <v>56.000000000000028</v>
      </c>
      <c r="Z270" s="36">
        <f>IFERROR(IF(X270="","",X270*0.00936),"")</f>
        <v>0.52416000000000029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217.95200000000011</v>
      </c>
      <c r="BN270" s="67">
        <f t="shared" si="20"/>
        <v>217.95200000000011</v>
      </c>
      <c r="BO270" s="67">
        <f t="shared" si="21"/>
        <v>0.4444444444444447</v>
      </c>
      <c r="BP270" s="67">
        <f t="shared" si="22"/>
        <v>0.4444444444444447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116.00000000000003</v>
      </c>
      <c r="Y278" s="280">
        <f>IFERROR(SUM(Y268:Y277),"0")</f>
        <v>116.00000000000003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1.4541600000000003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537.20000000000005</v>
      </c>
      <c r="Y279" s="280">
        <f>IFERROR(SUMPRODUCT(Y268:Y277*H268:H277),"0")</f>
        <v>537.20000000000005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12984.160000000002</v>
      </c>
      <c r="Y280" s="280">
        <f>IFERROR(Y31+Y35+Y41+Y48+Y54+Y62+Y71+Y77+Y82+Y88+Y98+Y104+Y115+Y119+Y123+Y128+Y135+Y141+Y147+Y153+Y159+Y164+Y169+Y174+Y180+Y184+Y190+Y195+Y204+Y210+Y216+Y222+Y227+Y233+Y239+Y243+Y249+Y253+Y260+Y266+Y279,"0")</f>
        <v>12984.160000000002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14480.773999999999</v>
      </c>
      <c r="Y281" s="280">
        <f>IFERROR(SUM(BN22:BN277),"0")</f>
        <v>14480.773999999999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40</v>
      </c>
      <c r="Y282" s="38">
        <f>ROUNDUP(SUM(BP22:BP277),0)</f>
        <v>40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15480.773999999999</v>
      </c>
      <c r="Y283" s="280">
        <f>GrossWeightTotalR+PalletQtyTotalR*25</f>
        <v>15480.773999999999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3488</v>
      </c>
      <c r="Y284" s="280">
        <f>IFERROR(Y30+Y34+Y40+Y47+Y53+Y61+Y70+Y76+Y81+Y87+Y97+Y103+Y114+Y118+Y122+Y127+Y134+Y140+Y146+Y152+Y158+Y163+Y168+Y173+Y179+Y183+Y189+Y194+Y203+Y209+Y215+Y221+Y226+Y232+Y238+Y242+Y248+Y252+Y259+Y265+Y278,"0")</f>
        <v>3488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50.736180000000004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230.4</v>
      </c>
      <c r="C290" s="46">
        <f>IFERROR(X38*H38,"0")+IFERROR(X39*H39,"0")</f>
        <v>0</v>
      </c>
      <c r="D290" s="46">
        <f>IFERROR(X45*H45,"0")+IFERROR(X46*H46,"0")</f>
        <v>336</v>
      </c>
      <c r="E290" s="46">
        <f>IFERROR(X51*H51,"0")+IFERROR(X52*H52,"0")</f>
        <v>537.6</v>
      </c>
      <c r="F290" s="46">
        <f>IFERROR(X57*H57,"0")+IFERROR(X58*H58,"0")+IFERROR(X59*H59,"0")+IFERROR(X60*H60,"0")</f>
        <v>840</v>
      </c>
      <c r="G290" s="46">
        <f>IFERROR(X65*H65,"0")+IFERROR(X66*H66,"0")+IFERROR(X67*H67,"0")+IFERROR(X68*H68,"0")+IFERROR(X69*H69,"0")</f>
        <v>117.6</v>
      </c>
      <c r="H290" s="46">
        <f>IFERROR(X74*H74,"0")+IFERROR(X75*H75,"0")</f>
        <v>420</v>
      </c>
      <c r="I290" s="46">
        <f>IFERROR(X80*H80,"0")</f>
        <v>302.40000000000003</v>
      </c>
      <c r="J290" s="46">
        <f>IFERROR(X85*H85,"0")+IFERROR(X86*H86,"0")</f>
        <v>756</v>
      </c>
      <c r="K290" s="46">
        <f>IFERROR(X91*H91,"0")+IFERROR(X92*H92,"0")+IFERROR(X93*H93,"0")+IFERROR(X94*H94,"0")+IFERROR(X95*H95,"0")+IFERROR(X96*H96,"0")</f>
        <v>645.12</v>
      </c>
      <c r="L290" s="46">
        <f>IFERROR(X101*H101,"0")+IFERROR(X102*H102,"0")</f>
        <v>181.44</v>
      </c>
      <c r="M290" s="46">
        <f>IFERROR(X107*H107,"0")+IFERROR(X108*H108,"0")+IFERROR(X109*H109,"0")+IFERROR(X110*H110,"0")+IFERROR(X111*H111,"0")+IFERROR(X112*H112,"0")+IFERROR(X113*H113,"0")+IFERROR(X117*H117,"0")+IFERROR(X121*H121,"0")</f>
        <v>2260.8000000000002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361.2</v>
      </c>
      <c r="P290" s="46">
        <f>IFERROR(X144*H144,"0")+IFERROR(X145*H145,"0")</f>
        <v>1050</v>
      </c>
      <c r="Q290" s="46">
        <f>IFERROR(X150*H150,"0")+IFERROR(X151*H151,"0")</f>
        <v>252</v>
      </c>
      <c r="R290" s="46">
        <f>IFERROR(X156*H156,"0")+IFERROR(X157*H157,"0")</f>
        <v>268.8</v>
      </c>
      <c r="S290" s="46">
        <f>IFERROR(X162*H162,"0")</f>
        <v>210</v>
      </c>
      <c r="T290" s="46">
        <f>IFERROR(X167*H167,"0")</f>
        <v>0</v>
      </c>
      <c r="U290" s="46">
        <f>IFERROR(X172*H172,"0")</f>
        <v>211.67999999999998</v>
      </c>
      <c r="V290" s="46">
        <f>IFERROR(X178*H178,"0")+IFERROR(X182*H182,"0")</f>
        <v>1359.2</v>
      </c>
      <c r="W290" s="46">
        <f>IFERROR(X187*H187,"0")+IFERROR(X188*H188,"0")</f>
        <v>240</v>
      </c>
      <c r="X290" s="46">
        <f>IFERROR(X193*H193,"0")</f>
        <v>0</v>
      </c>
      <c r="Y290" s="46">
        <f>IFERROR(X199*H199,"0")+IFERROR(X200*H200,"0")+IFERROR(X201*H201,"0")+IFERROR(X202*H202,"0")</f>
        <v>539.28</v>
      </c>
      <c r="Z290" s="46">
        <f>IFERROR(X208*H208,"0")+IFERROR(X212*H212,"0")+IFERROR(X213*H213,"0")+IFERROR(X214*H214,"0")</f>
        <v>231.83999999999997</v>
      </c>
      <c r="AA290" s="46">
        <f>IFERROR(X219*H219,"0")+IFERROR(X220*H220,"0")</f>
        <v>0</v>
      </c>
      <c r="AB290" s="46">
        <f>IFERROR(X225*H225,"0")</f>
        <v>900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732.80000000000018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5428.8</v>
      </c>
      <c r="B293" s="60">
        <f>SUMPRODUCT(--(BB:BB="ПГП"),--(W:W="кор"),H:H,Y:Y)+SUMPRODUCT(--(BB:BB="ПГП"),--(W:W="кг"),Y:Y)</f>
        <v>7555.36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52,00"/>
        <filter val="108,00"/>
        <filter val="112,00"/>
        <filter val="116,00"/>
        <filter val="117,60"/>
        <filter val="12 984,16"/>
        <filter val="12,00"/>
        <filter val="120,00"/>
        <filter val="126,00"/>
        <filter val="14 480,77"/>
        <filter val="14,00"/>
        <filter val="140,00"/>
        <filter val="144,00"/>
        <filter val="15 480,77"/>
        <filter val="15,12"/>
        <filter val="168,00"/>
        <filter val="180,00"/>
        <filter val="181,44"/>
        <filter val="182,00"/>
        <filter val="192,00"/>
        <filter val="195,60"/>
        <filter val="2 260,80"/>
        <filter val="207,20"/>
        <filter val="210,00"/>
        <filter val="211,68"/>
        <filter val="224,00"/>
        <filter val="231,84"/>
        <filter val="24,00"/>
        <filter val="240,00"/>
        <filter val="252,00"/>
        <filter val="268,80"/>
        <filter val="28,00"/>
        <filter val="3 488,00"/>
        <filter val="302,40"/>
        <filter val="324,00"/>
        <filter val="336,00"/>
        <filter val="346,08"/>
        <filter val="350,00"/>
        <filter val="36,00"/>
        <filter val="40"/>
        <filter val="42,00"/>
        <filter val="420,00"/>
        <filter val="48,00"/>
        <filter val="52,00"/>
        <filter val="537,20"/>
        <filter val="537,60"/>
        <filter val="539,28"/>
        <filter val="56,00"/>
        <filter val="60,00"/>
        <filter val="645,12"/>
        <filter val="70,00"/>
        <filter val="72,00"/>
        <filter val="756,00"/>
        <filter val="84,00"/>
        <filter val="840,00"/>
        <filter val="86,40"/>
        <filter val="900,00"/>
        <filter val="96,00"/>
        <filter val="98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