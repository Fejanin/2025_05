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42D886C2-79D2-4D20-A3D6-86FA0B24436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Sheet!$A$3:$AR$86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R86" i="1" l="1"/>
  <c r="AR85" i="1"/>
  <c r="AR83" i="1"/>
  <c r="AR82" i="1"/>
  <c r="AR81" i="1"/>
  <c r="AR80" i="1"/>
  <c r="AR79" i="1"/>
  <c r="AR78" i="1"/>
  <c r="AR77" i="1"/>
  <c r="AR76" i="1"/>
  <c r="AR74" i="1"/>
  <c r="AR73" i="1"/>
  <c r="AR71" i="1"/>
  <c r="AR69" i="1"/>
  <c r="AR67" i="1"/>
  <c r="AR62" i="1"/>
  <c r="AR59" i="1"/>
  <c r="AR58" i="1"/>
  <c r="AR57" i="1"/>
  <c r="AR55" i="1"/>
  <c r="AR54" i="1"/>
  <c r="AR53" i="1"/>
  <c r="AR51" i="1"/>
  <c r="AR50" i="1"/>
  <c r="AR49" i="1"/>
  <c r="AR46" i="1"/>
  <c r="AR42" i="1"/>
  <c r="AR41" i="1"/>
  <c r="AR40" i="1"/>
  <c r="AR39" i="1"/>
  <c r="AR38" i="1"/>
  <c r="AR37" i="1"/>
  <c r="AR36" i="1"/>
  <c r="AR35" i="1"/>
  <c r="AR33" i="1"/>
  <c r="AR32" i="1"/>
  <c r="AR30" i="1"/>
  <c r="AR29" i="1"/>
  <c r="AR28" i="1"/>
  <c r="AR26" i="1"/>
  <c r="AR23" i="1"/>
  <c r="AR22" i="1"/>
  <c r="AR21" i="1"/>
  <c r="AR17" i="1"/>
  <c r="AR15" i="1"/>
  <c r="AR14" i="1"/>
  <c r="AR9" i="1"/>
  <c r="AQ86" i="1"/>
  <c r="AQ85" i="1"/>
  <c r="AQ83" i="1"/>
  <c r="AQ82" i="1"/>
  <c r="AQ81" i="1"/>
  <c r="AQ80" i="1"/>
  <c r="AQ79" i="1"/>
  <c r="AQ78" i="1"/>
  <c r="AQ77" i="1"/>
  <c r="AQ76" i="1"/>
  <c r="AQ74" i="1"/>
  <c r="AQ73" i="1"/>
  <c r="AQ71" i="1"/>
  <c r="AQ69" i="1"/>
  <c r="AQ67" i="1"/>
  <c r="AQ62" i="1"/>
  <c r="AQ59" i="1"/>
  <c r="AQ58" i="1"/>
  <c r="AQ57" i="1"/>
  <c r="AQ55" i="1"/>
  <c r="AQ54" i="1"/>
  <c r="AQ53" i="1"/>
  <c r="AQ51" i="1"/>
  <c r="AQ50" i="1"/>
  <c r="AQ49" i="1"/>
  <c r="AQ46" i="1"/>
  <c r="AQ42" i="1"/>
  <c r="AQ41" i="1"/>
  <c r="AQ40" i="1"/>
  <c r="AQ39" i="1"/>
  <c r="AQ38" i="1"/>
  <c r="AQ37" i="1"/>
  <c r="AQ36" i="1"/>
  <c r="AQ35" i="1"/>
  <c r="AQ33" i="1"/>
  <c r="AQ32" i="1"/>
  <c r="AQ30" i="1"/>
  <c r="AQ29" i="1"/>
  <c r="AQ28" i="1"/>
  <c r="AQ26" i="1"/>
  <c r="AQ23" i="1"/>
  <c r="AQ22" i="1"/>
  <c r="AQ21" i="1"/>
  <c r="AQ17" i="1"/>
  <c r="AQ15" i="1"/>
  <c r="AQ14" i="1"/>
  <c r="AQ9" i="1"/>
  <c r="AK86" i="1"/>
  <c r="AK85" i="1"/>
  <c r="S85" i="1" s="1"/>
  <c r="S86" i="1"/>
  <c r="AP5" i="1"/>
  <c r="AP1" i="1" s="1"/>
  <c r="AQ5" i="1" l="1"/>
  <c r="AR5" i="1"/>
  <c r="R51" i="1"/>
  <c r="AK51" i="1" s="1"/>
  <c r="S51" i="1" s="1"/>
  <c r="R35" i="1"/>
  <c r="AK35" i="1" s="1"/>
  <c r="S35" i="1" s="1"/>
  <c r="R30" i="1"/>
  <c r="AK30" i="1" s="1"/>
  <c r="S30" i="1" s="1"/>
  <c r="R29" i="1"/>
  <c r="AK29" i="1" s="1"/>
  <c r="S29" i="1" s="1"/>
  <c r="U29" i="1"/>
  <c r="U30" i="1"/>
  <c r="U35" i="1"/>
  <c r="U51" i="1"/>
  <c r="T5" i="1"/>
  <c r="AL86" i="1" l="1"/>
  <c r="AL85" i="1"/>
  <c r="AI86" i="1"/>
  <c r="AI85" i="1"/>
  <c r="P86" i="1"/>
  <c r="W86" i="1" s="1"/>
  <c r="P85" i="1"/>
  <c r="W85" i="1" s="1"/>
  <c r="AO85" i="1" l="1"/>
  <c r="V85" i="1"/>
  <c r="AO86" i="1"/>
  <c r="V86" i="1"/>
  <c r="AK47" i="1" l="1"/>
  <c r="AK43" i="1"/>
  <c r="S43" i="1" s="1"/>
  <c r="AI25" i="1"/>
  <c r="P84" i="1"/>
  <c r="W84" i="1" s="1"/>
  <c r="L84" i="1"/>
  <c r="F83" i="1"/>
  <c r="E83" i="1"/>
  <c r="L83" i="1" s="1"/>
  <c r="P82" i="1"/>
  <c r="W82" i="1" s="1"/>
  <c r="L82" i="1"/>
  <c r="P81" i="1"/>
  <c r="L81" i="1"/>
  <c r="P80" i="1"/>
  <c r="L80" i="1"/>
  <c r="P79" i="1"/>
  <c r="W79" i="1" s="1"/>
  <c r="L79" i="1"/>
  <c r="F78" i="1"/>
  <c r="E78" i="1"/>
  <c r="P78" i="1" s="1"/>
  <c r="P77" i="1"/>
  <c r="R77" i="1" s="1"/>
  <c r="AK77" i="1" s="1"/>
  <c r="S77" i="1" s="1"/>
  <c r="L77" i="1"/>
  <c r="P76" i="1"/>
  <c r="W76" i="1" s="1"/>
  <c r="L76" i="1"/>
  <c r="F75" i="1"/>
  <c r="E75" i="1"/>
  <c r="L75" i="1" s="1"/>
  <c r="P74" i="1"/>
  <c r="W74" i="1" s="1"/>
  <c r="L74" i="1"/>
  <c r="P73" i="1"/>
  <c r="L73" i="1"/>
  <c r="P72" i="1"/>
  <c r="W72" i="1" s="1"/>
  <c r="L72" i="1"/>
  <c r="P71" i="1"/>
  <c r="W71" i="1" s="1"/>
  <c r="L71" i="1"/>
  <c r="P70" i="1"/>
  <c r="W70" i="1" s="1"/>
  <c r="L70" i="1"/>
  <c r="F69" i="1"/>
  <c r="E69" i="1"/>
  <c r="L69" i="1" s="1"/>
  <c r="F68" i="1"/>
  <c r="E68" i="1"/>
  <c r="P68" i="1" s="1"/>
  <c r="P67" i="1"/>
  <c r="W67" i="1" s="1"/>
  <c r="L67" i="1"/>
  <c r="P66" i="1"/>
  <c r="L66" i="1"/>
  <c r="P65" i="1"/>
  <c r="L65" i="1"/>
  <c r="P64" i="1"/>
  <c r="L64" i="1"/>
  <c r="P63" i="1"/>
  <c r="V63" i="1" s="1"/>
  <c r="L63" i="1"/>
  <c r="P62" i="1"/>
  <c r="W62" i="1" s="1"/>
  <c r="L62" i="1"/>
  <c r="P61" i="1"/>
  <c r="W61" i="1" s="1"/>
  <c r="L61" i="1"/>
  <c r="F60" i="1"/>
  <c r="E60" i="1"/>
  <c r="L60" i="1" s="1"/>
  <c r="P59" i="1"/>
  <c r="W59" i="1" s="1"/>
  <c r="L59" i="1"/>
  <c r="P58" i="1"/>
  <c r="W58" i="1" s="1"/>
  <c r="L58" i="1"/>
  <c r="P57" i="1"/>
  <c r="R57" i="1" s="1"/>
  <c r="AK57" i="1" s="1"/>
  <c r="S57" i="1" s="1"/>
  <c r="L57" i="1"/>
  <c r="P56" i="1"/>
  <c r="L56" i="1"/>
  <c r="P55" i="1"/>
  <c r="L55" i="1"/>
  <c r="P54" i="1"/>
  <c r="L54" i="1"/>
  <c r="P53" i="1"/>
  <c r="L53" i="1"/>
  <c r="P52" i="1"/>
  <c r="W52" i="1" s="1"/>
  <c r="L52" i="1"/>
  <c r="P51" i="1"/>
  <c r="W51" i="1" s="1"/>
  <c r="L51" i="1"/>
  <c r="P50" i="1"/>
  <c r="L50" i="1"/>
  <c r="P49" i="1"/>
  <c r="W49" i="1" s="1"/>
  <c r="L49" i="1"/>
  <c r="P48" i="1"/>
  <c r="L48" i="1"/>
  <c r="AI47" i="1"/>
  <c r="P47" i="1"/>
  <c r="W47" i="1" s="1"/>
  <c r="L47" i="1"/>
  <c r="P46" i="1"/>
  <c r="L46" i="1"/>
  <c r="P45" i="1"/>
  <c r="W45" i="1" s="1"/>
  <c r="L45" i="1"/>
  <c r="P44" i="1"/>
  <c r="W44" i="1" s="1"/>
  <c r="L44" i="1"/>
  <c r="AI43" i="1"/>
  <c r="P43" i="1"/>
  <c r="W43" i="1" s="1"/>
  <c r="L43" i="1"/>
  <c r="P42" i="1"/>
  <c r="W42" i="1" s="1"/>
  <c r="L42" i="1"/>
  <c r="P41" i="1"/>
  <c r="W41" i="1" s="1"/>
  <c r="L41" i="1"/>
  <c r="F40" i="1"/>
  <c r="E40" i="1"/>
  <c r="L40" i="1" s="1"/>
  <c r="P39" i="1"/>
  <c r="L39" i="1"/>
  <c r="P38" i="1"/>
  <c r="L38" i="1"/>
  <c r="P37" i="1"/>
  <c r="L37" i="1"/>
  <c r="P36" i="1"/>
  <c r="R36" i="1" s="1"/>
  <c r="AK36" i="1" s="1"/>
  <c r="S36" i="1" s="1"/>
  <c r="L36" i="1"/>
  <c r="F35" i="1"/>
  <c r="E35" i="1"/>
  <c r="P35" i="1" s="1"/>
  <c r="P34" i="1"/>
  <c r="L34" i="1"/>
  <c r="P33" i="1"/>
  <c r="W33" i="1" s="1"/>
  <c r="L33" i="1"/>
  <c r="F32" i="1"/>
  <c r="E32" i="1"/>
  <c r="P32" i="1" s="1"/>
  <c r="F31" i="1"/>
  <c r="E31" i="1"/>
  <c r="L31" i="1" s="1"/>
  <c r="P30" i="1"/>
  <c r="W30" i="1" s="1"/>
  <c r="L30" i="1"/>
  <c r="P29" i="1"/>
  <c r="L29" i="1"/>
  <c r="F28" i="1"/>
  <c r="E28" i="1"/>
  <c r="P28" i="1" s="1"/>
  <c r="P27" i="1"/>
  <c r="W27" i="1" s="1"/>
  <c r="L27" i="1"/>
  <c r="P26" i="1"/>
  <c r="R26" i="1" s="1"/>
  <c r="AK26" i="1" s="1"/>
  <c r="S26" i="1" s="1"/>
  <c r="L26" i="1"/>
  <c r="P25" i="1"/>
  <c r="W25" i="1" s="1"/>
  <c r="L25" i="1"/>
  <c r="AK24" i="1"/>
  <c r="AO24" i="1" s="1"/>
  <c r="AI24" i="1"/>
  <c r="P24" i="1"/>
  <c r="W24" i="1" s="1"/>
  <c r="L24" i="1"/>
  <c r="P23" i="1"/>
  <c r="R23" i="1" s="1"/>
  <c r="AK23" i="1" s="1"/>
  <c r="S23" i="1" s="1"/>
  <c r="L23" i="1"/>
  <c r="F22" i="1"/>
  <c r="E22" i="1"/>
  <c r="L22" i="1" s="1"/>
  <c r="F21" i="1"/>
  <c r="E21" i="1"/>
  <c r="P21" i="1" s="1"/>
  <c r="P20" i="1"/>
  <c r="W20" i="1" s="1"/>
  <c r="L20" i="1"/>
  <c r="P19" i="1"/>
  <c r="W19" i="1" s="1"/>
  <c r="L19" i="1"/>
  <c r="P18" i="1"/>
  <c r="W18" i="1" s="1"/>
  <c r="L18" i="1"/>
  <c r="F17" i="1"/>
  <c r="E17" i="1"/>
  <c r="P17" i="1" s="1"/>
  <c r="P16" i="1"/>
  <c r="W16" i="1" s="1"/>
  <c r="L16" i="1"/>
  <c r="P15" i="1"/>
  <c r="L15" i="1"/>
  <c r="F14" i="1"/>
  <c r="E14" i="1"/>
  <c r="P14" i="1" s="1"/>
  <c r="P13" i="1"/>
  <c r="W13" i="1" s="1"/>
  <c r="L13" i="1"/>
  <c r="P12" i="1"/>
  <c r="W12" i="1" s="1"/>
  <c r="L12" i="1"/>
  <c r="P11" i="1"/>
  <c r="W11" i="1" s="1"/>
  <c r="L11" i="1"/>
  <c r="P10" i="1"/>
  <c r="W10" i="1" s="1"/>
  <c r="L10" i="1"/>
  <c r="F9" i="1"/>
  <c r="E9" i="1"/>
  <c r="L9" i="1" s="1"/>
  <c r="P8" i="1"/>
  <c r="V8" i="1" s="1"/>
  <c r="L8" i="1"/>
  <c r="P7" i="1"/>
  <c r="V7" i="1" s="1"/>
  <c r="L7" i="1"/>
  <c r="P6" i="1"/>
  <c r="V6" i="1" s="1"/>
  <c r="L6" i="1"/>
  <c r="AG5" i="1"/>
  <c r="AF5" i="1"/>
  <c r="AE5" i="1"/>
  <c r="AD5" i="1"/>
  <c r="AC5" i="1"/>
  <c r="AB5" i="1"/>
  <c r="AA5" i="1"/>
  <c r="Z5" i="1"/>
  <c r="Y5" i="1"/>
  <c r="X5" i="1"/>
  <c r="O5" i="1"/>
  <c r="N5" i="1"/>
  <c r="M5" i="1"/>
  <c r="K5" i="1"/>
  <c r="W15" i="1" l="1"/>
  <c r="R15" i="1"/>
  <c r="AK15" i="1" s="1"/>
  <c r="S15" i="1" s="1"/>
  <c r="W37" i="1"/>
  <c r="R37" i="1"/>
  <c r="AK37" i="1" s="1"/>
  <c r="S37" i="1" s="1"/>
  <c r="W38" i="1"/>
  <c r="R38" i="1"/>
  <c r="AK38" i="1" s="1"/>
  <c r="S38" i="1" s="1"/>
  <c r="W39" i="1"/>
  <c r="R39" i="1"/>
  <c r="AK39" i="1" s="1"/>
  <c r="S39" i="1" s="1"/>
  <c r="W50" i="1"/>
  <c r="R50" i="1"/>
  <c r="AK50" i="1" s="1"/>
  <c r="S50" i="1" s="1"/>
  <c r="W53" i="1"/>
  <c r="R53" i="1"/>
  <c r="AK53" i="1" s="1"/>
  <c r="S53" i="1" s="1"/>
  <c r="W55" i="1"/>
  <c r="R55" i="1"/>
  <c r="AK55" i="1" s="1"/>
  <c r="S55" i="1" s="1"/>
  <c r="W73" i="1"/>
  <c r="R73" i="1"/>
  <c r="AK73" i="1" s="1"/>
  <c r="S73" i="1" s="1"/>
  <c r="W80" i="1"/>
  <c r="R80" i="1"/>
  <c r="AK80" i="1" s="1"/>
  <c r="S80" i="1" s="1"/>
  <c r="R14" i="1"/>
  <c r="R17" i="1"/>
  <c r="AK17" i="1" s="1"/>
  <c r="S17" i="1" s="1"/>
  <c r="R21" i="1"/>
  <c r="AK21" i="1" s="1"/>
  <c r="S21" i="1" s="1"/>
  <c r="R28" i="1"/>
  <c r="AK28" i="1" s="1"/>
  <c r="S28" i="1" s="1"/>
  <c r="R32" i="1"/>
  <c r="AK32" i="1" s="1"/>
  <c r="S32" i="1" s="1"/>
  <c r="R78" i="1"/>
  <c r="AK78" i="1" s="1"/>
  <c r="S78" i="1" s="1"/>
  <c r="R59" i="1"/>
  <c r="W57" i="1"/>
  <c r="W78" i="1"/>
  <c r="V17" i="1"/>
  <c r="V19" i="1"/>
  <c r="AI35" i="1"/>
  <c r="AL30" i="1"/>
  <c r="R49" i="1"/>
  <c r="V11" i="1"/>
  <c r="AI28" i="1"/>
  <c r="R41" i="1"/>
  <c r="AL55" i="1"/>
  <c r="R76" i="1"/>
  <c r="AK76" i="1" s="1"/>
  <c r="S76" i="1" s="1"/>
  <c r="AI68" i="1"/>
  <c r="AK68" i="1"/>
  <c r="W29" i="1"/>
  <c r="W34" i="1"/>
  <c r="V34" i="1"/>
  <c r="W46" i="1"/>
  <c r="R46" i="1"/>
  <c r="AK46" i="1" s="1"/>
  <c r="S46" i="1" s="1"/>
  <c r="W48" i="1"/>
  <c r="V65" i="1"/>
  <c r="W65" i="1"/>
  <c r="W77" i="1"/>
  <c r="V13" i="1"/>
  <c r="F5" i="1"/>
  <c r="V16" i="1"/>
  <c r="W21" i="1"/>
  <c r="W23" i="1"/>
  <c r="AK25" i="1"/>
  <c r="AO25" i="1" s="1"/>
  <c r="W26" i="1"/>
  <c r="V27" i="1"/>
  <c r="W36" i="1"/>
  <c r="W54" i="1"/>
  <c r="R54" i="1"/>
  <c r="AK54" i="1" s="1"/>
  <c r="S54" i="1" s="1"/>
  <c r="W56" i="1"/>
  <c r="W81" i="1"/>
  <c r="R81" i="1"/>
  <c r="AK81" i="1" s="1"/>
  <c r="S81" i="1" s="1"/>
  <c r="AO57" i="1"/>
  <c r="AI57" i="1"/>
  <c r="R62" i="1"/>
  <c r="AK62" i="1" s="1"/>
  <c r="S62" i="1" s="1"/>
  <c r="R74" i="1"/>
  <c r="AK74" i="1" s="1"/>
  <c r="S74" i="1" s="1"/>
  <c r="R82" i="1"/>
  <c r="AK82" i="1" s="1"/>
  <c r="S82" i="1" s="1"/>
  <c r="W32" i="1"/>
  <c r="R33" i="1"/>
  <c r="AK33" i="1" s="1"/>
  <c r="S33" i="1" s="1"/>
  <c r="R42" i="1"/>
  <c r="AK42" i="1" s="1"/>
  <c r="S42" i="1" s="1"/>
  <c r="R58" i="1"/>
  <c r="AK58" i="1" s="1"/>
  <c r="S58" i="1" s="1"/>
  <c r="R67" i="1"/>
  <c r="AK67" i="1" s="1"/>
  <c r="S67" i="1" s="1"/>
  <c r="R71" i="1"/>
  <c r="AK71" i="1" s="1"/>
  <c r="S71" i="1" s="1"/>
  <c r="R79" i="1"/>
  <c r="AK79" i="1" s="1"/>
  <c r="S79" i="1" s="1"/>
  <c r="S24" i="1"/>
  <c r="V24" i="1" s="1"/>
  <c r="P9" i="1"/>
  <c r="R9" i="1" s="1"/>
  <c r="AK9" i="1" s="1"/>
  <c r="S9" i="1" s="1"/>
  <c r="P60" i="1"/>
  <c r="P83" i="1"/>
  <c r="W83" i="1" s="1"/>
  <c r="V10" i="1"/>
  <c r="V12" i="1"/>
  <c r="W17" i="1"/>
  <c r="V20" i="1"/>
  <c r="P22" i="1"/>
  <c r="AL24" i="1"/>
  <c r="W28" i="1"/>
  <c r="P31" i="1"/>
  <c r="W35" i="1"/>
  <c r="P40" i="1"/>
  <c r="V61" i="1"/>
  <c r="W63" i="1"/>
  <c r="W68" i="1"/>
  <c r="P69" i="1"/>
  <c r="R69" i="1" s="1"/>
  <c r="AK69" i="1" s="1"/>
  <c r="S69" i="1" s="1"/>
  <c r="P75" i="1"/>
  <c r="V84" i="1"/>
  <c r="W14" i="1"/>
  <c r="W6" i="1"/>
  <c r="W7" i="1"/>
  <c r="W8" i="1"/>
  <c r="L14" i="1"/>
  <c r="L17" i="1"/>
  <c r="L21" i="1"/>
  <c r="L28" i="1"/>
  <c r="L32" i="1"/>
  <c r="L35" i="1"/>
  <c r="AL43" i="1"/>
  <c r="AO43" i="1"/>
  <c r="V43" i="1"/>
  <c r="AL47" i="1"/>
  <c r="AO47" i="1"/>
  <c r="S47" i="1"/>
  <c r="V47" i="1" s="1"/>
  <c r="V66" i="1"/>
  <c r="W66" i="1"/>
  <c r="E5" i="1"/>
  <c r="V64" i="1"/>
  <c r="W64" i="1"/>
  <c r="L78" i="1"/>
  <c r="L68" i="1"/>
  <c r="AI41" i="1" l="1"/>
  <c r="AK41" i="1"/>
  <c r="S41" i="1" s="1"/>
  <c r="AI59" i="1"/>
  <c r="AK59" i="1"/>
  <c r="S59" i="1" s="1"/>
  <c r="V59" i="1" s="1"/>
  <c r="AI14" i="1"/>
  <c r="AK14" i="1"/>
  <c r="S14" i="1" s="1"/>
  <c r="AI49" i="1"/>
  <c r="AK49" i="1"/>
  <c r="S49" i="1" s="1"/>
  <c r="AI32" i="1"/>
  <c r="AL17" i="1"/>
  <c r="AO28" i="1"/>
  <c r="AO55" i="1"/>
  <c r="AI55" i="1"/>
  <c r="V57" i="1"/>
  <c r="AL32" i="1"/>
  <c r="V32" i="1"/>
  <c r="V55" i="1"/>
  <c r="AL35" i="1"/>
  <c r="V49" i="1"/>
  <c r="AO17" i="1"/>
  <c r="AO41" i="1"/>
  <c r="AI17" i="1"/>
  <c r="AI39" i="1"/>
  <c r="V30" i="1"/>
  <c r="W69" i="1"/>
  <c r="V70" i="1"/>
  <c r="AL57" i="1"/>
  <c r="AO35" i="1"/>
  <c r="AO30" i="1"/>
  <c r="AI30" i="1"/>
  <c r="AI76" i="1"/>
  <c r="AI69" i="1"/>
  <c r="W22" i="1"/>
  <c r="R22" i="1"/>
  <c r="AK22" i="1" s="1"/>
  <c r="S22" i="1" s="1"/>
  <c r="AI73" i="1"/>
  <c r="AI67" i="1"/>
  <c r="AI52" i="1"/>
  <c r="AK52" i="1"/>
  <c r="AI44" i="1"/>
  <c r="AK44" i="1"/>
  <c r="AI38" i="1"/>
  <c r="AI78" i="1"/>
  <c r="AI62" i="1"/>
  <c r="AK45" i="1"/>
  <c r="AI45" i="1"/>
  <c r="AI15" i="1"/>
  <c r="AI54" i="1"/>
  <c r="AI36" i="1"/>
  <c r="AI23" i="1"/>
  <c r="AI21" i="1"/>
  <c r="AI80" i="1"/>
  <c r="AK18" i="1"/>
  <c r="AI18" i="1"/>
  <c r="AL68" i="1"/>
  <c r="S68" i="1"/>
  <c r="V68" i="1" s="1"/>
  <c r="W60" i="1"/>
  <c r="S72" i="1"/>
  <c r="V72" i="1" s="1"/>
  <c r="AO32" i="1"/>
  <c r="W31" i="1"/>
  <c r="R40" i="1"/>
  <c r="AK40" i="1" s="1"/>
  <c r="S40" i="1" s="1"/>
  <c r="R83" i="1"/>
  <c r="AK83" i="1" s="1"/>
  <c r="S83" i="1" s="1"/>
  <c r="W9" i="1"/>
  <c r="AO68" i="1"/>
  <c r="AI79" i="1"/>
  <c r="AI71" i="1"/>
  <c r="AI58" i="1"/>
  <c r="AI50" i="1"/>
  <c r="AI42" i="1"/>
  <c r="AI33" i="1"/>
  <c r="AI82" i="1"/>
  <c r="AI74" i="1"/>
  <c r="AI53" i="1"/>
  <c r="AI37" i="1"/>
  <c r="AI81" i="1"/>
  <c r="AK56" i="1"/>
  <c r="AI56" i="1"/>
  <c r="AI26" i="1"/>
  <c r="AL25" i="1"/>
  <c r="S25" i="1"/>
  <c r="V25" i="1" s="1"/>
  <c r="AI51" i="1"/>
  <c r="AI77" i="1"/>
  <c r="AK48" i="1"/>
  <c r="AI48" i="1"/>
  <c r="AI46" i="1"/>
  <c r="AI29" i="1"/>
  <c r="L5" i="1"/>
  <c r="W75" i="1"/>
  <c r="W40" i="1"/>
  <c r="P5" i="1"/>
  <c r="AO14" i="1" l="1"/>
  <c r="V35" i="1"/>
  <c r="V14" i="1"/>
  <c r="AL28" i="1"/>
  <c r="V28" i="1"/>
  <c r="AL14" i="1"/>
  <c r="AL49" i="1"/>
  <c r="AO49" i="1"/>
  <c r="V41" i="1"/>
  <c r="AL41" i="1"/>
  <c r="AO59" i="1"/>
  <c r="AL59" i="1"/>
  <c r="AL39" i="1"/>
  <c r="V39" i="1"/>
  <c r="AO39" i="1"/>
  <c r="AL76" i="1"/>
  <c r="AO76" i="1"/>
  <c r="V76" i="1"/>
  <c r="AO26" i="1"/>
  <c r="V26" i="1"/>
  <c r="AL26" i="1"/>
  <c r="AL37" i="1"/>
  <c r="AO37" i="1"/>
  <c r="V37" i="1"/>
  <c r="AL82" i="1"/>
  <c r="V82" i="1"/>
  <c r="AO82" i="1"/>
  <c r="AO33" i="1"/>
  <c r="V33" i="1"/>
  <c r="AL33" i="1"/>
  <c r="AO42" i="1"/>
  <c r="V42" i="1"/>
  <c r="AL42" i="1"/>
  <c r="AO50" i="1"/>
  <c r="V50" i="1"/>
  <c r="AL50" i="1"/>
  <c r="AO58" i="1"/>
  <c r="V58" i="1"/>
  <c r="AL58" i="1"/>
  <c r="AO71" i="1"/>
  <c r="V71" i="1"/>
  <c r="AL71" i="1"/>
  <c r="AO79" i="1"/>
  <c r="V79" i="1"/>
  <c r="AL79" i="1"/>
  <c r="AO80" i="1"/>
  <c r="AL80" i="1"/>
  <c r="V80" i="1"/>
  <c r="AL21" i="1"/>
  <c r="V21" i="1"/>
  <c r="AO21" i="1"/>
  <c r="AL23" i="1"/>
  <c r="V23" i="1"/>
  <c r="AO23" i="1"/>
  <c r="AO15" i="1"/>
  <c r="V15" i="1"/>
  <c r="AL15" i="1"/>
  <c r="AL62" i="1"/>
  <c r="V62" i="1"/>
  <c r="AO62" i="1"/>
  <c r="AO78" i="1"/>
  <c r="AL78" i="1"/>
  <c r="V78" i="1"/>
  <c r="AO38" i="1"/>
  <c r="V38" i="1"/>
  <c r="AL38" i="1"/>
  <c r="AO44" i="1"/>
  <c r="S44" i="1"/>
  <c r="V44" i="1" s="1"/>
  <c r="AL44" i="1"/>
  <c r="AO52" i="1"/>
  <c r="S52" i="1"/>
  <c r="V52" i="1" s="1"/>
  <c r="AL52" i="1"/>
  <c r="AO67" i="1"/>
  <c r="V67" i="1"/>
  <c r="AL67" i="1"/>
  <c r="AO73" i="1"/>
  <c r="V73" i="1"/>
  <c r="AL73" i="1"/>
  <c r="AI60" i="1"/>
  <c r="AK60" i="1"/>
  <c r="AI22" i="1"/>
  <c r="AI31" i="1"/>
  <c r="AK31" i="1"/>
  <c r="AO29" i="1"/>
  <c r="V29" i="1"/>
  <c r="AL29" i="1"/>
  <c r="AO46" i="1"/>
  <c r="V46" i="1"/>
  <c r="AL46" i="1"/>
  <c r="AO48" i="1"/>
  <c r="S48" i="1"/>
  <c r="V48" i="1" s="1"/>
  <c r="AL48" i="1"/>
  <c r="AO77" i="1"/>
  <c r="V77" i="1"/>
  <c r="AL77" i="1"/>
  <c r="AO51" i="1"/>
  <c r="AL51" i="1"/>
  <c r="V51" i="1"/>
  <c r="AO56" i="1"/>
  <c r="S56" i="1"/>
  <c r="V56" i="1" s="1"/>
  <c r="AL56" i="1"/>
  <c r="AO81" i="1"/>
  <c r="V81" i="1"/>
  <c r="AL81" i="1"/>
  <c r="AL53" i="1"/>
  <c r="V53" i="1"/>
  <c r="AO53" i="1"/>
  <c r="AL74" i="1"/>
  <c r="V74" i="1"/>
  <c r="AO74" i="1"/>
  <c r="AI9" i="1"/>
  <c r="R5" i="1"/>
  <c r="AI83" i="1"/>
  <c r="AI40" i="1"/>
  <c r="AK75" i="1"/>
  <c r="AI75" i="1"/>
  <c r="AO18" i="1"/>
  <c r="S18" i="1"/>
  <c r="V18" i="1" s="1"/>
  <c r="AL18" i="1"/>
  <c r="AO36" i="1"/>
  <c r="V36" i="1"/>
  <c r="AL36" i="1"/>
  <c r="AO54" i="1"/>
  <c r="V54" i="1"/>
  <c r="AL54" i="1"/>
  <c r="AL45" i="1"/>
  <c r="S45" i="1"/>
  <c r="V45" i="1" s="1"/>
  <c r="AO45" i="1"/>
  <c r="AO69" i="1"/>
  <c r="V69" i="1"/>
  <c r="AL69" i="1"/>
  <c r="AO83" i="1" l="1"/>
  <c r="AL83" i="1"/>
  <c r="V83" i="1"/>
  <c r="AI5" i="1"/>
  <c r="AO31" i="1"/>
  <c r="S31" i="1"/>
  <c r="V31" i="1" s="1"/>
  <c r="AL31" i="1"/>
  <c r="AO60" i="1"/>
  <c r="S60" i="1"/>
  <c r="V60" i="1" s="1"/>
  <c r="AL60" i="1"/>
  <c r="AO75" i="1"/>
  <c r="S75" i="1"/>
  <c r="V75" i="1" s="1"/>
  <c r="AL75" i="1"/>
  <c r="AO40" i="1"/>
  <c r="V40" i="1"/>
  <c r="AL40" i="1"/>
  <c r="AO9" i="1"/>
  <c r="AL9" i="1"/>
  <c r="AK5" i="1"/>
  <c r="AK1" i="1" s="1"/>
  <c r="AO22" i="1"/>
  <c r="V22" i="1"/>
  <c r="AL22" i="1"/>
  <c r="AO5" i="1" l="1"/>
  <c r="AL5" i="1"/>
  <c r="V9" i="1"/>
  <c r="S5" i="1"/>
</calcChain>
</file>

<file path=xl/sharedStrings.xml><?xml version="1.0" encoding="utf-8"?>
<sst xmlns="http://schemas.openxmlformats.org/spreadsheetml/2006/main" count="331" uniqueCount="196">
  <si>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</si>
  <si>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</si>
  <si>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</si>
  <si>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</si>
  <si>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</si>
  <si>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</si>
  <si>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</si>
  <si>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</si>
  <si>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</si>
  <si>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</si>
  <si>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</si>
  <si>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</si>
  <si>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</si>
  <si>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</si>
  <si>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</si>
  <si>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</si>
  <si>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</si>
  <si>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</si>
  <si>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</si>
  <si>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</si>
  <si>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</si>
  <si>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</si>
  <si>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</si>
  <si>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</si>
  <si>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</si>
  <si>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</si>
  <si>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</si>
  <si>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</si>
  <si>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</si>
  <si>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12,10,</t>
  </si>
  <si>
    <t>15,10,</t>
  </si>
  <si>
    <t>08,10,</t>
  </si>
  <si>
    <t>01,10,</t>
  </si>
  <si>
    <t>24,09,</t>
  </si>
  <si>
    <t>22,09,</t>
  </si>
  <si>
    <t>17,09,</t>
  </si>
  <si>
    <t>10,09,</t>
  </si>
  <si>
    <t>03,09,</t>
  </si>
  <si>
    <t>27,08,</t>
  </si>
  <si>
    <t>20,08,</t>
  </si>
  <si>
    <t>16,08,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</si>
  <si>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</si>
  <si>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</si>
  <si>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</si>
  <si>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</si>
  <si>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</si>
  <si>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</si>
  <si>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</si>
  <si>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</si>
  <si>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</si>
  <si>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</si>
  <si>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</si>
  <si>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</si>
  <si>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</si>
  <si>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</si>
  <si>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</si>
  <si>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</si>
  <si>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</si>
  <si>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</si>
  <si>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</si>
  <si>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</si>
  <si>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</si>
  <si>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</si>
  <si>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</si>
  <si>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</si>
  <si>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</si>
  <si>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</si>
  <si>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</si>
  <si>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</si>
  <si>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</si>
  <si>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</si>
  <si>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</si>
  <si>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P004486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</si>
  <si>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</si>
  <si>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</si>
  <si>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</si>
  <si>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</si>
  <si>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</si>
  <si>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</si>
  <si>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</si>
  <si>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</si>
  <si>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</si>
  <si>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</si>
  <si>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0,25 кг зам  ПОКОМ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</si>
  <si>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</si>
  <si>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</si>
  <si>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</si>
  <si>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</si>
  <si>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</si>
  <si>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</si>
  <si>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</si>
  <si>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</si>
  <si>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</si>
  <si>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</si>
  <si>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</si>
  <si>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</si>
  <si>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</si>
  <si>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</si>
  <si>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</si>
  <si>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ВНИМАНИЕ / P004486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</si>
  <si>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</si>
  <si>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</si>
  <si>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</si>
  <si>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</si>
  <si>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</si>
  <si>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</si>
  <si>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</si>
  <si>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</si>
  <si>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</si>
  <si>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</si>
  <si>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</si>
  <si>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</si>
  <si>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</si>
  <si>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«Медвежье ушко Премиум со сливочным маслом» 0,4 классическая форма ТМ «Медвежье ушко»</t>
  </si>
  <si>
    <t>P005439</t>
  </si>
  <si>
    <t>новинка</t>
  </si>
  <si>
    <t>Пельмени «Медвежье ушко Премиум со сливочным маслом» 0,8 классическая форма ТМ «Медвежье ушко»</t>
  </si>
  <si>
    <t>P005438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</si>
  <si>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</si>
  <si>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</si>
  <si>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</si>
  <si>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</si>
  <si>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</si>
  <si>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</si>
  <si>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</si>
  <si>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</si>
  <si>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</si>
  <si>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</si>
  <si>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</si>
  <si>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</si>
  <si>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</si>
  <si>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</si>
  <si>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</si>
  <si>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</si>
  <si>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</si>
  <si>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</si>
  <si>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</si>
  <si>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Медвежье ушко Премиум Мясные ТМ Медвежье ушко классическая форма флоу-пак 0,8 кг. ПОКОМ</t>
  </si>
  <si>
    <t>ВНИМАНИЕ / 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</si>
  <si>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</si>
  <si>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</si>
  <si>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</si>
  <si>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</si>
  <si>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</si>
  <si>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</si>
  <si>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</si>
  <si>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ВНИМАНИЕ / P004081</t>
  </si>
  <si>
    <t>нужно увеличить продажи!!!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</si>
  <si>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</si>
  <si>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</si>
  <si>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</si>
  <si>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</si>
  <si>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</si>
  <si>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</si>
  <si>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</si>
  <si>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</si>
  <si>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</si>
  <si>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</si>
  <si>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</si>
  <si>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</si>
  <si>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нужно увеличить продажи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</si>
  <si>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</si>
  <si>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</si>
  <si>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P005199</t>
  </si>
  <si>
    <t>639 списано (19,09,26)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</si>
  <si>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</si>
  <si>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</si>
  <si>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</si>
  <si>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</si>
  <si>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</si>
  <si>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</si>
  <si>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</si>
  <si>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</si>
  <si>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</si>
  <si>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</si>
  <si>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</si>
  <si>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</si>
  <si>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</si>
  <si>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</si>
  <si>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</si>
  <si>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</si>
  <si>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</si>
  <si>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</si>
  <si>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</si>
  <si>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</si>
  <si>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вывод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</si>
  <si>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</si>
  <si>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</si>
  <si>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Наггетсы «Сливушки в темпуре» Фикс.вес 0,23 ТМ «Вязанка»</t>
  </si>
  <si>
    <t>SU004023</t>
  </si>
  <si>
    <t>ТК</t>
  </si>
  <si>
    <t>ТК ком</t>
  </si>
  <si>
    <t>Рекуто</t>
  </si>
  <si>
    <t>дн</t>
  </si>
  <si>
    <t>19,10,</t>
  </si>
  <si>
    <t>20,10,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</si>
</sst>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0" borderId="1" xfId="1" applyNumberFormat="1" applyFill="1"/>
    <xf numFmtId="164" fontId="4" fillId="0" borderId="1" xfId="1" applyNumberFormat="1" applyFont="1" applyFill="1"/>
    <xf numFmtId="164" fontId="1" fillId="4" borderId="2" xfId="1" applyNumberFormat="1" applyFill="1" applyBorder="1"/>
    <xf numFmtId="164" fontId="1" fillId="7" borderId="1" xfId="1" applyNumberFormat="1" applyFill="1"/>
    <xf numFmtId="164" fontId="6" fillId="7" borderId="1" xfId="1" applyNumberFormat="1" applyFont="1" applyFill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5" fontId="1" fillId="8" borderId="1" xfId="1" applyNumberFormat="1" applyFill="1"/>
    <xf numFmtId="0" fontId="0" fillId="0" borderId="1" xfId="0" applyBorder="1"/>
    <xf numFmtId="164" fontId="1" fillId="5" borderId="1" xfId="1" applyNumberFormat="1" applyFill="1" applyBorder="1"/>
    <xf numFmtId="164" fontId="1" fillId="0" borderId="1" xfId="1" applyNumberFormat="1" applyBorder="1"/>
    <xf numFmtId="164" fontId="1" fillId="4" borderId="1" xfId="1" applyNumberFormat="1" applyFill="1" applyBorder="1"/>
    <xf numFmtId="164" fontId="1" fillId="8" borderId="1" xfId="1" applyNumberFormat="1" applyFill="1" applyBorder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Мини-сосиски в ароматном тесте ВЕС ТМ Зареченские продукты  ПОКОМ</v>
          </cell>
          <cell r="B1" t="str">
            <v>до 650 кг</v>
          </cell>
        </row>
        <row r="2">
          <cell r="A2" t="str">
            <v>Мини-чебуреки с мясом ТМ Зареченские ТС Зареченские продукты ПОКОМ</v>
          </cell>
          <cell r="B2" t="str">
            <v>до 300 кг</v>
          </cell>
        </row>
        <row r="3">
          <cell r="A3" t="str">
            <v>Наггетсы Хрустящие ТМ Зареченские ТС Зареченские продукты. Поком</v>
          </cell>
          <cell r="B3" t="str">
            <v>до 2150 кг (акция + 1000 кг под клиента важно!)</v>
          </cell>
        </row>
        <row r="4">
          <cell r="A4" t="str">
            <v>Пельмени Бульмени с говядиной и свининой Наваристые Горячая штучка ВЕС  ПОКОМ</v>
          </cell>
          <cell r="B4" t="str">
            <v>до 400 кг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Q4" sqref="AQ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" customWidth="1"/>
    <col min="17" max="19" width="7" customWidth="1"/>
    <col min="20" max="21" width="7" style="30" customWidth="1"/>
    <col min="22" max="23" width="5" customWidth="1"/>
    <col min="24" max="33" width="6" customWidth="1"/>
    <col min="34" max="34" width="7" customWidth="1"/>
    <col min="35" max="35" width="6.7109375" customWidth="1"/>
    <col min="36" max="36" width="6" style="6" customWidth="1"/>
    <col min="37" max="37" width="7" style="12" customWidth="1"/>
    <col min="38" max="38" width="6.7109375" customWidth="1"/>
    <col min="39" max="40" width="5" customWidth="1"/>
    <col min="41" max="41" width="6" style="12" customWidth="1"/>
    <col min="42" max="42" width="7" style="12" customWidth="1"/>
    <col min="43" max="43" width="6.7109375" customWidth="1"/>
    <col min="44" max="44" width="6" style="12" customWidth="1"/>
    <col min="45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35">
        <v>1.4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7"/>
      <c r="AK1" s="9">
        <f>AK2-AK5</f>
        <v>12</v>
      </c>
      <c r="AL1" s="1"/>
      <c r="AM1" s="1"/>
      <c r="AN1" s="1"/>
      <c r="AO1" s="9"/>
      <c r="AP1" s="9">
        <f>AP2-AP5</f>
        <v>-12</v>
      </c>
      <c r="AQ1" s="1"/>
      <c r="AR1" s="9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193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7"/>
      <c r="AK2" s="9">
        <v>3500</v>
      </c>
      <c r="AL2" s="1"/>
      <c r="AM2" s="1"/>
      <c r="AN2" s="1"/>
      <c r="AO2" s="9"/>
      <c r="AP2" s="9">
        <v>970</v>
      </c>
      <c r="AQ2" s="1"/>
      <c r="AR2" s="9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</v>
      </c>
      <c r="S3" s="3" t="s">
        <v>17</v>
      </c>
      <c r="T3" s="3" t="s">
        <v>190</v>
      </c>
      <c r="U3" s="3" t="s">
        <v>191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20</v>
      </c>
      <c r="AH3" s="2" t="s">
        <v>21</v>
      </c>
      <c r="AI3" s="2" t="s">
        <v>22</v>
      </c>
      <c r="AJ3" s="8" t="s">
        <v>23</v>
      </c>
      <c r="AK3" s="10" t="s">
        <v>24</v>
      </c>
      <c r="AL3" s="2" t="s">
        <v>25</v>
      </c>
      <c r="AM3" s="2" t="s">
        <v>26</v>
      </c>
      <c r="AN3" s="2" t="s">
        <v>27</v>
      </c>
      <c r="AO3" s="10" t="s">
        <v>28</v>
      </c>
      <c r="AP3" s="10" t="s">
        <v>24</v>
      </c>
      <c r="AQ3" s="2" t="s">
        <v>25</v>
      </c>
      <c r="AR3" s="10" t="s">
        <v>28</v>
      </c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 t="s">
        <v>192</v>
      </c>
      <c r="U4" s="1"/>
      <c r="V4" s="1"/>
      <c r="W4" s="1"/>
      <c r="X4" s="1" t="s">
        <v>31</v>
      </c>
      <c r="Y4" s="1" t="s">
        <v>32</v>
      </c>
      <c r="Z4" s="1" t="s">
        <v>33</v>
      </c>
      <c r="AA4" s="1" t="s">
        <v>34</v>
      </c>
      <c r="AB4" s="1" t="s">
        <v>35</v>
      </c>
      <c r="AC4" s="1" t="s">
        <v>36</v>
      </c>
      <c r="AD4" s="1" t="s">
        <v>37</v>
      </c>
      <c r="AE4" s="1" t="s">
        <v>38</v>
      </c>
      <c r="AF4" s="1" t="s">
        <v>39</v>
      </c>
      <c r="AG4" s="1" t="s">
        <v>40</v>
      </c>
      <c r="AH4" s="1"/>
      <c r="AI4" s="1"/>
      <c r="AJ4" s="7"/>
      <c r="AK4" s="9" t="s">
        <v>194</v>
      </c>
      <c r="AL4" s="1"/>
      <c r="AM4" s="1"/>
      <c r="AN4" s="1"/>
      <c r="AO4" s="9"/>
      <c r="AP4" s="9" t="s">
        <v>195</v>
      </c>
      <c r="AQ4" s="1"/>
      <c r="AR4" s="9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SUM(E6:E499)</f>
        <v>32320.5</v>
      </c>
      <c r="F5" s="4">
        <f>SUM(F6:F499)</f>
        <v>33277.800000000003</v>
      </c>
      <c r="G5" s="7"/>
      <c r="H5" s="1"/>
      <c r="I5" s="1"/>
      <c r="J5" s="1"/>
      <c r="K5" s="4">
        <f t="shared" ref="K5:T5" si="0">SUM(K6:K499)</f>
        <v>33731.600000000006</v>
      </c>
      <c r="L5" s="4">
        <f t="shared" si="0"/>
        <v>-1411.1</v>
      </c>
      <c r="M5" s="4">
        <f t="shared" si="0"/>
        <v>0</v>
      </c>
      <c r="N5" s="4">
        <f t="shared" si="0"/>
        <v>0</v>
      </c>
      <c r="O5" s="4">
        <f t="shared" si="0"/>
        <v>24242</v>
      </c>
      <c r="P5" s="4">
        <f t="shared" si="0"/>
        <v>6464.1000000000013</v>
      </c>
      <c r="Q5" s="4">
        <v>33328.14</v>
      </c>
      <c r="R5" s="4">
        <f t="shared" si="0"/>
        <v>40339.86</v>
      </c>
      <c r="S5" s="4">
        <f t="shared" si="0"/>
        <v>40166.200000000004</v>
      </c>
      <c r="T5" s="4">
        <f t="shared" si="0"/>
        <v>3500</v>
      </c>
      <c r="U5" s="4"/>
      <c r="V5" s="1"/>
      <c r="W5" s="1"/>
      <c r="X5" s="4">
        <f t="shared" ref="X5:AG5" si="1">SUM(X6:X499)</f>
        <v>6275.7400000000007</v>
      </c>
      <c r="Y5" s="4">
        <f t="shared" si="1"/>
        <v>5673.0199999999995</v>
      </c>
      <c r="Z5" s="4">
        <f t="shared" si="1"/>
        <v>5817.699999999998</v>
      </c>
      <c r="AA5" s="4">
        <f t="shared" si="1"/>
        <v>6466.7</v>
      </c>
      <c r="AB5" s="4">
        <f t="shared" si="1"/>
        <v>5413.119999999999</v>
      </c>
      <c r="AC5" s="4">
        <f t="shared" si="1"/>
        <v>5646.1997999999976</v>
      </c>
      <c r="AD5" s="4">
        <f t="shared" si="1"/>
        <v>7428.6320000000014</v>
      </c>
      <c r="AE5" s="4">
        <f t="shared" si="1"/>
        <v>5263.7599999999993</v>
      </c>
      <c r="AF5" s="4">
        <f t="shared" si="1"/>
        <v>6192.3399999999992</v>
      </c>
      <c r="AG5" s="4">
        <f t="shared" si="1"/>
        <v>5415.5800000000017</v>
      </c>
      <c r="AH5" s="1"/>
      <c r="AI5" s="4">
        <f>SUM(AI6:AI499)</f>
        <v>17836.696800000002</v>
      </c>
      <c r="AJ5" s="7"/>
      <c r="AK5" s="11">
        <f>SUM(AK6:AK499)</f>
        <v>3488</v>
      </c>
      <c r="AL5" s="4">
        <f>SUM(AL6:AL499)</f>
        <v>12984.160000000003</v>
      </c>
      <c r="AM5" s="1"/>
      <c r="AN5" s="1"/>
      <c r="AO5" s="11">
        <f>SUM(AO6:AO499)</f>
        <v>39.880158730158719</v>
      </c>
      <c r="AP5" s="11">
        <f>SUM(AP6:AP499)</f>
        <v>982</v>
      </c>
      <c r="AQ5" s="4">
        <f>SUM(AQ6:AQ499)</f>
        <v>4849.8</v>
      </c>
      <c r="AR5" s="11">
        <f>SUM(AR6:AR499)</f>
        <v>11.857142857142858</v>
      </c>
      <c r="AS5" s="1"/>
      <c r="AT5" s="1"/>
      <c r="AU5" s="1"/>
      <c r="AV5" s="1"/>
      <c r="AW5" s="1"/>
      <c r="AX5" s="1"/>
    </row>
    <row r="6" spans="1:50" x14ac:dyDescent="0.25">
      <c r="A6" s="15" t="s">
        <v>41</v>
      </c>
      <c r="B6" s="15" t="s">
        <v>42</v>
      </c>
      <c r="C6" s="15">
        <v>-8</v>
      </c>
      <c r="D6" s="15">
        <v>169</v>
      </c>
      <c r="E6" s="20">
        <v>116</v>
      </c>
      <c r="F6" s="20">
        <v>25</v>
      </c>
      <c r="G6" s="16">
        <v>0</v>
      </c>
      <c r="H6" s="15"/>
      <c r="I6" s="15" t="s">
        <v>43</v>
      </c>
      <c r="J6" s="15" t="s">
        <v>44</v>
      </c>
      <c r="K6" s="15">
        <v>125</v>
      </c>
      <c r="L6" s="15">
        <f t="shared" ref="L6:L37" si="2">E6-K6</f>
        <v>-9</v>
      </c>
      <c r="M6" s="15"/>
      <c r="N6" s="15"/>
      <c r="O6" s="15"/>
      <c r="P6" s="15">
        <f t="shared" ref="P6:P37" si="3">E6/5</f>
        <v>23.2</v>
      </c>
      <c r="Q6" s="17"/>
      <c r="R6" s="17"/>
      <c r="S6" s="17"/>
      <c r="T6" s="31"/>
      <c r="U6" s="32"/>
      <c r="V6" s="15">
        <f t="shared" ref="V6:V37" si="4">(F6+O6+S6)/P6</f>
        <v>1.0775862068965518</v>
      </c>
      <c r="W6" s="15">
        <f t="shared" ref="W6:W37" si="5">(F6+O6)/P6</f>
        <v>1.0775862068965518</v>
      </c>
      <c r="X6" s="15">
        <v>28.8</v>
      </c>
      <c r="Y6" s="15">
        <v>20.8</v>
      </c>
      <c r="Z6" s="15">
        <v>24.2</v>
      </c>
      <c r="AA6" s="15">
        <v>27.4</v>
      </c>
      <c r="AB6" s="15">
        <v>22.6</v>
      </c>
      <c r="AC6" s="15">
        <v>31</v>
      </c>
      <c r="AD6" s="15">
        <v>6.4</v>
      </c>
      <c r="AE6" s="15">
        <v>10.8</v>
      </c>
      <c r="AF6" s="15">
        <v>17.600000000000001</v>
      </c>
      <c r="AG6" s="15">
        <v>13.2</v>
      </c>
      <c r="AH6" s="15"/>
      <c r="AI6" s="15"/>
      <c r="AJ6" s="16"/>
      <c r="AK6" s="18"/>
      <c r="AL6" s="15"/>
      <c r="AM6" s="15"/>
      <c r="AN6" s="15"/>
      <c r="AO6" s="18"/>
      <c r="AP6" s="18"/>
      <c r="AQ6" s="15"/>
      <c r="AR6" s="18"/>
      <c r="AS6" s="1"/>
      <c r="AT6" s="1"/>
      <c r="AU6" s="1"/>
      <c r="AV6" s="1"/>
      <c r="AW6" s="1"/>
      <c r="AX6" s="1"/>
    </row>
    <row r="7" spans="1:50" x14ac:dyDescent="0.25">
      <c r="A7" s="15" t="s">
        <v>45</v>
      </c>
      <c r="B7" s="15" t="s">
        <v>42</v>
      </c>
      <c r="C7" s="15">
        <v>152</v>
      </c>
      <c r="D7" s="15">
        <v>1</v>
      </c>
      <c r="E7" s="20">
        <v>116</v>
      </c>
      <c r="F7" s="20">
        <v>26</v>
      </c>
      <c r="G7" s="16">
        <v>0</v>
      </c>
      <c r="H7" s="15"/>
      <c r="I7" s="15" t="s">
        <v>43</v>
      </c>
      <c r="J7" s="15" t="s">
        <v>46</v>
      </c>
      <c r="K7" s="15">
        <v>124</v>
      </c>
      <c r="L7" s="15">
        <f t="shared" si="2"/>
        <v>-8</v>
      </c>
      <c r="M7" s="15"/>
      <c r="N7" s="15"/>
      <c r="O7" s="15"/>
      <c r="P7" s="15">
        <f t="shared" si="3"/>
        <v>23.2</v>
      </c>
      <c r="Q7" s="17"/>
      <c r="R7" s="17"/>
      <c r="S7" s="17"/>
      <c r="T7" s="31"/>
      <c r="U7" s="32"/>
      <c r="V7" s="15">
        <f t="shared" si="4"/>
        <v>1.1206896551724139</v>
      </c>
      <c r="W7" s="15">
        <f t="shared" si="5"/>
        <v>1.1206896551724139</v>
      </c>
      <c r="X7" s="15">
        <v>17</v>
      </c>
      <c r="Y7" s="15">
        <v>21.4</v>
      </c>
      <c r="Z7" s="15">
        <v>21.8</v>
      </c>
      <c r="AA7" s="15">
        <v>27.2</v>
      </c>
      <c r="AB7" s="15">
        <v>25.4</v>
      </c>
      <c r="AC7" s="15">
        <v>31</v>
      </c>
      <c r="AD7" s="15">
        <v>4.4000000000000004</v>
      </c>
      <c r="AE7" s="15">
        <v>0</v>
      </c>
      <c r="AF7" s="15">
        <v>0</v>
      </c>
      <c r="AG7" s="15">
        <v>0</v>
      </c>
      <c r="AH7" s="15"/>
      <c r="AI7" s="15"/>
      <c r="AJ7" s="16"/>
      <c r="AK7" s="18"/>
      <c r="AL7" s="15"/>
      <c r="AM7" s="15"/>
      <c r="AN7" s="15"/>
      <c r="AO7" s="18"/>
      <c r="AP7" s="18"/>
      <c r="AQ7" s="15"/>
      <c r="AR7" s="18"/>
      <c r="AS7" s="1"/>
      <c r="AT7" s="1"/>
      <c r="AU7" s="1"/>
      <c r="AV7" s="1"/>
      <c r="AW7" s="1"/>
      <c r="AX7" s="1"/>
    </row>
    <row r="8" spans="1:50" x14ac:dyDescent="0.25">
      <c r="A8" s="19" t="s">
        <v>47</v>
      </c>
      <c r="B8" s="15" t="s">
        <v>42</v>
      </c>
      <c r="C8" s="15"/>
      <c r="D8" s="15">
        <v>504</v>
      </c>
      <c r="E8" s="20">
        <v>7</v>
      </c>
      <c r="F8" s="20">
        <v>479</v>
      </c>
      <c r="G8" s="16">
        <v>0</v>
      </c>
      <c r="H8" s="15">
        <v>180</v>
      </c>
      <c r="I8" s="19" t="s">
        <v>48</v>
      </c>
      <c r="J8" s="15" t="s">
        <v>49</v>
      </c>
      <c r="K8" s="15">
        <v>9</v>
      </c>
      <c r="L8" s="15">
        <f t="shared" si="2"/>
        <v>-2</v>
      </c>
      <c r="M8" s="15"/>
      <c r="N8" s="15"/>
      <c r="O8" s="15"/>
      <c r="P8" s="15">
        <f t="shared" si="3"/>
        <v>1.4</v>
      </c>
      <c r="Q8" s="17"/>
      <c r="R8" s="17"/>
      <c r="S8" s="17"/>
      <c r="T8" s="31"/>
      <c r="U8" s="32"/>
      <c r="V8" s="15">
        <f t="shared" si="4"/>
        <v>342.14285714285717</v>
      </c>
      <c r="W8" s="15">
        <f t="shared" si="5"/>
        <v>342.14285714285717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/>
      <c r="AI8" s="15"/>
      <c r="AJ8" s="16"/>
      <c r="AK8" s="18"/>
      <c r="AL8" s="15"/>
      <c r="AM8" s="15"/>
      <c r="AN8" s="15"/>
      <c r="AO8" s="18"/>
      <c r="AP8" s="18"/>
      <c r="AQ8" s="15"/>
      <c r="AR8" s="18"/>
      <c r="AS8" s="1"/>
      <c r="AT8" s="1"/>
      <c r="AU8" s="1"/>
      <c r="AV8" s="1"/>
      <c r="AW8" s="1"/>
      <c r="AX8" s="1"/>
    </row>
    <row r="9" spans="1:50" x14ac:dyDescent="0.25">
      <c r="A9" s="13" t="s">
        <v>50</v>
      </c>
      <c r="B9" s="1" t="s">
        <v>42</v>
      </c>
      <c r="C9" s="1">
        <v>432</v>
      </c>
      <c r="D9" s="1">
        <v>54</v>
      </c>
      <c r="E9" s="20">
        <f>479+E63</f>
        <v>481</v>
      </c>
      <c r="F9" s="20">
        <f>-12+F63</f>
        <v>152</v>
      </c>
      <c r="G9" s="7">
        <v>0.3</v>
      </c>
      <c r="H9" s="1">
        <v>180</v>
      </c>
      <c r="I9" s="1" t="s">
        <v>51</v>
      </c>
      <c r="J9" s="1"/>
      <c r="K9" s="1">
        <v>497</v>
      </c>
      <c r="L9" s="1">
        <f t="shared" si="2"/>
        <v>-16</v>
      </c>
      <c r="M9" s="1"/>
      <c r="N9" s="1"/>
      <c r="O9" s="1">
        <v>0</v>
      </c>
      <c r="P9" s="1">
        <f t="shared" si="3"/>
        <v>96.2</v>
      </c>
      <c r="Q9" s="5">
        <v>1002.4000000000001</v>
      </c>
      <c r="R9" s="5">
        <f>12*P9-O9-F9</f>
        <v>1002.4000000000001</v>
      </c>
      <c r="S9" s="5">
        <f>AJ9*AK9+AP9*AJ9</f>
        <v>1008</v>
      </c>
      <c r="T9" s="32"/>
      <c r="U9" s="32"/>
      <c r="V9" s="1">
        <f t="shared" si="4"/>
        <v>12.058212058212058</v>
      </c>
      <c r="W9" s="1">
        <f t="shared" si="5"/>
        <v>1.5800415800415799</v>
      </c>
      <c r="X9" s="1">
        <v>34.4</v>
      </c>
      <c r="Y9" s="1">
        <v>56.4</v>
      </c>
      <c r="Z9" s="1">
        <v>54.4</v>
      </c>
      <c r="AA9" s="1">
        <v>74.2</v>
      </c>
      <c r="AB9" s="1">
        <v>66.2</v>
      </c>
      <c r="AC9" s="1">
        <v>59.2</v>
      </c>
      <c r="AD9" s="1">
        <v>80.599999999999994</v>
      </c>
      <c r="AE9" s="1">
        <v>35.4</v>
      </c>
      <c r="AF9" s="1">
        <v>93.8</v>
      </c>
      <c r="AG9" s="1">
        <v>69.8</v>
      </c>
      <c r="AH9" s="1"/>
      <c r="AI9" s="1">
        <f>G9*R9</f>
        <v>300.72000000000003</v>
      </c>
      <c r="AJ9" s="7">
        <v>12</v>
      </c>
      <c r="AK9" s="9">
        <f>MROUND(R9, AJ9*AM9)/AJ9-AP9</f>
        <v>84</v>
      </c>
      <c r="AL9" s="1">
        <f>AK9*AJ9*G9</f>
        <v>302.39999999999998</v>
      </c>
      <c r="AM9" s="1">
        <v>14</v>
      </c>
      <c r="AN9" s="1">
        <v>70</v>
      </c>
      <c r="AO9" s="9">
        <f>AK9/AN9</f>
        <v>1.2</v>
      </c>
      <c r="AP9" s="9"/>
      <c r="AQ9" s="1">
        <f>AP9*AJ9*G9</f>
        <v>0</v>
      </c>
      <c r="AR9" s="9">
        <f>AP9/AN9</f>
        <v>0</v>
      </c>
      <c r="AS9" s="1"/>
      <c r="AT9" s="1"/>
      <c r="AU9" s="1"/>
      <c r="AV9" s="1"/>
      <c r="AW9" s="1"/>
      <c r="AX9" s="1"/>
    </row>
    <row r="10" spans="1:50" x14ac:dyDescent="0.25">
      <c r="A10" s="19" t="s">
        <v>52</v>
      </c>
      <c r="B10" s="15" t="s">
        <v>42</v>
      </c>
      <c r="C10" s="15"/>
      <c r="D10" s="15">
        <v>168</v>
      </c>
      <c r="E10" s="20">
        <v>7</v>
      </c>
      <c r="F10" s="20">
        <v>161</v>
      </c>
      <c r="G10" s="16">
        <v>0</v>
      </c>
      <c r="H10" s="15">
        <v>180</v>
      </c>
      <c r="I10" s="19" t="s">
        <v>48</v>
      </c>
      <c r="J10" s="15" t="s">
        <v>53</v>
      </c>
      <c r="K10" s="15">
        <v>7</v>
      </c>
      <c r="L10" s="15">
        <f t="shared" si="2"/>
        <v>0</v>
      </c>
      <c r="M10" s="15"/>
      <c r="N10" s="15"/>
      <c r="O10" s="15"/>
      <c r="P10" s="15">
        <f t="shared" si="3"/>
        <v>1.4</v>
      </c>
      <c r="Q10" s="17"/>
      <c r="R10" s="17"/>
      <c r="S10" s="17"/>
      <c r="T10" s="31"/>
      <c r="U10" s="32"/>
      <c r="V10" s="15">
        <f t="shared" si="4"/>
        <v>115.00000000000001</v>
      </c>
      <c r="W10" s="15">
        <f t="shared" si="5"/>
        <v>115.00000000000001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/>
      <c r="AI10" s="15"/>
      <c r="AJ10" s="16"/>
      <c r="AK10" s="18"/>
      <c r="AL10" s="15"/>
      <c r="AM10" s="15"/>
      <c r="AN10" s="15"/>
      <c r="AO10" s="18"/>
      <c r="AP10" s="18"/>
      <c r="AQ10" s="15"/>
      <c r="AR10" s="18"/>
      <c r="AS10" s="1"/>
      <c r="AT10" s="1"/>
      <c r="AU10" s="1"/>
      <c r="AV10" s="1"/>
      <c r="AW10" s="1"/>
      <c r="AX10" s="1"/>
    </row>
    <row r="11" spans="1:50" x14ac:dyDescent="0.25">
      <c r="A11" s="15" t="s">
        <v>54</v>
      </c>
      <c r="B11" s="15" t="s">
        <v>42</v>
      </c>
      <c r="C11" s="15">
        <v>671</v>
      </c>
      <c r="D11" s="15">
        <v>210</v>
      </c>
      <c r="E11" s="20">
        <v>126</v>
      </c>
      <c r="F11" s="20">
        <v>319</v>
      </c>
      <c r="G11" s="16">
        <v>0</v>
      </c>
      <c r="H11" s="15">
        <v>180</v>
      </c>
      <c r="I11" s="15" t="s">
        <v>48</v>
      </c>
      <c r="J11" s="15" t="s">
        <v>55</v>
      </c>
      <c r="K11" s="15">
        <v>130</v>
      </c>
      <c r="L11" s="15">
        <f t="shared" si="2"/>
        <v>-4</v>
      </c>
      <c r="M11" s="15"/>
      <c r="N11" s="15"/>
      <c r="O11" s="15"/>
      <c r="P11" s="15">
        <f t="shared" si="3"/>
        <v>25.2</v>
      </c>
      <c r="Q11" s="17"/>
      <c r="R11" s="17"/>
      <c r="S11" s="17"/>
      <c r="T11" s="31"/>
      <c r="U11" s="32"/>
      <c r="V11" s="15">
        <f t="shared" si="4"/>
        <v>12.65873015873016</v>
      </c>
      <c r="W11" s="15">
        <f t="shared" si="5"/>
        <v>12.65873015873016</v>
      </c>
      <c r="X11" s="15">
        <v>25.6</v>
      </c>
      <c r="Y11" s="15">
        <v>7.4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/>
      <c r="AI11" s="15"/>
      <c r="AJ11" s="16"/>
      <c r="AK11" s="18"/>
      <c r="AL11" s="15"/>
      <c r="AM11" s="15"/>
      <c r="AN11" s="15"/>
      <c r="AO11" s="18"/>
      <c r="AP11" s="18"/>
      <c r="AQ11" s="15"/>
      <c r="AR11" s="18"/>
      <c r="AS11" s="1"/>
      <c r="AT11" s="1"/>
      <c r="AU11" s="1"/>
      <c r="AV11" s="1"/>
      <c r="AW11" s="1"/>
      <c r="AX11" s="1"/>
    </row>
    <row r="12" spans="1:50" x14ac:dyDescent="0.25">
      <c r="A12" s="15" t="s">
        <v>56</v>
      </c>
      <c r="B12" s="15" t="s">
        <v>42</v>
      </c>
      <c r="C12" s="15">
        <v>121</v>
      </c>
      <c r="D12" s="15">
        <v>2258</v>
      </c>
      <c r="E12" s="20">
        <v>283</v>
      </c>
      <c r="F12" s="20">
        <v>1471</v>
      </c>
      <c r="G12" s="16">
        <v>0</v>
      </c>
      <c r="H12" s="15">
        <v>180</v>
      </c>
      <c r="I12" s="15" t="s">
        <v>48</v>
      </c>
      <c r="J12" s="15" t="s">
        <v>57</v>
      </c>
      <c r="K12" s="15">
        <v>426</v>
      </c>
      <c r="L12" s="15">
        <f t="shared" si="2"/>
        <v>-143</v>
      </c>
      <c r="M12" s="15"/>
      <c r="N12" s="15"/>
      <c r="O12" s="15"/>
      <c r="P12" s="15">
        <f t="shared" si="3"/>
        <v>56.6</v>
      </c>
      <c r="Q12" s="17"/>
      <c r="R12" s="17"/>
      <c r="S12" s="17"/>
      <c r="T12" s="31"/>
      <c r="U12" s="32"/>
      <c r="V12" s="15">
        <f t="shared" si="4"/>
        <v>25.989399293286219</v>
      </c>
      <c r="W12" s="15">
        <f t="shared" si="5"/>
        <v>25.989399293286219</v>
      </c>
      <c r="X12" s="15">
        <v>66.599999999999994</v>
      </c>
      <c r="Y12" s="15">
        <v>86.4</v>
      </c>
      <c r="Z12" s="15">
        <v>36.200000000000003</v>
      </c>
      <c r="AA12" s="15">
        <v>30.8</v>
      </c>
      <c r="AB12" s="15">
        <v>17.600000000000001</v>
      </c>
      <c r="AC12" s="15">
        <v>3.2</v>
      </c>
      <c r="AD12" s="15">
        <v>0</v>
      </c>
      <c r="AE12" s="15">
        <v>0</v>
      </c>
      <c r="AF12" s="15">
        <v>0</v>
      </c>
      <c r="AG12" s="15">
        <v>0</v>
      </c>
      <c r="AH12" s="15"/>
      <c r="AI12" s="15"/>
      <c r="AJ12" s="16"/>
      <c r="AK12" s="18"/>
      <c r="AL12" s="15"/>
      <c r="AM12" s="15"/>
      <c r="AN12" s="15"/>
      <c r="AO12" s="18"/>
      <c r="AP12" s="18"/>
      <c r="AQ12" s="15"/>
      <c r="AR12" s="18"/>
      <c r="AS12" s="1"/>
      <c r="AT12" s="1"/>
      <c r="AU12" s="1"/>
      <c r="AV12" s="1"/>
      <c r="AW12" s="1"/>
      <c r="AX12" s="1"/>
    </row>
    <row r="13" spans="1:50" x14ac:dyDescent="0.25">
      <c r="A13" s="15" t="s">
        <v>58</v>
      </c>
      <c r="B13" s="15" t="s">
        <v>42</v>
      </c>
      <c r="C13" s="15">
        <v>457</v>
      </c>
      <c r="D13" s="15">
        <v>690</v>
      </c>
      <c r="E13" s="20">
        <v>94</v>
      </c>
      <c r="F13" s="20">
        <v>844</v>
      </c>
      <c r="G13" s="16">
        <v>0</v>
      </c>
      <c r="H13" s="15">
        <v>180</v>
      </c>
      <c r="I13" s="15" t="s">
        <v>48</v>
      </c>
      <c r="J13" s="15" t="s">
        <v>59</v>
      </c>
      <c r="K13" s="15">
        <v>96</v>
      </c>
      <c r="L13" s="15">
        <f t="shared" si="2"/>
        <v>-2</v>
      </c>
      <c r="M13" s="15"/>
      <c r="N13" s="15"/>
      <c r="O13" s="15"/>
      <c r="P13" s="15">
        <f t="shared" si="3"/>
        <v>18.8</v>
      </c>
      <c r="Q13" s="17"/>
      <c r="R13" s="17"/>
      <c r="S13" s="17"/>
      <c r="T13" s="31"/>
      <c r="U13" s="32"/>
      <c r="V13" s="15">
        <f t="shared" si="4"/>
        <v>44.893617021276597</v>
      </c>
      <c r="W13" s="15">
        <f t="shared" si="5"/>
        <v>44.893617021276597</v>
      </c>
      <c r="X13" s="15">
        <v>7</v>
      </c>
      <c r="Y13" s="15">
        <v>0.4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/>
      <c r="AI13" s="15"/>
      <c r="AJ13" s="16"/>
      <c r="AK13" s="18"/>
      <c r="AL13" s="15"/>
      <c r="AM13" s="15"/>
      <c r="AN13" s="15"/>
      <c r="AO13" s="18"/>
      <c r="AP13" s="18"/>
      <c r="AQ13" s="15"/>
      <c r="AR13" s="18"/>
      <c r="AS13" s="1"/>
      <c r="AT13" s="1"/>
      <c r="AU13" s="1"/>
      <c r="AV13" s="1"/>
      <c r="AW13" s="1"/>
      <c r="AX13" s="1"/>
    </row>
    <row r="14" spans="1:50" x14ac:dyDescent="0.25">
      <c r="A14" s="13" t="s">
        <v>60</v>
      </c>
      <c r="B14" s="1" t="s">
        <v>42</v>
      </c>
      <c r="C14" s="1">
        <v>448</v>
      </c>
      <c r="D14" s="1">
        <v>139</v>
      </c>
      <c r="E14" s="20">
        <f>501+E64</f>
        <v>509</v>
      </c>
      <c r="F14" s="20">
        <f>7+F64</f>
        <v>499</v>
      </c>
      <c r="G14" s="7">
        <v>0.28000000000000003</v>
      </c>
      <c r="H14" s="1">
        <v>180</v>
      </c>
      <c r="I14" s="1" t="s">
        <v>61</v>
      </c>
      <c r="J14" s="1"/>
      <c r="K14" s="1">
        <v>568</v>
      </c>
      <c r="L14" s="1">
        <f t="shared" si="2"/>
        <v>-59</v>
      </c>
      <c r="M14" s="1"/>
      <c r="N14" s="1"/>
      <c r="O14" s="1">
        <v>336</v>
      </c>
      <c r="P14" s="1">
        <f t="shared" si="3"/>
        <v>101.8</v>
      </c>
      <c r="Q14" s="5">
        <v>590.20000000000005</v>
      </c>
      <c r="R14" s="5">
        <f>14*P14-O14-F14+P14*$R$1</f>
        <v>732.72</v>
      </c>
      <c r="S14" s="5">
        <f t="shared" ref="S14:S15" si="6">AJ14*AK14+AP14*AJ14</f>
        <v>756</v>
      </c>
      <c r="T14" s="32"/>
      <c r="U14" s="32"/>
      <c r="V14" s="1">
        <f t="shared" si="4"/>
        <v>15.628683693516701</v>
      </c>
      <c r="W14" s="1">
        <f t="shared" si="5"/>
        <v>8.202357563850688</v>
      </c>
      <c r="X14" s="1">
        <v>99.6</v>
      </c>
      <c r="Y14" s="1">
        <v>98.2</v>
      </c>
      <c r="Z14" s="1">
        <v>107</v>
      </c>
      <c r="AA14" s="1">
        <v>125.8</v>
      </c>
      <c r="AB14" s="1">
        <v>110.6</v>
      </c>
      <c r="AC14" s="1">
        <v>135</v>
      </c>
      <c r="AD14" s="1">
        <v>170.2</v>
      </c>
      <c r="AE14" s="1">
        <v>160.6</v>
      </c>
      <c r="AF14" s="1">
        <v>137.6</v>
      </c>
      <c r="AG14" s="1">
        <v>93.4</v>
      </c>
      <c r="AH14" s="1"/>
      <c r="AI14" s="1">
        <f>G14*R14</f>
        <v>205.16160000000002</v>
      </c>
      <c r="AJ14" s="7">
        <v>6</v>
      </c>
      <c r="AK14" s="9">
        <f t="shared" ref="AK14:AK15" si="7">MROUND(R14, AJ14*AM14)/AJ14-AP14</f>
        <v>126</v>
      </c>
      <c r="AL14" s="1">
        <f>AK14*AJ14*G14</f>
        <v>211.68</v>
      </c>
      <c r="AM14" s="1">
        <v>14</v>
      </c>
      <c r="AN14" s="1">
        <v>140</v>
      </c>
      <c r="AO14" s="9">
        <f>AK14/AN14</f>
        <v>0.9</v>
      </c>
      <c r="AP14" s="9"/>
      <c r="AQ14" s="1">
        <f t="shared" ref="AQ14:AQ15" si="8">AP14*AJ14*G14</f>
        <v>0</v>
      </c>
      <c r="AR14" s="9">
        <f t="shared" ref="AR14:AR15" si="9">AP14/AN14</f>
        <v>0</v>
      </c>
      <c r="AS14" s="1"/>
      <c r="AT14" s="1"/>
      <c r="AU14" s="1"/>
      <c r="AV14" s="1"/>
      <c r="AW14" s="1"/>
      <c r="AX14" s="1"/>
    </row>
    <row r="15" spans="1:50" x14ac:dyDescent="0.25">
      <c r="A15" s="1" t="s">
        <v>62</v>
      </c>
      <c r="B15" s="1" t="s">
        <v>42</v>
      </c>
      <c r="C15" s="1">
        <v>471</v>
      </c>
      <c r="D15" s="1">
        <v>858</v>
      </c>
      <c r="E15" s="1">
        <v>528</v>
      </c>
      <c r="F15" s="1">
        <v>734</v>
      </c>
      <c r="G15" s="7">
        <v>0.24</v>
      </c>
      <c r="H15" s="1">
        <v>180</v>
      </c>
      <c r="I15" s="1" t="s">
        <v>63</v>
      </c>
      <c r="J15" s="1"/>
      <c r="K15" s="1">
        <v>554</v>
      </c>
      <c r="L15" s="1">
        <f t="shared" si="2"/>
        <v>-26</v>
      </c>
      <c r="M15" s="1"/>
      <c r="N15" s="1"/>
      <c r="O15" s="1">
        <v>0</v>
      </c>
      <c r="P15" s="1">
        <f t="shared" si="3"/>
        <v>105.6</v>
      </c>
      <c r="Q15" s="5">
        <v>744.39999999999986</v>
      </c>
      <c r="R15" s="5">
        <f>14*P15-O15-F15+P15*$R$1</f>
        <v>892.23999999999978</v>
      </c>
      <c r="S15" s="5">
        <f t="shared" si="6"/>
        <v>840</v>
      </c>
      <c r="T15" s="32"/>
      <c r="U15" s="32"/>
      <c r="V15" s="1">
        <f t="shared" si="4"/>
        <v>14.905303030303031</v>
      </c>
      <c r="W15" s="1">
        <f t="shared" si="5"/>
        <v>6.9507575757575761</v>
      </c>
      <c r="X15" s="1">
        <v>95.8</v>
      </c>
      <c r="Y15" s="1">
        <v>106</v>
      </c>
      <c r="Z15" s="1">
        <v>104.4</v>
      </c>
      <c r="AA15" s="1">
        <v>123.8</v>
      </c>
      <c r="AB15" s="1">
        <v>127.2</v>
      </c>
      <c r="AC15" s="1">
        <v>128</v>
      </c>
      <c r="AD15" s="1">
        <v>174.2</v>
      </c>
      <c r="AE15" s="1">
        <v>176.4</v>
      </c>
      <c r="AF15" s="1">
        <v>168.2</v>
      </c>
      <c r="AG15" s="1">
        <v>137.6</v>
      </c>
      <c r="AH15" s="1"/>
      <c r="AI15" s="1">
        <f>G15*R15</f>
        <v>214.13759999999994</v>
      </c>
      <c r="AJ15" s="7">
        <v>12</v>
      </c>
      <c r="AK15" s="9">
        <f t="shared" si="7"/>
        <v>70</v>
      </c>
      <c r="AL15" s="1">
        <f>AK15*AJ15*G15</f>
        <v>201.6</v>
      </c>
      <c r="AM15" s="1">
        <v>14</v>
      </c>
      <c r="AN15" s="1">
        <v>70</v>
      </c>
      <c r="AO15" s="9">
        <f>AK15/AN15</f>
        <v>1</v>
      </c>
      <c r="AP15" s="9"/>
      <c r="AQ15" s="1">
        <f t="shared" si="8"/>
        <v>0</v>
      </c>
      <c r="AR15" s="9">
        <f t="shared" si="9"/>
        <v>0</v>
      </c>
      <c r="AS15" s="1"/>
      <c r="AT15" s="1"/>
      <c r="AU15" s="1"/>
      <c r="AV15" s="1"/>
      <c r="AW15" s="1"/>
      <c r="AX15" s="1"/>
    </row>
    <row r="16" spans="1:50" x14ac:dyDescent="0.25">
      <c r="A16" s="15" t="s">
        <v>64</v>
      </c>
      <c r="B16" s="15" t="s">
        <v>42</v>
      </c>
      <c r="C16" s="15">
        <v>282</v>
      </c>
      <c r="D16" s="15">
        <v>2070</v>
      </c>
      <c r="E16" s="20">
        <v>777</v>
      </c>
      <c r="F16" s="20">
        <v>943</v>
      </c>
      <c r="G16" s="16">
        <v>0</v>
      </c>
      <c r="H16" s="15"/>
      <c r="I16" s="15" t="s">
        <v>48</v>
      </c>
      <c r="J16" s="15" t="s">
        <v>65</v>
      </c>
      <c r="K16" s="15">
        <v>839</v>
      </c>
      <c r="L16" s="15">
        <f t="shared" si="2"/>
        <v>-62</v>
      </c>
      <c r="M16" s="15"/>
      <c r="N16" s="15"/>
      <c r="O16" s="15"/>
      <c r="P16" s="15">
        <f t="shared" si="3"/>
        <v>155.4</v>
      </c>
      <c r="Q16" s="17"/>
      <c r="R16" s="17"/>
      <c r="S16" s="17"/>
      <c r="T16" s="31"/>
      <c r="U16" s="32"/>
      <c r="V16" s="15">
        <f t="shared" si="4"/>
        <v>6.0682110682110677</v>
      </c>
      <c r="W16" s="15">
        <f t="shared" si="5"/>
        <v>6.0682110682110677</v>
      </c>
      <c r="X16" s="15">
        <v>119</v>
      </c>
      <c r="Y16" s="15">
        <v>136.6</v>
      </c>
      <c r="Z16" s="15">
        <v>59.4</v>
      </c>
      <c r="AA16" s="15">
        <v>44.8</v>
      </c>
      <c r="AB16" s="15">
        <v>14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/>
      <c r="AI16" s="15"/>
      <c r="AJ16" s="16"/>
      <c r="AK16" s="18"/>
      <c r="AL16" s="15"/>
      <c r="AM16" s="15"/>
      <c r="AN16" s="15"/>
      <c r="AO16" s="18"/>
      <c r="AP16" s="18"/>
      <c r="AQ16" s="15"/>
      <c r="AR16" s="18"/>
      <c r="AS16" s="1"/>
      <c r="AT16" s="1"/>
      <c r="AU16" s="1"/>
      <c r="AV16" s="1"/>
      <c r="AW16" s="1"/>
      <c r="AX16" s="1"/>
    </row>
    <row r="17" spans="1:50" x14ac:dyDescent="0.25">
      <c r="A17" s="1" t="s">
        <v>65</v>
      </c>
      <c r="B17" s="1" t="s">
        <v>42</v>
      </c>
      <c r="C17" s="1">
        <v>-12</v>
      </c>
      <c r="D17" s="1">
        <v>173</v>
      </c>
      <c r="E17" s="20">
        <f>151+E16</f>
        <v>928</v>
      </c>
      <c r="F17" s="20">
        <f>0+F16</f>
        <v>943</v>
      </c>
      <c r="G17" s="7">
        <v>0.24</v>
      </c>
      <c r="H17" s="1">
        <v>180</v>
      </c>
      <c r="I17" s="1" t="s">
        <v>66</v>
      </c>
      <c r="J17" s="1"/>
      <c r="K17" s="1">
        <v>151</v>
      </c>
      <c r="L17" s="1">
        <f t="shared" si="2"/>
        <v>777</v>
      </c>
      <c r="M17" s="1"/>
      <c r="N17" s="1"/>
      <c r="O17" s="1">
        <v>0</v>
      </c>
      <c r="P17" s="1">
        <f t="shared" si="3"/>
        <v>185.6</v>
      </c>
      <c r="Q17" s="5">
        <v>1655.4</v>
      </c>
      <c r="R17" s="5">
        <f>14*P17-O17-F17+P17*$R$1</f>
        <v>1915.24</v>
      </c>
      <c r="S17" s="5">
        <f>AJ17*AK17+AP17*AJ17</f>
        <v>1848</v>
      </c>
      <c r="T17" s="32"/>
      <c r="U17" s="32"/>
      <c r="V17" s="1">
        <f t="shared" si="4"/>
        <v>15.037715517241379</v>
      </c>
      <c r="W17" s="1">
        <f t="shared" si="5"/>
        <v>5.0808189655172411</v>
      </c>
      <c r="X17" s="1">
        <v>154.4</v>
      </c>
      <c r="Y17" s="1">
        <v>167.2</v>
      </c>
      <c r="Z17" s="1">
        <v>147</v>
      </c>
      <c r="AA17" s="1">
        <v>130.4</v>
      </c>
      <c r="AB17" s="1">
        <v>80.2</v>
      </c>
      <c r="AC17" s="1">
        <v>193.6</v>
      </c>
      <c r="AD17" s="1">
        <v>291.8</v>
      </c>
      <c r="AE17" s="1">
        <v>130</v>
      </c>
      <c r="AF17" s="1">
        <v>224.8</v>
      </c>
      <c r="AG17" s="1">
        <v>220</v>
      </c>
      <c r="AH17" s="1"/>
      <c r="AI17" s="1">
        <f>G17*R17</f>
        <v>459.6576</v>
      </c>
      <c r="AJ17" s="7">
        <v>12</v>
      </c>
      <c r="AK17" s="9">
        <f>MROUND(R17, AJ17*AM17)/AJ17-AP17</f>
        <v>84</v>
      </c>
      <c r="AL17" s="1">
        <f>AK17*AJ17*G17</f>
        <v>241.92</v>
      </c>
      <c r="AM17" s="1">
        <v>14</v>
      </c>
      <c r="AN17" s="1">
        <v>70</v>
      </c>
      <c r="AO17" s="9">
        <f>AK17/AN17</f>
        <v>1.2</v>
      </c>
      <c r="AP17" s="9">
        <v>70</v>
      </c>
      <c r="AQ17" s="1">
        <f>AP17*AJ17*G17</f>
        <v>201.6</v>
      </c>
      <c r="AR17" s="9">
        <f>AP17/AN17</f>
        <v>1</v>
      </c>
      <c r="AS17" s="1"/>
      <c r="AT17" s="1"/>
      <c r="AU17" s="1"/>
      <c r="AV17" s="1"/>
      <c r="AW17" s="1"/>
      <c r="AX17" s="1"/>
    </row>
    <row r="18" spans="1:50" x14ac:dyDescent="0.25">
      <c r="A18" s="21" t="s">
        <v>67</v>
      </c>
      <c r="B18" s="1" t="s">
        <v>42</v>
      </c>
      <c r="C18" s="1">
        <v>-35</v>
      </c>
      <c r="D18" s="1">
        <v>520</v>
      </c>
      <c r="E18" s="1">
        <v>325</v>
      </c>
      <c r="F18" s="1">
        <v>113</v>
      </c>
      <c r="G18" s="7">
        <v>0.24</v>
      </c>
      <c r="H18" s="1">
        <v>180</v>
      </c>
      <c r="I18" s="1" t="s">
        <v>68</v>
      </c>
      <c r="J18" s="1"/>
      <c r="K18" s="1">
        <v>337</v>
      </c>
      <c r="L18" s="1">
        <f t="shared" si="2"/>
        <v>-12</v>
      </c>
      <c r="M18" s="1"/>
      <c r="N18" s="1"/>
      <c r="O18" s="1">
        <v>1176</v>
      </c>
      <c r="P18" s="1">
        <f t="shared" si="3"/>
        <v>65</v>
      </c>
      <c r="Q18" s="5"/>
      <c r="R18" s="5"/>
      <c r="S18" s="5">
        <f>AJ18*AK18</f>
        <v>0</v>
      </c>
      <c r="T18" s="32"/>
      <c r="U18" s="32"/>
      <c r="V18" s="1">
        <f t="shared" si="4"/>
        <v>19.830769230769231</v>
      </c>
      <c r="W18" s="1">
        <f t="shared" si="5"/>
        <v>19.830769230769231</v>
      </c>
      <c r="X18" s="1">
        <v>122.6</v>
      </c>
      <c r="Y18" s="1">
        <v>71.2</v>
      </c>
      <c r="Z18" s="1">
        <v>67.2</v>
      </c>
      <c r="AA18" s="1">
        <v>75.8</v>
      </c>
      <c r="AB18" s="1">
        <v>81.8</v>
      </c>
      <c r="AC18" s="1">
        <v>108.4</v>
      </c>
      <c r="AD18" s="1">
        <v>213</v>
      </c>
      <c r="AE18" s="1">
        <v>127.2</v>
      </c>
      <c r="AF18" s="1">
        <v>175.6</v>
      </c>
      <c r="AG18" s="1">
        <v>141</v>
      </c>
      <c r="AH18" s="1"/>
      <c r="AI18" s="1">
        <f>G18*R18</f>
        <v>0</v>
      </c>
      <c r="AJ18" s="7">
        <v>12</v>
      </c>
      <c r="AK18" s="9">
        <f>MROUND(R18, AJ18*AM18)/AJ18</f>
        <v>0</v>
      </c>
      <c r="AL18" s="1">
        <f>AK18*AJ18*G18</f>
        <v>0</v>
      </c>
      <c r="AM18" s="1">
        <v>14</v>
      </c>
      <c r="AN18" s="1">
        <v>70</v>
      </c>
      <c r="AO18" s="9">
        <f>AK18/AN18</f>
        <v>0</v>
      </c>
      <c r="AP18" s="9"/>
      <c r="AQ18" s="1"/>
      <c r="AR18" s="9"/>
      <c r="AS18" s="1"/>
      <c r="AT18" s="1"/>
      <c r="AU18" s="1"/>
      <c r="AV18" s="1"/>
      <c r="AW18" s="1"/>
      <c r="AX18" s="1"/>
    </row>
    <row r="19" spans="1:50" x14ac:dyDescent="0.25">
      <c r="A19" s="15" t="s">
        <v>69</v>
      </c>
      <c r="B19" s="15" t="s">
        <v>42</v>
      </c>
      <c r="C19" s="15">
        <v>208</v>
      </c>
      <c r="D19" s="15">
        <v>887</v>
      </c>
      <c r="E19" s="20">
        <v>414</v>
      </c>
      <c r="F19" s="20">
        <v>227</v>
      </c>
      <c r="G19" s="16">
        <v>0</v>
      </c>
      <c r="H19" s="15"/>
      <c r="I19" s="15" t="s">
        <v>48</v>
      </c>
      <c r="J19" s="15" t="s">
        <v>44</v>
      </c>
      <c r="K19" s="15">
        <v>469</v>
      </c>
      <c r="L19" s="15">
        <f t="shared" si="2"/>
        <v>-55</v>
      </c>
      <c r="M19" s="15"/>
      <c r="N19" s="15"/>
      <c r="O19" s="15"/>
      <c r="P19" s="15">
        <f t="shared" si="3"/>
        <v>82.8</v>
      </c>
      <c r="Q19" s="17"/>
      <c r="R19" s="17"/>
      <c r="S19" s="17"/>
      <c r="T19" s="31"/>
      <c r="U19" s="32"/>
      <c r="V19" s="15">
        <f t="shared" si="4"/>
        <v>2.7415458937198069</v>
      </c>
      <c r="W19" s="15">
        <f t="shared" si="5"/>
        <v>2.7415458937198069</v>
      </c>
      <c r="X19" s="15">
        <v>116.6</v>
      </c>
      <c r="Y19" s="15">
        <v>76.2</v>
      </c>
      <c r="Z19" s="15">
        <v>60.4</v>
      </c>
      <c r="AA19" s="15">
        <v>42.8</v>
      </c>
      <c r="AB19" s="15">
        <v>13.8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/>
      <c r="AI19" s="15"/>
      <c r="AJ19" s="16"/>
      <c r="AK19" s="18"/>
      <c r="AL19" s="15"/>
      <c r="AM19" s="15"/>
      <c r="AN19" s="15"/>
      <c r="AO19" s="18"/>
      <c r="AP19" s="18"/>
      <c r="AQ19" s="15"/>
      <c r="AR19" s="18"/>
      <c r="AS19" s="1"/>
      <c r="AT19" s="1"/>
      <c r="AU19" s="1"/>
      <c r="AV19" s="1"/>
      <c r="AW19" s="1"/>
      <c r="AX19" s="1"/>
    </row>
    <row r="20" spans="1:50" x14ac:dyDescent="0.25">
      <c r="A20" s="15" t="s">
        <v>70</v>
      </c>
      <c r="B20" s="15" t="s">
        <v>42</v>
      </c>
      <c r="C20" s="15">
        <v>546</v>
      </c>
      <c r="D20" s="15">
        <v>126</v>
      </c>
      <c r="E20" s="20">
        <v>342</v>
      </c>
      <c r="F20" s="20">
        <v>292</v>
      </c>
      <c r="G20" s="16">
        <v>0</v>
      </c>
      <c r="H20" s="15">
        <v>180</v>
      </c>
      <c r="I20" s="15" t="s">
        <v>48</v>
      </c>
      <c r="J20" s="15" t="s">
        <v>71</v>
      </c>
      <c r="K20" s="15">
        <v>358</v>
      </c>
      <c r="L20" s="15">
        <f t="shared" si="2"/>
        <v>-16</v>
      </c>
      <c r="M20" s="15"/>
      <c r="N20" s="15"/>
      <c r="O20" s="15"/>
      <c r="P20" s="15">
        <f t="shared" si="3"/>
        <v>68.400000000000006</v>
      </c>
      <c r="Q20" s="17"/>
      <c r="R20" s="17"/>
      <c r="S20" s="17"/>
      <c r="T20" s="31"/>
      <c r="U20" s="32"/>
      <c r="V20" s="15">
        <f t="shared" si="4"/>
        <v>4.269005847953216</v>
      </c>
      <c r="W20" s="15">
        <f t="shared" si="5"/>
        <v>4.269005847953216</v>
      </c>
      <c r="X20" s="15">
        <v>70.2</v>
      </c>
      <c r="Y20" s="15">
        <v>73.2</v>
      </c>
      <c r="Z20" s="15">
        <v>22.8</v>
      </c>
      <c r="AA20" s="15">
        <v>15.6</v>
      </c>
      <c r="AB20" s="15">
        <v>12</v>
      </c>
      <c r="AC20" s="15">
        <v>0.6</v>
      </c>
      <c r="AD20" s="15">
        <v>0</v>
      </c>
      <c r="AE20" s="15">
        <v>0</v>
      </c>
      <c r="AF20" s="15">
        <v>0</v>
      </c>
      <c r="AG20" s="15">
        <v>0</v>
      </c>
      <c r="AH20" s="15"/>
      <c r="AI20" s="15"/>
      <c r="AJ20" s="16"/>
      <c r="AK20" s="18"/>
      <c r="AL20" s="15"/>
      <c r="AM20" s="15"/>
      <c r="AN20" s="15"/>
      <c r="AO20" s="18"/>
      <c r="AP20" s="18"/>
      <c r="AQ20" s="15"/>
      <c r="AR20" s="18"/>
      <c r="AS20" s="1"/>
      <c r="AT20" s="1"/>
      <c r="AU20" s="1"/>
      <c r="AV20" s="1"/>
      <c r="AW20" s="1"/>
      <c r="AX20" s="1"/>
    </row>
    <row r="21" spans="1:50" x14ac:dyDescent="0.25">
      <c r="A21" s="21" t="s">
        <v>44</v>
      </c>
      <c r="B21" s="1" t="s">
        <v>42</v>
      </c>
      <c r="C21" s="1">
        <v>-6</v>
      </c>
      <c r="D21" s="1">
        <v>94</v>
      </c>
      <c r="E21" s="20">
        <f>67+E6+E19</f>
        <v>597</v>
      </c>
      <c r="F21" s="20">
        <f>-3+F6+F19</f>
        <v>249</v>
      </c>
      <c r="G21" s="7">
        <v>0.24</v>
      </c>
      <c r="H21" s="1">
        <v>180</v>
      </c>
      <c r="I21" s="1" t="s">
        <v>72</v>
      </c>
      <c r="J21" s="1"/>
      <c r="K21" s="1">
        <v>74</v>
      </c>
      <c r="L21" s="1">
        <f t="shared" si="2"/>
        <v>523</v>
      </c>
      <c r="M21" s="1"/>
      <c r="N21" s="1"/>
      <c r="O21" s="1">
        <v>1344</v>
      </c>
      <c r="P21" s="1">
        <f t="shared" si="3"/>
        <v>119.4</v>
      </c>
      <c r="Q21" s="5">
        <v>138.30000000000018</v>
      </c>
      <c r="R21" s="5">
        <f>14*P21-O21-F21+P21*$R$1</f>
        <v>245.76000000000013</v>
      </c>
      <c r="S21" s="5">
        <f t="shared" ref="S21:S23" si="10">AJ21*AK21+AP21*AJ21</f>
        <v>168</v>
      </c>
      <c r="T21" s="32"/>
      <c r="U21" s="32"/>
      <c r="V21" s="1">
        <f t="shared" si="4"/>
        <v>14.748743718592964</v>
      </c>
      <c r="W21" s="1">
        <f t="shared" si="5"/>
        <v>13.341708542713567</v>
      </c>
      <c r="X21" s="1">
        <v>161.80000000000001</v>
      </c>
      <c r="Y21" s="1">
        <v>107.4</v>
      </c>
      <c r="Z21" s="1">
        <v>133.4</v>
      </c>
      <c r="AA21" s="1">
        <v>125.4</v>
      </c>
      <c r="AB21" s="1">
        <v>87.6</v>
      </c>
      <c r="AC21" s="1">
        <v>136</v>
      </c>
      <c r="AD21" s="1">
        <v>211.8</v>
      </c>
      <c r="AE21" s="1">
        <v>99.8</v>
      </c>
      <c r="AF21" s="1">
        <v>155.80000000000001</v>
      </c>
      <c r="AG21" s="1">
        <v>138.19999999999999</v>
      </c>
      <c r="AH21" s="1"/>
      <c r="AI21" s="1">
        <f t="shared" ref="AI21:AI26" si="11">G21*R21</f>
        <v>58.982400000000027</v>
      </c>
      <c r="AJ21" s="7">
        <v>12</v>
      </c>
      <c r="AK21" s="9">
        <f t="shared" ref="AK21:AK23" si="12">MROUND(R21, AJ21*AM21)/AJ21-AP21</f>
        <v>14</v>
      </c>
      <c r="AL21" s="1">
        <f t="shared" ref="AL21:AL26" si="13">AK21*AJ21*G21</f>
        <v>40.32</v>
      </c>
      <c r="AM21" s="1">
        <v>14</v>
      </c>
      <c r="AN21" s="1">
        <v>70</v>
      </c>
      <c r="AO21" s="9">
        <f t="shared" ref="AO21:AO26" si="14">AK21/AN21</f>
        <v>0.2</v>
      </c>
      <c r="AP21" s="9"/>
      <c r="AQ21" s="1">
        <f t="shared" ref="AQ21:AQ23" si="15">AP21*AJ21*G21</f>
        <v>0</v>
      </c>
      <c r="AR21" s="9">
        <f t="shared" ref="AR21:AR23" si="16">AP21/AN21</f>
        <v>0</v>
      </c>
      <c r="AS21" s="1"/>
      <c r="AT21" s="1"/>
      <c r="AU21" s="1"/>
      <c r="AV21" s="1"/>
      <c r="AW21" s="1"/>
      <c r="AX21" s="1"/>
    </row>
    <row r="22" spans="1:50" x14ac:dyDescent="0.25">
      <c r="A22" s="21" t="s">
        <v>71</v>
      </c>
      <c r="B22" s="1" t="s">
        <v>42</v>
      </c>
      <c r="C22" s="1"/>
      <c r="D22" s="1"/>
      <c r="E22" s="20">
        <f>0+E20</f>
        <v>342</v>
      </c>
      <c r="F22" s="20">
        <f>0+F20</f>
        <v>292</v>
      </c>
      <c r="G22" s="7">
        <v>0.48</v>
      </c>
      <c r="H22" s="1">
        <v>180</v>
      </c>
      <c r="I22" s="1" t="s">
        <v>73</v>
      </c>
      <c r="J22" s="1"/>
      <c r="K22" s="1"/>
      <c r="L22" s="1">
        <f t="shared" si="2"/>
        <v>342</v>
      </c>
      <c r="M22" s="1"/>
      <c r="N22" s="1"/>
      <c r="O22" s="1">
        <v>336</v>
      </c>
      <c r="P22" s="1">
        <f t="shared" si="3"/>
        <v>68.400000000000006</v>
      </c>
      <c r="Q22" s="5">
        <v>329.60000000000014</v>
      </c>
      <c r="R22" s="5">
        <f t="shared" ref="R22:R26" si="17">14*P22-O22-F22</f>
        <v>329.60000000000014</v>
      </c>
      <c r="S22" s="5">
        <f t="shared" si="10"/>
        <v>336</v>
      </c>
      <c r="T22" s="32"/>
      <c r="U22" s="32"/>
      <c r="V22" s="1">
        <f t="shared" si="4"/>
        <v>14.093567251461987</v>
      </c>
      <c r="W22" s="1">
        <f t="shared" si="5"/>
        <v>9.1812865497076022</v>
      </c>
      <c r="X22" s="1">
        <v>70.2</v>
      </c>
      <c r="Y22" s="1">
        <v>73.599999999999994</v>
      </c>
      <c r="Z22" s="1">
        <v>45.6</v>
      </c>
      <c r="AA22" s="1">
        <v>44.8</v>
      </c>
      <c r="AB22" s="1">
        <v>34.6</v>
      </c>
      <c r="AC22" s="1">
        <v>28.2</v>
      </c>
      <c r="AD22" s="1">
        <v>130</v>
      </c>
      <c r="AE22" s="1">
        <v>84.6</v>
      </c>
      <c r="AF22" s="1">
        <v>85.6</v>
      </c>
      <c r="AG22" s="1">
        <v>42.8</v>
      </c>
      <c r="AH22" s="1"/>
      <c r="AI22" s="1">
        <f t="shared" si="11"/>
        <v>158.20800000000006</v>
      </c>
      <c r="AJ22" s="7">
        <v>8</v>
      </c>
      <c r="AK22" s="9">
        <f t="shared" si="12"/>
        <v>42</v>
      </c>
      <c r="AL22" s="1">
        <f t="shared" si="13"/>
        <v>161.28</v>
      </c>
      <c r="AM22" s="1">
        <v>14</v>
      </c>
      <c r="AN22" s="1">
        <v>70</v>
      </c>
      <c r="AO22" s="9">
        <f t="shared" si="14"/>
        <v>0.6</v>
      </c>
      <c r="AP22" s="9"/>
      <c r="AQ22" s="1">
        <f t="shared" si="15"/>
        <v>0</v>
      </c>
      <c r="AR22" s="9">
        <f t="shared" si="16"/>
        <v>0</v>
      </c>
      <c r="AS22" s="1"/>
      <c r="AT22" s="1"/>
      <c r="AU22" s="1"/>
      <c r="AV22" s="1"/>
      <c r="AW22" s="1"/>
      <c r="AX22" s="1"/>
    </row>
    <row r="23" spans="1:50" x14ac:dyDescent="0.25">
      <c r="A23" s="21" t="s">
        <v>74</v>
      </c>
      <c r="B23" s="1" t="s">
        <v>42</v>
      </c>
      <c r="C23" s="1">
        <v>1220</v>
      </c>
      <c r="D23" s="1">
        <v>718</v>
      </c>
      <c r="E23" s="1">
        <v>1053</v>
      </c>
      <c r="F23" s="1">
        <v>804</v>
      </c>
      <c r="G23" s="7">
        <v>0.09</v>
      </c>
      <c r="H23" s="1">
        <v>180</v>
      </c>
      <c r="I23" s="1" t="s">
        <v>75</v>
      </c>
      <c r="J23" s="1"/>
      <c r="K23" s="1">
        <v>1104</v>
      </c>
      <c r="L23" s="1">
        <f t="shared" si="2"/>
        <v>-51</v>
      </c>
      <c r="M23" s="1"/>
      <c r="N23" s="1"/>
      <c r="O23" s="1">
        <v>336</v>
      </c>
      <c r="P23" s="1">
        <f t="shared" si="3"/>
        <v>210.6</v>
      </c>
      <c r="Q23" s="5">
        <v>1808.4</v>
      </c>
      <c r="R23" s="5">
        <f>14*P23-O23-F23+P23*$R$1</f>
        <v>2103.2400000000002</v>
      </c>
      <c r="S23" s="5">
        <f t="shared" si="10"/>
        <v>2016</v>
      </c>
      <c r="T23" s="32"/>
      <c r="U23" s="32"/>
      <c r="V23" s="1">
        <f t="shared" si="4"/>
        <v>14.985754985754987</v>
      </c>
      <c r="W23" s="1">
        <f t="shared" si="5"/>
        <v>5.4131054131054128</v>
      </c>
      <c r="X23" s="1">
        <v>160.19999999999999</v>
      </c>
      <c r="Y23" s="1">
        <v>173.4</v>
      </c>
      <c r="Z23" s="1">
        <v>201</v>
      </c>
      <c r="AA23" s="1">
        <v>236.2</v>
      </c>
      <c r="AB23" s="1">
        <v>153</v>
      </c>
      <c r="AC23" s="1">
        <v>114.4</v>
      </c>
      <c r="AD23" s="1">
        <v>151.4</v>
      </c>
      <c r="AE23" s="1">
        <v>219.8</v>
      </c>
      <c r="AF23" s="1">
        <v>133.6</v>
      </c>
      <c r="AG23" s="1">
        <v>125.8</v>
      </c>
      <c r="AH23" s="1"/>
      <c r="AI23" s="1">
        <f t="shared" si="11"/>
        <v>189.29160000000002</v>
      </c>
      <c r="AJ23" s="7">
        <v>24</v>
      </c>
      <c r="AK23" s="9">
        <f t="shared" si="12"/>
        <v>84</v>
      </c>
      <c r="AL23" s="1">
        <f t="shared" si="13"/>
        <v>181.44</v>
      </c>
      <c r="AM23" s="1">
        <v>14</v>
      </c>
      <c r="AN23" s="1">
        <v>126</v>
      </c>
      <c r="AO23" s="9">
        <f t="shared" si="14"/>
        <v>0.66666666666666663</v>
      </c>
      <c r="AP23" s="9"/>
      <c r="AQ23" s="1">
        <f t="shared" si="15"/>
        <v>0</v>
      </c>
      <c r="AR23" s="9">
        <f t="shared" si="16"/>
        <v>0</v>
      </c>
      <c r="AS23" s="1"/>
      <c r="AT23" s="1"/>
      <c r="AU23" s="1"/>
      <c r="AV23" s="1"/>
      <c r="AW23" s="1"/>
      <c r="AX23" s="1"/>
    </row>
    <row r="24" spans="1:50" x14ac:dyDescent="0.25">
      <c r="A24" s="21" t="s">
        <v>76</v>
      </c>
      <c r="B24" s="1" t="s">
        <v>42</v>
      </c>
      <c r="C24" s="1">
        <v>-3</v>
      </c>
      <c r="D24" s="1"/>
      <c r="E24" s="1"/>
      <c r="F24" s="1">
        <v>-3</v>
      </c>
      <c r="G24" s="7">
        <v>0.36</v>
      </c>
      <c r="H24" s="1">
        <v>180</v>
      </c>
      <c r="I24" s="1" t="s">
        <v>77</v>
      </c>
      <c r="J24" s="1"/>
      <c r="K24" s="1">
        <v>33</v>
      </c>
      <c r="L24" s="1">
        <f t="shared" si="2"/>
        <v>-33</v>
      </c>
      <c r="M24" s="1"/>
      <c r="N24" s="1"/>
      <c r="O24" s="1">
        <v>0</v>
      </c>
      <c r="P24" s="1">
        <f t="shared" si="3"/>
        <v>0</v>
      </c>
      <c r="Q24" s="23">
        <v>0</v>
      </c>
      <c r="R24" s="23">
        <v>0</v>
      </c>
      <c r="S24" s="23">
        <f t="shared" ref="S21:S26" si="18">AJ24*AK24</f>
        <v>0</v>
      </c>
      <c r="T24" s="33"/>
      <c r="U24" s="32"/>
      <c r="V24" s="1" t="e">
        <f t="shared" si="4"/>
        <v>#DIV/0!</v>
      </c>
      <c r="W24" s="1" t="e">
        <f t="shared" si="5"/>
        <v>#DIV/0!</v>
      </c>
      <c r="X24" s="1">
        <v>0</v>
      </c>
      <c r="Y24" s="1">
        <v>0.4</v>
      </c>
      <c r="Z24" s="1">
        <v>22</v>
      </c>
      <c r="AA24" s="1">
        <v>28.6</v>
      </c>
      <c r="AB24" s="1">
        <v>28.4</v>
      </c>
      <c r="AC24" s="1">
        <v>25.8</v>
      </c>
      <c r="AD24" s="1">
        <v>7.6</v>
      </c>
      <c r="AE24" s="1">
        <v>17.8</v>
      </c>
      <c r="AF24" s="1">
        <v>33</v>
      </c>
      <c r="AG24" s="1">
        <v>26</v>
      </c>
      <c r="AH24" s="14" t="s">
        <v>78</v>
      </c>
      <c r="AI24" s="1">
        <f t="shared" si="11"/>
        <v>0</v>
      </c>
      <c r="AJ24" s="7">
        <v>10</v>
      </c>
      <c r="AK24" s="9">
        <f t="shared" ref="AK21:AK26" si="19">MROUND(R24, AJ24*AM24)/AJ24</f>
        <v>0</v>
      </c>
      <c r="AL24" s="1">
        <f t="shared" si="13"/>
        <v>0</v>
      </c>
      <c r="AM24" s="1">
        <v>14</v>
      </c>
      <c r="AN24" s="1">
        <v>70</v>
      </c>
      <c r="AO24" s="9">
        <f t="shared" si="14"/>
        <v>0</v>
      </c>
      <c r="AP24" s="9"/>
      <c r="AQ24" s="1"/>
      <c r="AR24" s="9"/>
      <c r="AS24" s="1"/>
      <c r="AT24" s="1"/>
      <c r="AU24" s="1"/>
      <c r="AV24" s="1"/>
      <c r="AW24" s="1"/>
      <c r="AX24" s="1"/>
    </row>
    <row r="25" spans="1:50" x14ac:dyDescent="0.25">
      <c r="A25" s="21" t="s">
        <v>79</v>
      </c>
      <c r="B25" s="1" t="s">
        <v>42</v>
      </c>
      <c r="C25" s="1">
        <v>380</v>
      </c>
      <c r="D25" s="1">
        <v>20</v>
      </c>
      <c r="E25" s="1">
        <v>230</v>
      </c>
      <c r="F25" s="1">
        <v>148</v>
      </c>
      <c r="G25" s="7">
        <v>0.2</v>
      </c>
      <c r="H25" s="1">
        <v>180</v>
      </c>
      <c r="I25" s="1" t="s">
        <v>80</v>
      </c>
      <c r="J25" s="1"/>
      <c r="K25" s="1">
        <v>244</v>
      </c>
      <c r="L25" s="1">
        <f t="shared" si="2"/>
        <v>-14</v>
      </c>
      <c r="M25" s="1"/>
      <c r="N25" s="1"/>
      <c r="O25" s="1">
        <v>504</v>
      </c>
      <c r="P25" s="1">
        <f t="shared" si="3"/>
        <v>46</v>
      </c>
      <c r="Q25" s="5"/>
      <c r="R25" s="5"/>
      <c r="S25" s="5">
        <f t="shared" si="18"/>
        <v>0</v>
      </c>
      <c r="T25" s="32"/>
      <c r="U25" s="32"/>
      <c r="V25" s="1">
        <f t="shared" si="4"/>
        <v>14.173913043478262</v>
      </c>
      <c r="W25" s="1">
        <f t="shared" si="5"/>
        <v>14.173913043478262</v>
      </c>
      <c r="X25" s="1">
        <v>65.599999999999994</v>
      </c>
      <c r="Y25" s="1">
        <v>48.2</v>
      </c>
      <c r="Z25" s="1">
        <v>66</v>
      </c>
      <c r="AA25" s="1">
        <v>76.2</v>
      </c>
      <c r="AB25" s="1">
        <v>34.4</v>
      </c>
      <c r="AC25" s="1">
        <v>75</v>
      </c>
      <c r="AD25" s="1">
        <v>132.80000000000001</v>
      </c>
      <c r="AE25" s="1">
        <v>56.6</v>
      </c>
      <c r="AF25" s="1">
        <v>88.2</v>
      </c>
      <c r="AG25" s="1">
        <v>71</v>
      </c>
      <c r="AH25" s="1"/>
      <c r="AI25" s="1">
        <f t="shared" si="11"/>
        <v>0</v>
      </c>
      <c r="AJ25" s="7">
        <v>12</v>
      </c>
      <c r="AK25" s="9">
        <f t="shared" si="19"/>
        <v>0</v>
      </c>
      <c r="AL25" s="1">
        <f t="shared" si="13"/>
        <v>0</v>
      </c>
      <c r="AM25" s="1">
        <v>14</v>
      </c>
      <c r="AN25" s="1">
        <v>70</v>
      </c>
      <c r="AO25" s="9">
        <f t="shared" si="14"/>
        <v>0</v>
      </c>
      <c r="AP25" s="9"/>
      <c r="AQ25" s="1"/>
      <c r="AR25" s="9"/>
      <c r="AS25" s="1"/>
      <c r="AT25" s="1"/>
      <c r="AU25" s="1"/>
      <c r="AV25" s="1"/>
      <c r="AW25" s="1"/>
      <c r="AX25" s="1"/>
    </row>
    <row r="26" spans="1:50" x14ac:dyDescent="0.25">
      <c r="A26" s="21" t="s">
        <v>81</v>
      </c>
      <c r="B26" s="1" t="s">
        <v>42</v>
      </c>
      <c r="C26" s="1">
        <v>876</v>
      </c>
      <c r="D26" s="1">
        <v>350</v>
      </c>
      <c r="E26" s="1">
        <v>713</v>
      </c>
      <c r="F26" s="1">
        <v>385</v>
      </c>
      <c r="G26" s="7">
        <v>0.2</v>
      </c>
      <c r="H26" s="1">
        <v>180</v>
      </c>
      <c r="I26" s="1" t="s">
        <v>82</v>
      </c>
      <c r="J26" s="1"/>
      <c r="K26" s="1">
        <v>731</v>
      </c>
      <c r="L26" s="1">
        <f t="shared" si="2"/>
        <v>-18</v>
      </c>
      <c r="M26" s="1"/>
      <c r="N26" s="1"/>
      <c r="O26" s="1">
        <v>1176</v>
      </c>
      <c r="P26" s="1">
        <f t="shared" si="3"/>
        <v>142.6</v>
      </c>
      <c r="Q26" s="5">
        <v>435.39999999999986</v>
      </c>
      <c r="R26" s="5">
        <f>14*P26-O26-F26+P26*$R$1</f>
        <v>635.03999999999985</v>
      </c>
      <c r="S26" s="5">
        <f>AJ26*AK26+AP26*AJ26</f>
        <v>672</v>
      </c>
      <c r="T26" s="32"/>
      <c r="U26" s="32"/>
      <c r="V26" s="1">
        <f t="shared" si="4"/>
        <v>15.659186535764377</v>
      </c>
      <c r="W26" s="1">
        <f t="shared" si="5"/>
        <v>10.946704067321178</v>
      </c>
      <c r="X26" s="1">
        <v>165</v>
      </c>
      <c r="Y26" s="1">
        <v>123.6</v>
      </c>
      <c r="Z26" s="1">
        <v>169.6</v>
      </c>
      <c r="AA26" s="1">
        <v>189.4</v>
      </c>
      <c r="AB26" s="1">
        <v>124</v>
      </c>
      <c r="AC26" s="1">
        <v>163.80000000000001</v>
      </c>
      <c r="AD26" s="1">
        <v>277.60000000000002</v>
      </c>
      <c r="AE26" s="1">
        <v>113</v>
      </c>
      <c r="AF26" s="1">
        <v>187.8</v>
      </c>
      <c r="AG26" s="1">
        <v>166.2</v>
      </c>
      <c r="AH26" s="1"/>
      <c r="AI26" s="1">
        <f t="shared" si="11"/>
        <v>127.00799999999998</v>
      </c>
      <c r="AJ26" s="7">
        <v>12</v>
      </c>
      <c r="AK26" s="9">
        <f>MROUND(R26, AJ26*AM26)/AJ26-AP26</f>
        <v>56</v>
      </c>
      <c r="AL26" s="1">
        <f t="shared" si="13"/>
        <v>134.4</v>
      </c>
      <c r="AM26" s="1">
        <v>14</v>
      </c>
      <c r="AN26" s="1">
        <v>70</v>
      </c>
      <c r="AO26" s="9">
        <f t="shared" si="14"/>
        <v>0.8</v>
      </c>
      <c r="AP26" s="9"/>
      <c r="AQ26" s="1">
        <f>AP26*AJ26*G26</f>
        <v>0</v>
      </c>
      <c r="AR26" s="9">
        <f>AP26/AN26</f>
        <v>0</v>
      </c>
      <c r="AS26" s="1"/>
      <c r="AT26" s="1"/>
      <c r="AU26" s="1"/>
      <c r="AV26" s="1"/>
      <c r="AW26" s="1"/>
      <c r="AX26" s="1"/>
    </row>
    <row r="27" spans="1:50" x14ac:dyDescent="0.25">
      <c r="A27" s="15" t="s">
        <v>83</v>
      </c>
      <c r="B27" s="15" t="s">
        <v>42</v>
      </c>
      <c r="C27" s="15">
        <v>-12</v>
      </c>
      <c r="D27" s="15"/>
      <c r="E27" s="15"/>
      <c r="F27" s="20">
        <v>-12</v>
      </c>
      <c r="G27" s="16">
        <v>0</v>
      </c>
      <c r="H27" s="15"/>
      <c r="I27" s="15" t="s">
        <v>48</v>
      </c>
      <c r="J27" s="15" t="s">
        <v>53</v>
      </c>
      <c r="K27" s="15"/>
      <c r="L27" s="15">
        <f t="shared" si="2"/>
        <v>0</v>
      </c>
      <c r="M27" s="15"/>
      <c r="N27" s="15"/>
      <c r="O27" s="15"/>
      <c r="P27" s="15">
        <f t="shared" si="3"/>
        <v>0</v>
      </c>
      <c r="Q27" s="17"/>
      <c r="R27" s="17"/>
      <c r="S27" s="17"/>
      <c r="T27" s="31"/>
      <c r="U27" s="32"/>
      <c r="V27" s="15" t="e">
        <f t="shared" si="4"/>
        <v>#DIV/0!</v>
      </c>
      <c r="W27" s="15" t="e">
        <f t="shared" si="5"/>
        <v>#DIV/0!</v>
      </c>
      <c r="X27" s="15">
        <v>0</v>
      </c>
      <c r="Y27" s="15">
        <v>2.4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/>
      <c r="AI27" s="15"/>
      <c r="AJ27" s="16"/>
      <c r="AK27" s="18"/>
      <c r="AL27" s="15"/>
      <c r="AM27" s="15"/>
      <c r="AN27" s="15"/>
      <c r="AO27" s="18"/>
      <c r="AP27" s="18"/>
      <c r="AQ27" s="15"/>
      <c r="AR27" s="18"/>
      <c r="AS27" s="1"/>
      <c r="AT27" s="1"/>
      <c r="AU27" s="1"/>
      <c r="AV27" s="1"/>
      <c r="AW27" s="1"/>
      <c r="AX27" s="1"/>
    </row>
    <row r="28" spans="1:50" x14ac:dyDescent="0.25">
      <c r="A28" s="22" t="s">
        <v>53</v>
      </c>
      <c r="B28" s="1" t="s">
        <v>42</v>
      </c>
      <c r="C28" s="1">
        <v>534</v>
      </c>
      <c r="D28" s="1">
        <v>401</v>
      </c>
      <c r="E28" s="20">
        <f>569+E10</f>
        <v>576</v>
      </c>
      <c r="F28" s="20">
        <f>284+F10+F27</f>
        <v>433</v>
      </c>
      <c r="G28" s="7">
        <v>0.2</v>
      </c>
      <c r="H28" s="1">
        <v>180</v>
      </c>
      <c r="I28" s="1" t="s">
        <v>84</v>
      </c>
      <c r="J28" s="1"/>
      <c r="K28" s="1">
        <v>636</v>
      </c>
      <c r="L28" s="1">
        <f t="shared" si="2"/>
        <v>-60</v>
      </c>
      <c r="M28" s="1"/>
      <c r="N28" s="1"/>
      <c r="O28" s="1">
        <v>672</v>
      </c>
      <c r="P28" s="1">
        <f t="shared" si="3"/>
        <v>115.2</v>
      </c>
      <c r="Q28" s="5">
        <v>507.79999999999995</v>
      </c>
      <c r="R28" s="5">
        <f>14*P28-O28-F28+P28*$R$1</f>
        <v>669.07999999999993</v>
      </c>
      <c r="S28" s="5">
        <f t="shared" ref="S28:S30" si="20">AJ28*AK28+AP28*AJ28</f>
        <v>672</v>
      </c>
      <c r="T28" s="32"/>
      <c r="U28" s="32"/>
      <c r="V28" s="1">
        <f t="shared" si="4"/>
        <v>15.425347222222221</v>
      </c>
      <c r="W28" s="1">
        <f t="shared" si="5"/>
        <v>9.5920138888888893</v>
      </c>
      <c r="X28" s="1">
        <v>121.2</v>
      </c>
      <c r="Y28" s="1">
        <v>105.4</v>
      </c>
      <c r="Z28" s="1">
        <v>107.8</v>
      </c>
      <c r="AA28" s="1">
        <v>134.4</v>
      </c>
      <c r="AB28" s="1">
        <v>105.2</v>
      </c>
      <c r="AC28" s="1">
        <v>117</v>
      </c>
      <c r="AD28" s="1">
        <v>248.2</v>
      </c>
      <c r="AE28" s="1">
        <v>107.2</v>
      </c>
      <c r="AF28" s="1">
        <v>241.8</v>
      </c>
      <c r="AG28" s="1">
        <v>115.8</v>
      </c>
      <c r="AH28" s="1"/>
      <c r="AI28" s="1">
        <f t="shared" ref="AI28:AI33" si="21">G28*R28</f>
        <v>133.816</v>
      </c>
      <c r="AJ28" s="7">
        <v>12</v>
      </c>
      <c r="AK28" s="9">
        <f t="shared" ref="AK28:AK30" si="22">MROUND(R28, AJ28*AM28)/AJ28-AP28</f>
        <v>56</v>
      </c>
      <c r="AL28" s="1">
        <f t="shared" ref="AL28:AL33" si="23">AK28*AJ28*G28</f>
        <v>134.4</v>
      </c>
      <c r="AM28" s="1">
        <v>14</v>
      </c>
      <c r="AN28" s="1">
        <v>70</v>
      </c>
      <c r="AO28" s="9">
        <f t="shared" ref="AO28:AO33" si="24">AK28/AN28</f>
        <v>0.8</v>
      </c>
      <c r="AP28" s="9"/>
      <c r="AQ28" s="1">
        <f t="shared" ref="AQ28:AQ30" si="25">AP28*AJ28*G28</f>
        <v>0</v>
      </c>
      <c r="AR28" s="9">
        <f t="shared" ref="AR28:AR30" si="26">AP28/AN28</f>
        <v>0</v>
      </c>
      <c r="AS28" s="1"/>
      <c r="AT28" s="1"/>
      <c r="AU28" s="1"/>
      <c r="AV28" s="1"/>
      <c r="AW28" s="1"/>
      <c r="AX28" s="1"/>
    </row>
    <row r="29" spans="1:50" x14ac:dyDescent="0.25">
      <c r="A29" s="21" t="s">
        <v>85</v>
      </c>
      <c r="B29" s="1" t="s">
        <v>86</v>
      </c>
      <c r="C29" s="1">
        <v>216.3</v>
      </c>
      <c r="D29" s="1">
        <v>51.8</v>
      </c>
      <c r="E29" s="1">
        <v>273.8</v>
      </c>
      <c r="F29" s="1">
        <v>-9.4</v>
      </c>
      <c r="G29" s="7">
        <v>1</v>
      </c>
      <c r="H29" s="1"/>
      <c r="I29" s="1" t="s">
        <v>87</v>
      </c>
      <c r="J29" s="1"/>
      <c r="K29" s="1">
        <v>295.10000000000002</v>
      </c>
      <c r="L29" s="1">
        <f t="shared" si="2"/>
        <v>-21.300000000000011</v>
      </c>
      <c r="M29" s="1"/>
      <c r="N29" s="1"/>
      <c r="O29" s="1">
        <v>466.2</v>
      </c>
      <c r="P29" s="1">
        <f t="shared" si="3"/>
        <v>54.760000000000005</v>
      </c>
      <c r="Q29" s="5">
        <v>309.84000000000009</v>
      </c>
      <c r="R29" s="5">
        <f>T29</f>
        <v>650</v>
      </c>
      <c r="S29" s="5">
        <f t="shared" si="20"/>
        <v>673.40000000000009</v>
      </c>
      <c r="T29" s="32">
        <v>650</v>
      </c>
      <c r="U29" s="32" t="str">
        <f>VLOOKUP(A29,[1]Лист1!$A:$B,2,0)</f>
        <v>до 650 кг</v>
      </c>
      <c r="V29" s="1">
        <f t="shared" si="4"/>
        <v>20.639152666179694</v>
      </c>
      <c r="W29" s="1">
        <f t="shared" si="5"/>
        <v>8.3418553688823955</v>
      </c>
      <c r="X29" s="1">
        <v>50.44</v>
      </c>
      <c r="Y29" s="1">
        <v>37.64</v>
      </c>
      <c r="Z29" s="1">
        <v>50.6</v>
      </c>
      <c r="AA29" s="1">
        <v>37.760000000000012</v>
      </c>
      <c r="AB29" s="1">
        <v>30.32</v>
      </c>
      <c r="AC29" s="1">
        <v>45.56</v>
      </c>
      <c r="AD29" s="1">
        <v>23</v>
      </c>
      <c r="AE29" s="1">
        <v>21</v>
      </c>
      <c r="AF29" s="1">
        <v>0</v>
      </c>
      <c r="AG29" s="1">
        <v>0</v>
      </c>
      <c r="AH29" s="1"/>
      <c r="AI29" s="1">
        <f t="shared" si="21"/>
        <v>650</v>
      </c>
      <c r="AJ29" s="7">
        <v>3.7</v>
      </c>
      <c r="AK29" s="9">
        <f t="shared" si="22"/>
        <v>56.000000000000028</v>
      </c>
      <c r="AL29" s="1">
        <f t="shared" si="23"/>
        <v>207.2000000000001</v>
      </c>
      <c r="AM29" s="1">
        <v>14</v>
      </c>
      <c r="AN29" s="1">
        <v>126</v>
      </c>
      <c r="AO29" s="9">
        <f t="shared" si="24"/>
        <v>0.4444444444444447</v>
      </c>
      <c r="AP29" s="9">
        <v>126</v>
      </c>
      <c r="AQ29" s="1">
        <f t="shared" si="25"/>
        <v>466.20000000000005</v>
      </c>
      <c r="AR29" s="9">
        <f t="shared" si="26"/>
        <v>1</v>
      </c>
      <c r="AS29" s="1"/>
      <c r="AT29" s="1"/>
      <c r="AU29" s="1"/>
      <c r="AV29" s="1"/>
      <c r="AW29" s="1"/>
      <c r="AX29" s="1"/>
    </row>
    <row r="30" spans="1:50" x14ac:dyDescent="0.25">
      <c r="A30" s="21" t="s">
        <v>88</v>
      </c>
      <c r="B30" s="1" t="s">
        <v>86</v>
      </c>
      <c r="C30" s="1">
        <v>72</v>
      </c>
      <c r="D30" s="1">
        <v>137.5</v>
      </c>
      <c r="E30" s="1">
        <v>119.5</v>
      </c>
      <c r="F30" s="1">
        <v>79.5</v>
      </c>
      <c r="G30" s="7">
        <v>1</v>
      </c>
      <c r="H30" s="1">
        <v>180</v>
      </c>
      <c r="I30" s="1" t="s">
        <v>89</v>
      </c>
      <c r="J30" s="1"/>
      <c r="K30" s="1">
        <v>135.5</v>
      </c>
      <c r="L30" s="1">
        <f t="shared" si="2"/>
        <v>-16</v>
      </c>
      <c r="M30" s="1"/>
      <c r="N30" s="1"/>
      <c r="O30" s="1">
        <v>66</v>
      </c>
      <c r="P30" s="1">
        <f t="shared" si="3"/>
        <v>23.9</v>
      </c>
      <c r="Q30" s="5">
        <v>189.09999999999997</v>
      </c>
      <c r="R30" s="5">
        <f>T30</f>
        <v>300</v>
      </c>
      <c r="S30" s="5">
        <f t="shared" si="20"/>
        <v>330</v>
      </c>
      <c r="T30" s="32">
        <v>300</v>
      </c>
      <c r="U30" s="32" t="str">
        <f>VLOOKUP(A30,[1]Лист1!$A:$B,2,0)</f>
        <v>до 300 кг</v>
      </c>
      <c r="V30" s="1">
        <f t="shared" si="4"/>
        <v>19.89539748953975</v>
      </c>
      <c r="W30" s="1">
        <f t="shared" si="5"/>
        <v>6.0878661087866108</v>
      </c>
      <c r="X30" s="1">
        <v>16.399999999999999</v>
      </c>
      <c r="Y30" s="1">
        <v>23</v>
      </c>
      <c r="Z30" s="1">
        <v>20.8</v>
      </c>
      <c r="AA30" s="1">
        <v>23</v>
      </c>
      <c r="AB30" s="1">
        <v>13.2</v>
      </c>
      <c r="AC30" s="1">
        <v>12</v>
      </c>
      <c r="AD30" s="1">
        <v>25</v>
      </c>
      <c r="AE30" s="1">
        <v>29.7</v>
      </c>
      <c r="AF30" s="1">
        <v>28.5</v>
      </c>
      <c r="AG30" s="1">
        <v>16.5</v>
      </c>
      <c r="AH30" s="1"/>
      <c r="AI30" s="1">
        <f t="shared" si="21"/>
        <v>300</v>
      </c>
      <c r="AJ30" s="7">
        <v>5.5</v>
      </c>
      <c r="AK30" s="9">
        <f t="shared" si="22"/>
        <v>60</v>
      </c>
      <c r="AL30" s="1">
        <f t="shared" si="23"/>
        <v>330</v>
      </c>
      <c r="AM30" s="1">
        <v>12</v>
      </c>
      <c r="AN30" s="1">
        <v>84</v>
      </c>
      <c r="AO30" s="9">
        <f t="shared" si="24"/>
        <v>0.7142857142857143</v>
      </c>
      <c r="AP30" s="9"/>
      <c r="AQ30" s="1">
        <f t="shared" si="25"/>
        <v>0</v>
      </c>
      <c r="AR30" s="9">
        <f t="shared" si="26"/>
        <v>0</v>
      </c>
      <c r="AS30" s="1"/>
      <c r="AT30" s="1"/>
      <c r="AU30" s="1"/>
      <c r="AV30" s="1"/>
      <c r="AW30" s="1"/>
      <c r="AX30" s="1"/>
    </row>
    <row r="31" spans="1:50" x14ac:dyDescent="0.25">
      <c r="A31" s="22" t="s">
        <v>90</v>
      </c>
      <c r="B31" s="1" t="s">
        <v>86</v>
      </c>
      <c r="C31" s="1">
        <v>63.6</v>
      </c>
      <c r="D31" s="1">
        <v>39.1</v>
      </c>
      <c r="E31" s="20">
        <f>75.7+E66</f>
        <v>96.7</v>
      </c>
      <c r="F31" s="20">
        <f>0+F66</f>
        <v>53.9</v>
      </c>
      <c r="G31" s="7">
        <v>1</v>
      </c>
      <c r="H31" s="1">
        <v>180</v>
      </c>
      <c r="I31" s="1" t="s">
        <v>91</v>
      </c>
      <c r="J31" s="1"/>
      <c r="K31" s="1">
        <v>84.7</v>
      </c>
      <c r="L31" s="1">
        <f t="shared" si="2"/>
        <v>12</v>
      </c>
      <c r="M31" s="1"/>
      <c r="N31" s="1"/>
      <c r="O31" s="1">
        <v>294</v>
      </c>
      <c r="P31" s="1">
        <f t="shared" si="3"/>
        <v>19.34</v>
      </c>
      <c r="Q31" s="5"/>
      <c r="R31" s="5"/>
      <c r="S31" s="5">
        <f t="shared" ref="S28:S33" si="27">AJ31*AK31</f>
        <v>0</v>
      </c>
      <c r="T31" s="32"/>
      <c r="U31" s="32"/>
      <c r="V31" s="1">
        <f t="shared" si="4"/>
        <v>17.988624612202688</v>
      </c>
      <c r="W31" s="1">
        <f t="shared" si="5"/>
        <v>17.988624612202688</v>
      </c>
      <c r="X31" s="1">
        <v>32.6</v>
      </c>
      <c r="Y31" s="1">
        <v>21.88</v>
      </c>
      <c r="Z31" s="1">
        <v>28.8</v>
      </c>
      <c r="AA31" s="1">
        <v>28.2</v>
      </c>
      <c r="AB31" s="1">
        <v>29.4</v>
      </c>
      <c r="AC31" s="1">
        <v>24.6</v>
      </c>
      <c r="AD31" s="1">
        <v>25.8</v>
      </c>
      <c r="AE31" s="1">
        <v>45</v>
      </c>
      <c r="AF31" s="1">
        <v>40.799999999999997</v>
      </c>
      <c r="AG31" s="1">
        <v>36.6</v>
      </c>
      <c r="AH31" s="1"/>
      <c r="AI31" s="1">
        <f t="shared" si="21"/>
        <v>0</v>
      </c>
      <c r="AJ31" s="7">
        <v>3</v>
      </c>
      <c r="AK31" s="9">
        <f t="shared" ref="AK28:AK33" si="28">MROUND(R31, AJ31*AM31)/AJ31</f>
        <v>0</v>
      </c>
      <c r="AL31" s="1">
        <f t="shared" si="23"/>
        <v>0</v>
      </c>
      <c r="AM31" s="1">
        <v>14</v>
      </c>
      <c r="AN31" s="1">
        <v>126</v>
      </c>
      <c r="AO31" s="9">
        <f t="shared" si="24"/>
        <v>0</v>
      </c>
      <c r="AP31" s="9"/>
      <c r="AQ31" s="1"/>
      <c r="AR31" s="9"/>
      <c r="AS31" s="1"/>
      <c r="AT31" s="1"/>
      <c r="AU31" s="1"/>
      <c r="AV31" s="1"/>
      <c r="AW31" s="1"/>
      <c r="AX31" s="1"/>
    </row>
    <row r="32" spans="1:50" x14ac:dyDescent="0.25">
      <c r="A32" s="21" t="s">
        <v>46</v>
      </c>
      <c r="B32" s="1" t="s">
        <v>42</v>
      </c>
      <c r="C32" s="1">
        <v>420</v>
      </c>
      <c r="D32" s="1">
        <v>1078</v>
      </c>
      <c r="E32" s="20">
        <f>661+E7</f>
        <v>777</v>
      </c>
      <c r="F32" s="20">
        <f>745+F7</f>
        <v>771</v>
      </c>
      <c r="G32" s="7">
        <v>0.25</v>
      </c>
      <c r="H32" s="1">
        <v>365</v>
      </c>
      <c r="I32" s="1" t="s">
        <v>92</v>
      </c>
      <c r="J32" s="1"/>
      <c r="K32" s="1">
        <v>756</v>
      </c>
      <c r="L32" s="1">
        <f t="shared" si="2"/>
        <v>21</v>
      </c>
      <c r="M32" s="1"/>
      <c r="N32" s="1"/>
      <c r="O32" s="1">
        <v>588</v>
      </c>
      <c r="P32" s="1">
        <f t="shared" si="3"/>
        <v>155.4</v>
      </c>
      <c r="Q32" s="5">
        <v>816.59999999999991</v>
      </c>
      <c r="R32" s="5">
        <f>14*P32-O32-F32+P32*$R$1</f>
        <v>1034.1599999999999</v>
      </c>
      <c r="S32" s="5">
        <f t="shared" ref="S32:S33" si="29">AJ32*AK32+AP32*AJ32</f>
        <v>1008</v>
      </c>
      <c r="T32" s="32"/>
      <c r="U32" s="32"/>
      <c r="V32" s="1">
        <f t="shared" si="4"/>
        <v>15.23166023166023</v>
      </c>
      <c r="W32" s="1">
        <f t="shared" si="5"/>
        <v>8.7451737451737444</v>
      </c>
      <c r="X32" s="1">
        <v>152.19999999999999</v>
      </c>
      <c r="Y32" s="1">
        <v>145.19999999999999</v>
      </c>
      <c r="Z32" s="1">
        <v>148</v>
      </c>
      <c r="AA32" s="1">
        <v>170.6</v>
      </c>
      <c r="AB32" s="1">
        <v>128</v>
      </c>
      <c r="AC32" s="1">
        <v>141.4</v>
      </c>
      <c r="AD32" s="1">
        <v>216.8</v>
      </c>
      <c r="AE32" s="1">
        <v>147.4</v>
      </c>
      <c r="AF32" s="1">
        <v>151.19999999999999</v>
      </c>
      <c r="AG32" s="1">
        <v>126.2</v>
      </c>
      <c r="AH32" s="1"/>
      <c r="AI32" s="1">
        <f t="shared" si="21"/>
        <v>258.53999999999996</v>
      </c>
      <c r="AJ32" s="7">
        <v>6</v>
      </c>
      <c r="AK32" s="9">
        <f t="shared" ref="AK32:AK33" si="30">MROUND(R32, AJ32*AM32)/AJ32-AP32</f>
        <v>168</v>
      </c>
      <c r="AL32" s="1">
        <f t="shared" si="23"/>
        <v>252</v>
      </c>
      <c r="AM32" s="1">
        <v>14</v>
      </c>
      <c r="AN32" s="1">
        <v>140</v>
      </c>
      <c r="AO32" s="9">
        <f t="shared" si="24"/>
        <v>1.2</v>
      </c>
      <c r="AP32" s="9"/>
      <c r="AQ32" s="1">
        <f t="shared" ref="AQ32:AQ33" si="31">AP32*AJ32*G32</f>
        <v>0</v>
      </c>
      <c r="AR32" s="9">
        <f t="shared" ref="AR32:AR33" si="32">AP32/AN32</f>
        <v>0</v>
      </c>
      <c r="AS32" s="1"/>
      <c r="AT32" s="1"/>
      <c r="AU32" s="1"/>
      <c r="AV32" s="1"/>
      <c r="AW32" s="1"/>
      <c r="AX32" s="1"/>
    </row>
    <row r="33" spans="1:50" x14ac:dyDescent="0.25">
      <c r="A33" s="21" t="s">
        <v>93</v>
      </c>
      <c r="B33" s="1" t="s">
        <v>42</v>
      </c>
      <c r="C33" s="1">
        <v>492</v>
      </c>
      <c r="D33" s="1">
        <v>49</v>
      </c>
      <c r="E33" s="1">
        <v>482</v>
      </c>
      <c r="F33" s="1">
        <v>-10</v>
      </c>
      <c r="G33" s="7">
        <v>0.25</v>
      </c>
      <c r="H33" s="1">
        <v>365</v>
      </c>
      <c r="I33" s="1" t="s">
        <v>94</v>
      </c>
      <c r="J33" s="1"/>
      <c r="K33" s="1">
        <v>539</v>
      </c>
      <c r="L33" s="1">
        <f t="shared" si="2"/>
        <v>-57</v>
      </c>
      <c r="M33" s="1"/>
      <c r="N33" s="1"/>
      <c r="O33" s="1">
        <v>1008</v>
      </c>
      <c r="P33" s="1">
        <f t="shared" si="3"/>
        <v>96.4</v>
      </c>
      <c r="Q33" s="5">
        <v>351.60000000000014</v>
      </c>
      <c r="R33" s="5">
        <f t="shared" ref="R28:R33" si="33">14*P33-O33-F33</f>
        <v>351.60000000000014</v>
      </c>
      <c r="S33" s="5">
        <f t="shared" si="29"/>
        <v>336</v>
      </c>
      <c r="T33" s="32"/>
      <c r="U33" s="32"/>
      <c r="V33" s="1">
        <f t="shared" si="4"/>
        <v>13.83817427385892</v>
      </c>
      <c r="W33" s="1">
        <f t="shared" si="5"/>
        <v>10.352697095435683</v>
      </c>
      <c r="X33" s="1">
        <v>105.6</v>
      </c>
      <c r="Y33" s="1">
        <v>72.400000000000006</v>
      </c>
      <c r="Z33" s="1">
        <v>84.8</v>
      </c>
      <c r="AA33" s="1">
        <v>106.8</v>
      </c>
      <c r="AB33" s="1">
        <v>85.8</v>
      </c>
      <c r="AC33" s="1">
        <v>62</v>
      </c>
      <c r="AD33" s="1">
        <v>165.8</v>
      </c>
      <c r="AE33" s="1">
        <v>143</v>
      </c>
      <c r="AF33" s="1">
        <v>111.8</v>
      </c>
      <c r="AG33" s="1">
        <v>95.8</v>
      </c>
      <c r="AH33" s="1"/>
      <c r="AI33" s="1">
        <f t="shared" si="21"/>
        <v>87.900000000000034</v>
      </c>
      <c r="AJ33" s="7">
        <v>6</v>
      </c>
      <c r="AK33" s="9">
        <f t="shared" si="30"/>
        <v>56</v>
      </c>
      <c r="AL33" s="1">
        <f t="shared" si="23"/>
        <v>84</v>
      </c>
      <c r="AM33" s="1">
        <v>14</v>
      </c>
      <c r="AN33" s="1">
        <v>140</v>
      </c>
      <c r="AO33" s="9">
        <f t="shared" si="24"/>
        <v>0.4</v>
      </c>
      <c r="AP33" s="9"/>
      <c r="AQ33" s="1">
        <f t="shared" si="31"/>
        <v>0</v>
      </c>
      <c r="AR33" s="9">
        <f t="shared" si="32"/>
        <v>0</v>
      </c>
      <c r="AS33" s="1"/>
      <c r="AT33" s="1"/>
      <c r="AU33" s="1"/>
      <c r="AV33" s="1"/>
      <c r="AW33" s="1"/>
      <c r="AX33" s="1"/>
    </row>
    <row r="34" spans="1:50" x14ac:dyDescent="0.25">
      <c r="A34" s="15" t="s">
        <v>95</v>
      </c>
      <c r="B34" s="15" t="s">
        <v>86</v>
      </c>
      <c r="C34" s="15">
        <v>276</v>
      </c>
      <c r="D34" s="15">
        <v>810</v>
      </c>
      <c r="E34" s="20">
        <v>804</v>
      </c>
      <c r="F34" s="20">
        <v>210</v>
      </c>
      <c r="G34" s="16">
        <v>0</v>
      </c>
      <c r="H34" s="15">
        <v>180</v>
      </c>
      <c r="I34" s="15" t="s">
        <v>48</v>
      </c>
      <c r="J34" s="15" t="s">
        <v>96</v>
      </c>
      <c r="K34" s="15">
        <v>1016</v>
      </c>
      <c r="L34" s="15">
        <f t="shared" si="2"/>
        <v>-212</v>
      </c>
      <c r="M34" s="15"/>
      <c r="N34" s="15"/>
      <c r="O34" s="15"/>
      <c r="P34" s="15">
        <f t="shared" si="3"/>
        <v>160.80000000000001</v>
      </c>
      <c r="Q34" s="17"/>
      <c r="R34" s="17"/>
      <c r="S34" s="17"/>
      <c r="T34" s="31"/>
      <c r="U34" s="32"/>
      <c r="V34" s="15">
        <f t="shared" si="4"/>
        <v>1.3059701492537312</v>
      </c>
      <c r="W34" s="15">
        <f t="shared" si="5"/>
        <v>1.3059701492537312</v>
      </c>
      <c r="X34" s="15">
        <v>31.2</v>
      </c>
      <c r="Y34" s="15"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/>
      <c r="AI34" s="15"/>
      <c r="AJ34" s="16"/>
      <c r="AK34" s="18"/>
      <c r="AL34" s="15"/>
      <c r="AM34" s="15"/>
      <c r="AN34" s="15"/>
      <c r="AO34" s="18"/>
      <c r="AP34" s="18"/>
      <c r="AQ34" s="15"/>
      <c r="AR34" s="18"/>
      <c r="AS34" s="1"/>
      <c r="AT34" s="1"/>
      <c r="AU34" s="1"/>
      <c r="AV34" s="1"/>
      <c r="AW34" s="1"/>
      <c r="AX34" s="1"/>
    </row>
    <row r="35" spans="1:50" x14ac:dyDescent="0.25">
      <c r="A35" s="21" t="s">
        <v>96</v>
      </c>
      <c r="B35" s="1" t="s">
        <v>86</v>
      </c>
      <c r="C35" s="1">
        <v>-119</v>
      </c>
      <c r="D35" s="1">
        <v>11</v>
      </c>
      <c r="E35" s="20">
        <f>0+E34</f>
        <v>804</v>
      </c>
      <c r="F35" s="20">
        <f>-119+F34</f>
        <v>91</v>
      </c>
      <c r="G35" s="7">
        <v>1</v>
      </c>
      <c r="H35" s="1">
        <v>180</v>
      </c>
      <c r="I35" s="1" t="s">
        <v>97</v>
      </c>
      <c r="J35" s="1"/>
      <c r="K35" s="1">
        <v>10</v>
      </c>
      <c r="L35" s="1">
        <f t="shared" si="2"/>
        <v>794</v>
      </c>
      <c r="M35" s="1"/>
      <c r="N35" s="1"/>
      <c r="O35" s="1">
        <v>1008</v>
      </c>
      <c r="P35" s="1">
        <f t="shared" si="3"/>
        <v>160.80000000000001</v>
      </c>
      <c r="Q35" s="5">
        <v>1152.2000000000003</v>
      </c>
      <c r="R35" s="5">
        <f>T35</f>
        <v>2150</v>
      </c>
      <c r="S35" s="5">
        <f t="shared" ref="S35:S42" si="34">AJ35*AK35+AP35*AJ35</f>
        <v>2160</v>
      </c>
      <c r="T35" s="32">
        <v>2150</v>
      </c>
      <c r="U35" s="32" t="str">
        <f>VLOOKUP(A35,[1]Лист1!$A:$B,2,0)</f>
        <v>до 2150 кг (акция + 1000 кг под клиента важно!)</v>
      </c>
      <c r="V35" s="1">
        <f t="shared" si="4"/>
        <v>20.267412935323382</v>
      </c>
      <c r="W35" s="1">
        <f t="shared" si="5"/>
        <v>6.8345771144278604</v>
      </c>
      <c r="X35" s="1">
        <v>138.80000000000001</v>
      </c>
      <c r="Y35" s="1">
        <v>99.6</v>
      </c>
      <c r="Z35" s="1">
        <v>98.6</v>
      </c>
      <c r="AA35" s="1">
        <v>101.4</v>
      </c>
      <c r="AB35" s="1">
        <v>99.4</v>
      </c>
      <c r="AC35" s="1">
        <v>85.799800000000005</v>
      </c>
      <c r="AD35" s="1">
        <v>51.4</v>
      </c>
      <c r="AE35" s="1">
        <v>49.8</v>
      </c>
      <c r="AF35" s="1">
        <v>51.6</v>
      </c>
      <c r="AG35" s="1">
        <v>52.8</v>
      </c>
      <c r="AH35" s="1"/>
      <c r="AI35" s="1">
        <f t="shared" ref="AI35:AI60" si="35">G35*R35</f>
        <v>2150</v>
      </c>
      <c r="AJ35" s="7">
        <v>6</v>
      </c>
      <c r="AK35" s="9">
        <f t="shared" ref="AK35:AK42" si="36">MROUND(R35, AJ35*AM35)/AJ35-AP35</f>
        <v>192</v>
      </c>
      <c r="AL35" s="1">
        <f t="shared" ref="AL35:AL60" si="37">AK35*AJ35*G35</f>
        <v>1152</v>
      </c>
      <c r="AM35" s="1">
        <v>12</v>
      </c>
      <c r="AN35" s="1">
        <v>84</v>
      </c>
      <c r="AO35" s="9">
        <f t="shared" ref="AO35:AO60" si="38">AK35/AN35</f>
        <v>2.2857142857142856</v>
      </c>
      <c r="AP35" s="9">
        <v>168</v>
      </c>
      <c r="AQ35" s="1">
        <f t="shared" ref="AQ35:AQ42" si="39">AP35*AJ35*G35</f>
        <v>1008</v>
      </c>
      <c r="AR35" s="9">
        <f t="shared" ref="AR35:AR42" si="40">AP35/AN35</f>
        <v>2</v>
      </c>
      <c r="AS35" s="1"/>
      <c r="AT35" s="1"/>
      <c r="AU35" s="1"/>
      <c r="AV35" s="1"/>
      <c r="AW35" s="1"/>
      <c r="AX35" s="1"/>
    </row>
    <row r="36" spans="1:50" x14ac:dyDescent="0.25">
      <c r="A36" s="21" t="s">
        <v>98</v>
      </c>
      <c r="B36" s="1" t="s">
        <v>42</v>
      </c>
      <c r="C36" s="1">
        <v>254</v>
      </c>
      <c r="D36" s="1">
        <v>2637</v>
      </c>
      <c r="E36" s="1">
        <v>901</v>
      </c>
      <c r="F36" s="1">
        <v>1845</v>
      </c>
      <c r="G36" s="7">
        <v>0.23</v>
      </c>
      <c r="H36" s="1">
        <v>180</v>
      </c>
      <c r="I36" s="14" t="s">
        <v>99</v>
      </c>
      <c r="J36" s="1"/>
      <c r="K36" s="1">
        <v>1024</v>
      </c>
      <c r="L36" s="1">
        <f t="shared" si="2"/>
        <v>-123</v>
      </c>
      <c r="M36" s="1"/>
      <c r="N36" s="1"/>
      <c r="O36" s="1">
        <v>0</v>
      </c>
      <c r="P36" s="1">
        <f t="shared" si="3"/>
        <v>180.2</v>
      </c>
      <c r="Q36" s="5">
        <v>677.79999999999973</v>
      </c>
      <c r="R36" s="5">
        <f t="shared" ref="R36:R39" si="41">14*P36-O36-F36+P36*$R$1</f>
        <v>930.0799999999997</v>
      </c>
      <c r="S36" s="5">
        <f t="shared" si="34"/>
        <v>1008</v>
      </c>
      <c r="T36" s="32"/>
      <c r="U36" s="32"/>
      <c r="V36" s="1">
        <f t="shared" si="4"/>
        <v>15.832408435072143</v>
      </c>
      <c r="W36" s="1">
        <f t="shared" si="5"/>
        <v>10.238623751387347</v>
      </c>
      <c r="X36" s="1">
        <v>99</v>
      </c>
      <c r="Y36" s="1">
        <v>206</v>
      </c>
      <c r="Z36" s="1">
        <v>45.4</v>
      </c>
      <c r="AA36" s="1">
        <v>70</v>
      </c>
      <c r="AB36" s="1">
        <v>177.4</v>
      </c>
      <c r="AC36" s="1">
        <v>205.4</v>
      </c>
      <c r="AD36" s="1">
        <v>210</v>
      </c>
      <c r="AE36" s="1">
        <v>71.8</v>
      </c>
      <c r="AF36" s="1">
        <v>104.2</v>
      </c>
      <c r="AG36" s="1">
        <v>105.2</v>
      </c>
      <c r="AH36" s="1"/>
      <c r="AI36" s="1">
        <f t="shared" si="35"/>
        <v>213.91839999999993</v>
      </c>
      <c r="AJ36" s="7">
        <v>12</v>
      </c>
      <c r="AK36" s="9">
        <f t="shared" si="36"/>
        <v>84</v>
      </c>
      <c r="AL36" s="1">
        <f t="shared" si="37"/>
        <v>231.84</v>
      </c>
      <c r="AM36" s="1">
        <v>14</v>
      </c>
      <c r="AN36" s="1">
        <v>70</v>
      </c>
      <c r="AO36" s="9">
        <f t="shared" si="38"/>
        <v>1.2</v>
      </c>
      <c r="AP36" s="9"/>
      <c r="AQ36" s="1">
        <f t="shared" si="39"/>
        <v>0</v>
      </c>
      <c r="AR36" s="9">
        <f t="shared" si="40"/>
        <v>0</v>
      </c>
      <c r="AS36" s="1"/>
      <c r="AT36" s="1"/>
      <c r="AU36" s="1"/>
      <c r="AV36" s="1"/>
      <c r="AW36" s="1"/>
      <c r="AX36" s="1"/>
    </row>
    <row r="37" spans="1:50" x14ac:dyDescent="0.25">
      <c r="A37" s="21" t="s">
        <v>100</v>
      </c>
      <c r="B37" s="1" t="s">
        <v>42</v>
      </c>
      <c r="C37" s="1">
        <v>1172</v>
      </c>
      <c r="D37" s="1">
        <v>1247</v>
      </c>
      <c r="E37" s="1">
        <v>1315</v>
      </c>
      <c r="F37" s="1">
        <v>883</v>
      </c>
      <c r="G37" s="7">
        <v>0.25</v>
      </c>
      <c r="H37" s="1">
        <v>365</v>
      </c>
      <c r="I37" s="1" t="s">
        <v>101</v>
      </c>
      <c r="J37" s="1"/>
      <c r="K37" s="1">
        <v>1380</v>
      </c>
      <c r="L37" s="1">
        <f t="shared" si="2"/>
        <v>-65</v>
      </c>
      <c r="M37" s="1"/>
      <c r="N37" s="1"/>
      <c r="O37" s="1">
        <v>1680</v>
      </c>
      <c r="P37" s="1">
        <f t="shared" si="3"/>
        <v>263</v>
      </c>
      <c r="Q37" s="5">
        <v>1119</v>
      </c>
      <c r="R37" s="5">
        <f t="shared" si="41"/>
        <v>1487.2</v>
      </c>
      <c r="S37" s="5">
        <f t="shared" si="34"/>
        <v>1512</v>
      </c>
      <c r="T37" s="32"/>
      <c r="U37" s="32"/>
      <c r="V37" s="1">
        <f t="shared" si="4"/>
        <v>15.494296577946768</v>
      </c>
      <c r="W37" s="1">
        <f t="shared" si="5"/>
        <v>9.7452471482889731</v>
      </c>
      <c r="X37" s="1">
        <v>284.2</v>
      </c>
      <c r="Y37" s="1">
        <v>234.8</v>
      </c>
      <c r="Z37" s="1">
        <v>270.39999999999998</v>
      </c>
      <c r="AA37" s="1">
        <v>319.39999999999998</v>
      </c>
      <c r="AB37" s="1">
        <v>267.39999999999998</v>
      </c>
      <c r="AC37" s="1">
        <v>316.39999999999998</v>
      </c>
      <c r="AD37" s="1">
        <v>381</v>
      </c>
      <c r="AE37" s="1">
        <v>260</v>
      </c>
      <c r="AF37" s="1">
        <v>289</v>
      </c>
      <c r="AG37" s="1">
        <v>290.39999999999998</v>
      </c>
      <c r="AH37" s="1"/>
      <c r="AI37" s="1">
        <f t="shared" si="35"/>
        <v>371.8</v>
      </c>
      <c r="AJ37" s="7">
        <v>12</v>
      </c>
      <c r="AK37" s="9">
        <f t="shared" si="36"/>
        <v>56</v>
      </c>
      <c r="AL37" s="1">
        <f t="shared" si="37"/>
        <v>168</v>
      </c>
      <c r="AM37" s="1">
        <v>14</v>
      </c>
      <c r="AN37" s="1">
        <v>70</v>
      </c>
      <c r="AO37" s="9">
        <f t="shared" si="38"/>
        <v>0.8</v>
      </c>
      <c r="AP37" s="9">
        <v>70</v>
      </c>
      <c r="AQ37" s="1">
        <f t="shared" si="39"/>
        <v>210</v>
      </c>
      <c r="AR37" s="9">
        <f t="shared" si="40"/>
        <v>1</v>
      </c>
      <c r="AS37" s="1"/>
      <c r="AT37" s="1"/>
      <c r="AU37" s="1"/>
      <c r="AV37" s="1"/>
      <c r="AW37" s="1"/>
      <c r="AX37" s="1"/>
    </row>
    <row r="38" spans="1:50" x14ac:dyDescent="0.25">
      <c r="A38" s="21" t="s">
        <v>102</v>
      </c>
      <c r="B38" s="1" t="s">
        <v>42</v>
      </c>
      <c r="C38" s="1">
        <v>1866</v>
      </c>
      <c r="D38" s="1">
        <v>46</v>
      </c>
      <c r="E38" s="1">
        <v>936</v>
      </c>
      <c r="F38" s="1">
        <v>794</v>
      </c>
      <c r="G38" s="7">
        <v>0.25</v>
      </c>
      <c r="H38" s="1">
        <v>365</v>
      </c>
      <c r="I38" s="1" t="s">
        <v>103</v>
      </c>
      <c r="J38" s="1"/>
      <c r="K38" s="1">
        <v>996</v>
      </c>
      <c r="L38" s="1">
        <f t="shared" ref="L38:L69" si="42">E38-K38</f>
        <v>-60</v>
      </c>
      <c r="M38" s="1"/>
      <c r="N38" s="1"/>
      <c r="O38" s="1">
        <v>672</v>
      </c>
      <c r="P38" s="1">
        <f t="shared" ref="P38:P69" si="43">E38/5</f>
        <v>187.2</v>
      </c>
      <c r="Q38" s="5">
        <v>1154.7999999999997</v>
      </c>
      <c r="R38" s="5">
        <f t="shared" si="41"/>
        <v>1416.8799999999997</v>
      </c>
      <c r="S38" s="5">
        <f t="shared" si="34"/>
        <v>1344</v>
      </c>
      <c r="T38" s="32"/>
      <c r="U38" s="32"/>
      <c r="V38" s="1">
        <f t="shared" ref="V38:V69" si="44">(F38+O38+S38)/P38</f>
        <v>15.010683760683762</v>
      </c>
      <c r="W38" s="1">
        <f t="shared" ref="W38:W69" si="45">(F38+O38)/P38</f>
        <v>7.8311965811965818</v>
      </c>
      <c r="X38" s="1">
        <v>206.6</v>
      </c>
      <c r="Y38" s="1">
        <v>186.6</v>
      </c>
      <c r="Z38" s="1">
        <v>274</v>
      </c>
      <c r="AA38" s="1">
        <v>321</v>
      </c>
      <c r="AB38" s="1">
        <v>265.8</v>
      </c>
      <c r="AC38" s="1">
        <v>208.6</v>
      </c>
      <c r="AD38" s="1">
        <v>336</v>
      </c>
      <c r="AE38" s="1">
        <v>163.80000000000001</v>
      </c>
      <c r="AF38" s="1">
        <v>199.2</v>
      </c>
      <c r="AG38" s="1">
        <v>206.4</v>
      </c>
      <c r="AH38" s="1"/>
      <c r="AI38" s="1">
        <f t="shared" si="35"/>
        <v>354.21999999999991</v>
      </c>
      <c r="AJ38" s="7">
        <v>12</v>
      </c>
      <c r="AK38" s="9">
        <f t="shared" si="36"/>
        <v>42</v>
      </c>
      <c r="AL38" s="1">
        <f t="shared" si="37"/>
        <v>126</v>
      </c>
      <c r="AM38" s="1">
        <v>14</v>
      </c>
      <c r="AN38" s="1">
        <v>70</v>
      </c>
      <c r="AO38" s="9">
        <f t="shared" si="38"/>
        <v>0.6</v>
      </c>
      <c r="AP38" s="9">
        <v>70</v>
      </c>
      <c r="AQ38" s="1">
        <f t="shared" si="39"/>
        <v>210</v>
      </c>
      <c r="AR38" s="9">
        <f t="shared" si="40"/>
        <v>1</v>
      </c>
      <c r="AS38" s="1"/>
      <c r="AT38" s="1"/>
      <c r="AU38" s="1"/>
      <c r="AV38" s="1"/>
      <c r="AW38" s="1"/>
      <c r="AX38" s="1"/>
    </row>
    <row r="39" spans="1:50" x14ac:dyDescent="0.25">
      <c r="A39" s="21" t="s">
        <v>104</v>
      </c>
      <c r="B39" s="1" t="s">
        <v>42</v>
      </c>
      <c r="C39" s="1">
        <v>739</v>
      </c>
      <c r="D39" s="1">
        <v>732</v>
      </c>
      <c r="E39" s="1">
        <v>752</v>
      </c>
      <c r="F39" s="1">
        <v>619</v>
      </c>
      <c r="G39" s="7">
        <v>0.25</v>
      </c>
      <c r="H39" s="1">
        <v>180</v>
      </c>
      <c r="I39" s="1" t="s">
        <v>105</v>
      </c>
      <c r="J39" s="1"/>
      <c r="K39" s="1">
        <v>808</v>
      </c>
      <c r="L39" s="1">
        <f t="shared" si="42"/>
        <v>-56</v>
      </c>
      <c r="M39" s="1"/>
      <c r="N39" s="1"/>
      <c r="O39" s="1">
        <v>168</v>
      </c>
      <c r="P39" s="1">
        <f t="shared" si="43"/>
        <v>150.4</v>
      </c>
      <c r="Q39" s="5">
        <v>1318.6</v>
      </c>
      <c r="R39" s="5">
        <f t="shared" si="41"/>
        <v>1529.1599999999999</v>
      </c>
      <c r="S39" s="5">
        <f t="shared" si="34"/>
        <v>1512</v>
      </c>
      <c r="T39" s="32"/>
      <c r="U39" s="32"/>
      <c r="V39" s="1">
        <f t="shared" si="44"/>
        <v>15.285904255319148</v>
      </c>
      <c r="W39" s="1">
        <f t="shared" si="45"/>
        <v>5.2327127659574471</v>
      </c>
      <c r="X39" s="1">
        <v>124.8</v>
      </c>
      <c r="Y39" s="1">
        <v>125.4</v>
      </c>
      <c r="Z39" s="1">
        <v>141</v>
      </c>
      <c r="AA39" s="1">
        <v>163.19999999999999</v>
      </c>
      <c r="AB39" s="1">
        <v>128.19999999999999</v>
      </c>
      <c r="AC39" s="1">
        <v>133.80000000000001</v>
      </c>
      <c r="AD39" s="1">
        <v>172.6</v>
      </c>
      <c r="AE39" s="1">
        <v>55.8</v>
      </c>
      <c r="AF39" s="1">
        <v>145</v>
      </c>
      <c r="AG39" s="1">
        <v>114.6</v>
      </c>
      <c r="AH39" s="1"/>
      <c r="AI39" s="1">
        <f t="shared" si="35"/>
        <v>382.28999999999996</v>
      </c>
      <c r="AJ39" s="7">
        <v>12</v>
      </c>
      <c r="AK39" s="9">
        <f t="shared" si="36"/>
        <v>56</v>
      </c>
      <c r="AL39" s="1">
        <f t="shared" si="37"/>
        <v>168</v>
      </c>
      <c r="AM39" s="1">
        <v>14</v>
      </c>
      <c r="AN39" s="1">
        <v>70</v>
      </c>
      <c r="AO39" s="9">
        <f t="shared" si="38"/>
        <v>0.8</v>
      </c>
      <c r="AP39" s="9">
        <v>70</v>
      </c>
      <c r="AQ39" s="1">
        <f t="shared" si="39"/>
        <v>210</v>
      </c>
      <c r="AR39" s="9">
        <f t="shared" si="40"/>
        <v>1</v>
      </c>
      <c r="AS39" s="1"/>
      <c r="AT39" s="1"/>
      <c r="AU39" s="1"/>
      <c r="AV39" s="1"/>
      <c r="AW39" s="1"/>
      <c r="AX39" s="1"/>
    </row>
    <row r="40" spans="1:50" x14ac:dyDescent="0.25">
      <c r="A40" s="21" t="s">
        <v>55</v>
      </c>
      <c r="B40" s="1" t="s">
        <v>42</v>
      </c>
      <c r="C40" s="1">
        <v>-9</v>
      </c>
      <c r="D40" s="1">
        <v>376</v>
      </c>
      <c r="E40" s="20">
        <f>338+E11</f>
        <v>464</v>
      </c>
      <c r="F40" s="20">
        <f>3+F11</f>
        <v>322</v>
      </c>
      <c r="G40" s="7">
        <v>0.25</v>
      </c>
      <c r="H40" s="1">
        <v>180</v>
      </c>
      <c r="I40" s="1" t="s">
        <v>106</v>
      </c>
      <c r="J40" s="1"/>
      <c r="K40" s="1">
        <v>343</v>
      </c>
      <c r="L40" s="1">
        <f t="shared" si="42"/>
        <v>121</v>
      </c>
      <c r="M40" s="1"/>
      <c r="N40" s="1"/>
      <c r="O40" s="1">
        <v>168</v>
      </c>
      <c r="P40" s="1">
        <f t="shared" si="43"/>
        <v>92.8</v>
      </c>
      <c r="Q40" s="5">
        <v>809.2</v>
      </c>
      <c r="R40" s="5">
        <f t="shared" ref="R36:R58" si="46">14*P40-O40-F40</f>
        <v>809.2</v>
      </c>
      <c r="S40" s="5">
        <f t="shared" si="34"/>
        <v>840</v>
      </c>
      <c r="T40" s="32"/>
      <c r="U40" s="32"/>
      <c r="V40" s="1">
        <f t="shared" si="44"/>
        <v>14.331896551724139</v>
      </c>
      <c r="W40" s="1">
        <f t="shared" si="45"/>
        <v>5.2801724137931032</v>
      </c>
      <c r="X40" s="1">
        <v>86.2</v>
      </c>
      <c r="Y40" s="1">
        <v>81.400000000000006</v>
      </c>
      <c r="Z40" s="1">
        <v>111.8</v>
      </c>
      <c r="AA40" s="1">
        <v>124.8</v>
      </c>
      <c r="AB40" s="1">
        <v>101</v>
      </c>
      <c r="AC40" s="1">
        <v>89.2</v>
      </c>
      <c r="AD40" s="1">
        <v>128.80000000000001</v>
      </c>
      <c r="AE40" s="1">
        <v>59.8</v>
      </c>
      <c r="AF40" s="1">
        <v>131</v>
      </c>
      <c r="AG40" s="1">
        <v>134</v>
      </c>
      <c r="AH40" s="1"/>
      <c r="AI40" s="1">
        <f t="shared" si="35"/>
        <v>202.3</v>
      </c>
      <c r="AJ40" s="7">
        <v>12</v>
      </c>
      <c r="AK40" s="9">
        <f t="shared" si="36"/>
        <v>70</v>
      </c>
      <c r="AL40" s="1">
        <f t="shared" si="37"/>
        <v>210</v>
      </c>
      <c r="AM40" s="1">
        <v>14</v>
      </c>
      <c r="AN40" s="1">
        <v>70</v>
      </c>
      <c r="AO40" s="9">
        <f t="shared" si="38"/>
        <v>1</v>
      </c>
      <c r="AP40" s="9"/>
      <c r="AQ40" s="1">
        <f t="shared" si="39"/>
        <v>0</v>
      </c>
      <c r="AR40" s="9">
        <f t="shared" si="40"/>
        <v>0</v>
      </c>
      <c r="AS40" s="1"/>
      <c r="AT40" s="1"/>
      <c r="AU40" s="1"/>
      <c r="AV40" s="1"/>
      <c r="AW40" s="1"/>
      <c r="AX40" s="1"/>
    </row>
    <row r="41" spans="1:50" x14ac:dyDescent="0.25">
      <c r="A41" s="21" t="s">
        <v>107</v>
      </c>
      <c r="B41" s="1" t="s">
        <v>42</v>
      </c>
      <c r="C41" s="1">
        <v>264</v>
      </c>
      <c r="D41" s="1">
        <v>297</v>
      </c>
      <c r="E41" s="1">
        <v>419</v>
      </c>
      <c r="F41" s="1">
        <v>103</v>
      </c>
      <c r="G41" s="7">
        <v>0.7</v>
      </c>
      <c r="H41" s="1">
        <v>180</v>
      </c>
      <c r="I41" s="1" t="s">
        <v>108</v>
      </c>
      <c r="J41" s="1"/>
      <c r="K41" s="1">
        <v>438</v>
      </c>
      <c r="L41" s="1">
        <f t="shared" si="42"/>
        <v>-19</v>
      </c>
      <c r="M41" s="1"/>
      <c r="N41" s="1"/>
      <c r="O41" s="1">
        <v>576</v>
      </c>
      <c r="P41" s="1">
        <f t="shared" si="43"/>
        <v>83.8</v>
      </c>
      <c r="Q41" s="5">
        <v>494.20000000000005</v>
      </c>
      <c r="R41" s="5">
        <f t="shared" si="46"/>
        <v>494.20000000000005</v>
      </c>
      <c r="S41" s="5">
        <f t="shared" si="34"/>
        <v>480</v>
      </c>
      <c r="T41" s="32"/>
      <c r="U41" s="32"/>
      <c r="V41" s="1">
        <f t="shared" si="44"/>
        <v>13.83054892601432</v>
      </c>
      <c r="W41" s="1">
        <f t="shared" si="45"/>
        <v>8.1026252983293556</v>
      </c>
      <c r="X41" s="1">
        <v>93.6</v>
      </c>
      <c r="Y41" s="1">
        <v>71.8</v>
      </c>
      <c r="Z41" s="1">
        <v>57.2</v>
      </c>
      <c r="AA41" s="1">
        <v>85.2</v>
      </c>
      <c r="AB41" s="1">
        <v>65</v>
      </c>
      <c r="AC41" s="1">
        <v>68.2</v>
      </c>
      <c r="AD41" s="1">
        <v>69</v>
      </c>
      <c r="AE41" s="1">
        <v>33.4</v>
      </c>
      <c r="AF41" s="1">
        <v>60.6</v>
      </c>
      <c r="AG41" s="1">
        <v>58.4</v>
      </c>
      <c r="AH41" s="1"/>
      <c r="AI41" s="1">
        <f t="shared" si="35"/>
        <v>345.94</v>
      </c>
      <c r="AJ41" s="7">
        <v>8</v>
      </c>
      <c r="AK41" s="9">
        <f t="shared" si="36"/>
        <v>60</v>
      </c>
      <c r="AL41" s="1">
        <f t="shared" si="37"/>
        <v>336</v>
      </c>
      <c r="AM41" s="1">
        <v>12</v>
      </c>
      <c r="AN41" s="1">
        <v>84</v>
      </c>
      <c r="AO41" s="9">
        <f t="shared" si="38"/>
        <v>0.7142857142857143</v>
      </c>
      <c r="AP41" s="9"/>
      <c r="AQ41" s="1">
        <f t="shared" si="39"/>
        <v>0</v>
      </c>
      <c r="AR41" s="9">
        <f t="shared" si="40"/>
        <v>0</v>
      </c>
      <c r="AS41" s="1"/>
      <c r="AT41" s="1"/>
      <c r="AU41" s="1"/>
      <c r="AV41" s="1"/>
      <c r="AW41" s="1"/>
      <c r="AX41" s="1"/>
    </row>
    <row r="42" spans="1:50" x14ac:dyDescent="0.25">
      <c r="A42" s="21" t="s">
        <v>109</v>
      </c>
      <c r="B42" s="1" t="s">
        <v>42</v>
      </c>
      <c r="C42" s="1">
        <v>3</v>
      </c>
      <c r="D42" s="1">
        <v>679</v>
      </c>
      <c r="E42" s="1">
        <v>239</v>
      </c>
      <c r="F42" s="1">
        <v>415</v>
      </c>
      <c r="G42" s="7">
        <v>0.7</v>
      </c>
      <c r="H42" s="1">
        <v>180</v>
      </c>
      <c r="I42" s="1" t="s">
        <v>110</v>
      </c>
      <c r="J42" s="1"/>
      <c r="K42" s="1">
        <v>257</v>
      </c>
      <c r="L42" s="1">
        <f t="shared" si="42"/>
        <v>-18</v>
      </c>
      <c r="M42" s="1"/>
      <c r="N42" s="1"/>
      <c r="O42" s="1">
        <v>0</v>
      </c>
      <c r="P42" s="1">
        <f t="shared" si="43"/>
        <v>47.8</v>
      </c>
      <c r="Q42" s="5">
        <v>254.19999999999993</v>
      </c>
      <c r="R42" s="5">
        <f t="shared" si="46"/>
        <v>254.19999999999993</v>
      </c>
      <c r="S42" s="5">
        <f t="shared" si="34"/>
        <v>288</v>
      </c>
      <c r="T42" s="32"/>
      <c r="U42" s="32"/>
      <c r="V42" s="1">
        <f t="shared" si="44"/>
        <v>14.707112970711298</v>
      </c>
      <c r="W42" s="1">
        <f t="shared" si="45"/>
        <v>8.6820083682008367</v>
      </c>
      <c r="X42" s="1">
        <v>21</v>
      </c>
      <c r="Y42" s="1">
        <v>63.6</v>
      </c>
      <c r="Z42" s="1">
        <v>21</v>
      </c>
      <c r="AA42" s="1">
        <v>35</v>
      </c>
      <c r="AB42" s="1">
        <v>30.8</v>
      </c>
      <c r="AC42" s="1">
        <v>48</v>
      </c>
      <c r="AD42" s="1">
        <v>41</v>
      </c>
      <c r="AE42" s="1">
        <v>22.2</v>
      </c>
      <c r="AF42" s="1">
        <v>21.8</v>
      </c>
      <c r="AG42" s="1">
        <v>23.4</v>
      </c>
      <c r="AH42" s="1"/>
      <c r="AI42" s="1">
        <f t="shared" si="35"/>
        <v>177.93999999999994</v>
      </c>
      <c r="AJ42" s="7">
        <v>8</v>
      </c>
      <c r="AK42" s="9">
        <f t="shared" si="36"/>
        <v>36</v>
      </c>
      <c r="AL42" s="1">
        <f t="shared" si="37"/>
        <v>201.6</v>
      </c>
      <c r="AM42" s="1">
        <v>12</v>
      </c>
      <c r="AN42" s="1">
        <v>84</v>
      </c>
      <c r="AO42" s="9">
        <f t="shared" si="38"/>
        <v>0.42857142857142855</v>
      </c>
      <c r="AP42" s="9"/>
      <c r="AQ42" s="1">
        <f t="shared" si="39"/>
        <v>0</v>
      </c>
      <c r="AR42" s="9">
        <f t="shared" si="40"/>
        <v>0</v>
      </c>
      <c r="AS42" s="1"/>
      <c r="AT42" s="1"/>
      <c r="AU42" s="1"/>
      <c r="AV42" s="1"/>
      <c r="AW42" s="1"/>
      <c r="AX42" s="1"/>
    </row>
    <row r="43" spans="1:50" x14ac:dyDescent="0.25">
      <c r="A43" s="21" t="s">
        <v>111</v>
      </c>
      <c r="B43" s="1" t="s">
        <v>42</v>
      </c>
      <c r="C43" s="1"/>
      <c r="D43" s="1">
        <v>2</v>
      </c>
      <c r="E43" s="1"/>
      <c r="F43" s="1">
        <v>2</v>
      </c>
      <c r="G43" s="7">
        <v>0.7</v>
      </c>
      <c r="H43" s="1">
        <v>180</v>
      </c>
      <c r="I43" s="1" t="s">
        <v>112</v>
      </c>
      <c r="J43" s="1"/>
      <c r="K43" s="1">
        <v>99</v>
      </c>
      <c r="L43" s="1">
        <f t="shared" si="42"/>
        <v>-99</v>
      </c>
      <c r="M43" s="1"/>
      <c r="N43" s="1"/>
      <c r="O43" s="1">
        <v>0</v>
      </c>
      <c r="P43" s="1">
        <f t="shared" si="43"/>
        <v>0</v>
      </c>
      <c r="Q43" s="23">
        <v>0</v>
      </c>
      <c r="R43" s="23">
        <v>0</v>
      </c>
      <c r="S43" s="23">
        <f t="shared" ref="S35:S60" si="47">AJ43*AK43</f>
        <v>0</v>
      </c>
      <c r="T43" s="33"/>
      <c r="U43" s="32"/>
      <c r="V43" s="1" t="e">
        <f t="shared" si="44"/>
        <v>#DIV/0!</v>
      </c>
      <c r="W43" s="1" t="e">
        <f t="shared" si="45"/>
        <v>#DIV/0!</v>
      </c>
      <c r="X43" s="1">
        <v>-0.4</v>
      </c>
      <c r="Y43" s="1">
        <v>0</v>
      </c>
      <c r="Z43" s="1">
        <v>0.6</v>
      </c>
      <c r="AA43" s="1">
        <v>0</v>
      </c>
      <c r="AB43" s="1">
        <v>0.2</v>
      </c>
      <c r="AC43" s="1">
        <v>1</v>
      </c>
      <c r="AD43" s="1">
        <v>0</v>
      </c>
      <c r="AE43" s="1">
        <v>2.2000000000000002</v>
      </c>
      <c r="AF43" s="1">
        <v>56.2</v>
      </c>
      <c r="AG43" s="1">
        <v>52.2</v>
      </c>
      <c r="AH43" s="14" t="s">
        <v>78</v>
      </c>
      <c r="AI43" s="1">
        <f t="shared" si="35"/>
        <v>0</v>
      </c>
      <c r="AJ43" s="7">
        <v>8</v>
      </c>
      <c r="AK43" s="9">
        <f t="shared" ref="AK35:AK60" si="48">MROUND(R43, AJ43*AM43)/AJ43</f>
        <v>0</v>
      </c>
      <c r="AL43" s="1">
        <f t="shared" si="37"/>
        <v>0</v>
      </c>
      <c r="AM43" s="1">
        <v>12</v>
      </c>
      <c r="AN43" s="1">
        <v>84</v>
      </c>
      <c r="AO43" s="9">
        <f t="shared" si="38"/>
        <v>0</v>
      </c>
      <c r="AP43" s="9"/>
      <c r="AQ43" s="1"/>
      <c r="AR43" s="9"/>
      <c r="AS43" s="1"/>
      <c r="AT43" s="1"/>
      <c r="AU43" s="1"/>
      <c r="AV43" s="1"/>
      <c r="AW43" s="1"/>
      <c r="AX43" s="1"/>
    </row>
    <row r="44" spans="1:50" x14ac:dyDescent="0.25">
      <c r="A44" s="21" t="s">
        <v>113</v>
      </c>
      <c r="B44" s="1" t="s">
        <v>42</v>
      </c>
      <c r="C44" s="1"/>
      <c r="D44" s="1"/>
      <c r="E44" s="1"/>
      <c r="F44" s="1"/>
      <c r="G44" s="7">
        <v>0.4</v>
      </c>
      <c r="H44" s="1">
        <v>180</v>
      </c>
      <c r="I44" s="1" t="s">
        <v>114</v>
      </c>
      <c r="J44" s="1"/>
      <c r="K44" s="1"/>
      <c r="L44" s="1">
        <f t="shared" si="42"/>
        <v>0</v>
      </c>
      <c r="M44" s="1"/>
      <c r="N44" s="1"/>
      <c r="O44" s="1">
        <v>192</v>
      </c>
      <c r="P44" s="1">
        <f t="shared" si="43"/>
        <v>0</v>
      </c>
      <c r="Q44" s="5"/>
      <c r="R44" s="5"/>
      <c r="S44" s="5">
        <f t="shared" si="47"/>
        <v>0</v>
      </c>
      <c r="T44" s="32"/>
      <c r="U44" s="32"/>
      <c r="V44" s="1" t="e">
        <f t="shared" si="44"/>
        <v>#DIV/0!</v>
      </c>
      <c r="W44" s="1" t="e">
        <f t="shared" si="45"/>
        <v>#DIV/0!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 t="s">
        <v>115</v>
      </c>
      <c r="AI44" s="1">
        <f t="shared" si="35"/>
        <v>0</v>
      </c>
      <c r="AJ44" s="7">
        <v>16</v>
      </c>
      <c r="AK44" s="9">
        <f t="shared" si="48"/>
        <v>0</v>
      </c>
      <c r="AL44" s="1">
        <f t="shared" si="37"/>
        <v>0</v>
      </c>
      <c r="AM44" s="1">
        <v>12</v>
      </c>
      <c r="AN44" s="1">
        <v>84</v>
      </c>
      <c r="AO44" s="9">
        <f t="shared" si="38"/>
        <v>0</v>
      </c>
      <c r="AP44" s="9"/>
      <c r="AQ44" s="1"/>
      <c r="AR44" s="9"/>
      <c r="AS44" s="1"/>
      <c r="AT44" s="1"/>
      <c r="AU44" s="1"/>
      <c r="AV44" s="1"/>
      <c r="AW44" s="1"/>
      <c r="AX44" s="1"/>
    </row>
    <row r="45" spans="1:50" x14ac:dyDescent="0.25">
      <c r="A45" s="21" t="s">
        <v>116</v>
      </c>
      <c r="B45" s="1" t="s">
        <v>42</v>
      </c>
      <c r="C45" s="1"/>
      <c r="D45" s="1"/>
      <c r="E45" s="1"/>
      <c r="F45" s="1"/>
      <c r="G45" s="7">
        <v>0.8</v>
      </c>
      <c r="H45" s="1">
        <v>180</v>
      </c>
      <c r="I45" s="1" t="s">
        <v>117</v>
      </c>
      <c r="J45" s="1"/>
      <c r="K45" s="1"/>
      <c r="L45" s="1">
        <f t="shared" si="42"/>
        <v>0</v>
      </c>
      <c r="M45" s="1"/>
      <c r="N45" s="1"/>
      <c r="O45" s="1">
        <v>96</v>
      </c>
      <c r="P45" s="1">
        <f t="shared" si="43"/>
        <v>0</v>
      </c>
      <c r="Q45" s="5"/>
      <c r="R45" s="5"/>
      <c r="S45" s="5">
        <f t="shared" si="47"/>
        <v>0</v>
      </c>
      <c r="T45" s="32"/>
      <c r="U45" s="32"/>
      <c r="V45" s="1" t="e">
        <f t="shared" si="44"/>
        <v>#DIV/0!</v>
      </c>
      <c r="W45" s="1" t="e">
        <f t="shared" si="45"/>
        <v>#DIV/0!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 t="s">
        <v>115</v>
      </c>
      <c r="AI45" s="1">
        <f t="shared" si="35"/>
        <v>0</v>
      </c>
      <c r="AJ45" s="7">
        <v>8</v>
      </c>
      <c r="AK45" s="9">
        <f t="shared" si="48"/>
        <v>0</v>
      </c>
      <c r="AL45" s="1">
        <f t="shared" si="37"/>
        <v>0</v>
      </c>
      <c r="AM45" s="1">
        <v>12</v>
      </c>
      <c r="AN45" s="1">
        <v>84</v>
      </c>
      <c r="AO45" s="9">
        <f t="shared" si="38"/>
        <v>0</v>
      </c>
      <c r="AP45" s="9"/>
      <c r="AQ45" s="1"/>
      <c r="AR45" s="9"/>
      <c r="AS45" s="1"/>
      <c r="AT45" s="1"/>
      <c r="AU45" s="1"/>
      <c r="AV45" s="1"/>
      <c r="AW45" s="1"/>
      <c r="AX45" s="1"/>
    </row>
    <row r="46" spans="1:50" x14ac:dyDescent="0.25">
      <c r="A46" s="21" t="s">
        <v>118</v>
      </c>
      <c r="B46" s="1" t="s">
        <v>42</v>
      </c>
      <c r="C46" s="1">
        <v>59</v>
      </c>
      <c r="D46" s="1">
        <v>726</v>
      </c>
      <c r="E46" s="1">
        <v>326</v>
      </c>
      <c r="F46" s="1">
        <v>412</v>
      </c>
      <c r="G46" s="7">
        <v>0.7</v>
      </c>
      <c r="H46" s="1">
        <v>180</v>
      </c>
      <c r="I46" s="1" t="s">
        <v>72</v>
      </c>
      <c r="J46" s="1"/>
      <c r="K46" s="1">
        <v>359</v>
      </c>
      <c r="L46" s="1">
        <f t="shared" si="42"/>
        <v>-33</v>
      </c>
      <c r="M46" s="1"/>
      <c r="N46" s="1"/>
      <c r="O46" s="1">
        <v>0</v>
      </c>
      <c r="P46" s="1">
        <f t="shared" si="43"/>
        <v>65.2</v>
      </c>
      <c r="Q46" s="5">
        <v>500.80000000000007</v>
      </c>
      <c r="R46" s="5">
        <f t="shared" si="46"/>
        <v>500.80000000000007</v>
      </c>
      <c r="S46" s="5">
        <f>AJ46*AK46+AP46*AJ46</f>
        <v>480</v>
      </c>
      <c r="T46" s="32"/>
      <c r="U46" s="32"/>
      <c r="V46" s="1">
        <f t="shared" si="44"/>
        <v>13.680981595092025</v>
      </c>
      <c r="W46" s="1">
        <f t="shared" si="45"/>
        <v>6.3190184049079754</v>
      </c>
      <c r="X46" s="1">
        <v>26.6</v>
      </c>
      <c r="Y46" s="1">
        <v>73.2</v>
      </c>
      <c r="Z46" s="1">
        <v>17.8</v>
      </c>
      <c r="AA46" s="1">
        <v>22.6</v>
      </c>
      <c r="AB46" s="1">
        <v>57</v>
      </c>
      <c r="AC46" s="1">
        <v>64.599999999999994</v>
      </c>
      <c r="AD46" s="1">
        <v>49.4</v>
      </c>
      <c r="AE46" s="1">
        <v>37.799999999999997</v>
      </c>
      <c r="AF46" s="1">
        <v>41.8</v>
      </c>
      <c r="AG46" s="1">
        <v>45.8</v>
      </c>
      <c r="AH46" s="1"/>
      <c r="AI46" s="1">
        <f t="shared" si="35"/>
        <v>350.56</v>
      </c>
      <c r="AJ46" s="7">
        <v>10</v>
      </c>
      <c r="AK46" s="9">
        <f>MROUND(R46, AJ46*AM46)/AJ46-AP46</f>
        <v>48</v>
      </c>
      <c r="AL46" s="1">
        <f t="shared" si="37"/>
        <v>336</v>
      </c>
      <c r="AM46" s="1">
        <v>12</v>
      </c>
      <c r="AN46" s="1">
        <v>84</v>
      </c>
      <c r="AO46" s="9">
        <f t="shared" si="38"/>
        <v>0.5714285714285714</v>
      </c>
      <c r="AP46" s="9"/>
      <c r="AQ46" s="1">
        <f>AP46*AJ46*G46</f>
        <v>0</v>
      </c>
      <c r="AR46" s="9">
        <f>AP46/AN46</f>
        <v>0</v>
      </c>
      <c r="AS46" s="1"/>
      <c r="AT46" s="1"/>
      <c r="AU46" s="1"/>
      <c r="AV46" s="1"/>
      <c r="AW46" s="1"/>
      <c r="AX46" s="1"/>
    </row>
    <row r="47" spans="1:50" x14ac:dyDescent="0.25">
      <c r="A47" s="21" t="s">
        <v>119</v>
      </c>
      <c r="B47" s="1" t="s">
        <v>42</v>
      </c>
      <c r="C47" s="1">
        <v>149</v>
      </c>
      <c r="D47" s="1">
        <v>270</v>
      </c>
      <c r="E47" s="1">
        <v>319</v>
      </c>
      <c r="F47" s="1">
        <v>70</v>
      </c>
      <c r="G47" s="7">
        <v>0.7</v>
      </c>
      <c r="H47" s="1">
        <v>180</v>
      </c>
      <c r="I47" s="1" t="s">
        <v>120</v>
      </c>
      <c r="J47" s="1"/>
      <c r="K47" s="1">
        <v>402</v>
      </c>
      <c r="L47" s="1">
        <f t="shared" si="42"/>
        <v>-83</v>
      </c>
      <c r="M47" s="1"/>
      <c r="N47" s="1"/>
      <c r="O47" s="1">
        <v>960</v>
      </c>
      <c r="P47" s="1">
        <f t="shared" si="43"/>
        <v>63.8</v>
      </c>
      <c r="Q47" s="5"/>
      <c r="R47" s="5"/>
      <c r="S47" s="5">
        <f t="shared" si="47"/>
        <v>0</v>
      </c>
      <c r="T47" s="32"/>
      <c r="U47" s="32"/>
      <c r="V47" s="1">
        <f t="shared" si="44"/>
        <v>16.144200626959247</v>
      </c>
      <c r="W47" s="1">
        <f t="shared" si="45"/>
        <v>16.144200626959247</v>
      </c>
      <c r="X47" s="1">
        <v>110.6</v>
      </c>
      <c r="Y47" s="1">
        <v>63.8</v>
      </c>
      <c r="Z47" s="1">
        <v>72.400000000000006</v>
      </c>
      <c r="AA47" s="1">
        <v>81.2</v>
      </c>
      <c r="AB47" s="1">
        <v>38.6</v>
      </c>
      <c r="AC47" s="1">
        <v>27</v>
      </c>
      <c r="AD47" s="1">
        <v>138.6</v>
      </c>
      <c r="AE47" s="1">
        <v>47.6</v>
      </c>
      <c r="AF47" s="1">
        <v>76.8</v>
      </c>
      <c r="AG47" s="1">
        <v>52</v>
      </c>
      <c r="AH47" s="1"/>
      <c r="AI47" s="1">
        <f t="shared" si="35"/>
        <v>0</v>
      </c>
      <c r="AJ47" s="7">
        <v>10</v>
      </c>
      <c r="AK47" s="9">
        <f t="shared" si="48"/>
        <v>0</v>
      </c>
      <c r="AL47" s="1">
        <f t="shared" si="37"/>
        <v>0</v>
      </c>
      <c r="AM47" s="1">
        <v>12</v>
      </c>
      <c r="AN47" s="1">
        <v>84</v>
      </c>
      <c r="AO47" s="9">
        <f t="shared" si="38"/>
        <v>0</v>
      </c>
      <c r="AP47" s="9"/>
      <c r="AQ47" s="1"/>
      <c r="AR47" s="9"/>
      <c r="AS47" s="1"/>
      <c r="AT47" s="1"/>
      <c r="AU47" s="1"/>
      <c r="AV47" s="1"/>
      <c r="AW47" s="1"/>
      <c r="AX47" s="1"/>
    </row>
    <row r="48" spans="1:50" x14ac:dyDescent="0.25">
      <c r="A48" s="21" t="s">
        <v>121</v>
      </c>
      <c r="B48" s="1" t="s">
        <v>42</v>
      </c>
      <c r="C48" s="1">
        <v>561</v>
      </c>
      <c r="D48" s="1">
        <v>20</v>
      </c>
      <c r="E48" s="1">
        <v>245</v>
      </c>
      <c r="F48" s="1">
        <v>324</v>
      </c>
      <c r="G48" s="7">
        <v>0.4</v>
      </c>
      <c r="H48" s="1">
        <v>180</v>
      </c>
      <c r="I48" s="1" t="s">
        <v>122</v>
      </c>
      <c r="J48" s="1"/>
      <c r="K48" s="1">
        <v>256</v>
      </c>
      <c r="L48" s="1">
        <f t="shared" si="42"/>
        <v>-11</v>
      </c>
      <c r="M48" s="1"/>
      <c r="N48" s="1"/>
      <c r="O48" s="1">
        <v>384</v>
      </c>
      <c r="P48" s="1">
        <f t="shared" si="43"/>
        <v>49</v>
      </c>
      <c r="Q48" s="5"/>
      <c r="R48" s="5"/>
      <c r="S48" s="5">
        <f t="shared" si="47"/>
        <v>0</v>
      </c>
      <c r="T48" s="32"/>
      <c r="U48" s="32"/>
      <c r="V48" s="1">
        <f t="shared" si="44"/>
        <v>14.448979591836734</v>
      </c>
      <c r="W48" s="1">
        <f t="shared" si="45"/>
        <v>14.448979591836734</v>
      </c>
      <c r="X48" s="1">
        <v>84.6</v>
      </c>
      <c r="Y48" s="1">
        <v>19.2</v>
      </c>
      <c r="Z48" s="1">
        <v>82</v>
      </c>
      <c r="AA48" s="1">
        <v>87.8</v>
      </c>
      <c r="AB48" s="1">
        <v>60.6</v>
      </c>
      <c r="AC48" s="1">
        <v>50.8</v>
      </c>
      <c r="AD48" s="1">
        <v>35</v>
      </c>
      <c r="AE48" s="1">
        <v>72.8</v>
      </c>
      <c r="AF48" s="1">
        <v>63.4</v>
      </c>
      <c r="AG48" s="1">
        <v>38.6</v>
      </c>
      <c r="AH48" s="1"/>
      <c r="AI48" s="1">
        <f t="shared" si="35"/>
        <v>0</v>
      </c>
      <c r="AJ48" s="7">
        <v>16</v>
      </c>
      <c r="AK48" s="9">
        <f t="shared" si="48"/>
        <v>0</v>
      </c>
      <c r="AL48" s="1">
        <f t="shared" si="37"/>
        <v>0</v>
      </c>
      <c r="AM48" s="1">
        <v>12</v>
      </c>
      <c r="AN48" s="1">
        <v>84</v>
      </c>
      <c r="AO48" s="9">
        <f t="shared" si="38"/>
        <v>0</v>
      </c>
      <c r="AP48" s="9"/>
      <c r="AQ48" s="1"/>
      <c r="AR48" s="9"/>
      <c r="AS48" s="1"/>
      <c r="AT48" s="1"/>
      <c r="AU48" s="1"/>
      <c r="AV48" s="1"/>
      <c r="AW48" s="1"/>
      <c r="AX48" s="1"/>
    </row>
    <row r="49" spans="1:50" x14ac:dyDescent="0.25">
      <c r="A49" s="1" t="s">
        <v>123</v>
      </c>
      <c r="B49" s="1" t="s">
        <v>42</v>
      </c>
      <c r="C49" s="1">
        <v>542</v>
      </c>
      <c r="D49" s="1">
        <v>506</v>
      </c>
      <c r="E49" s="1">
        <v>436</v>
      </c>
      <c r="F49" s="1">
        <v>519</v>
      </c>
      <c r="G49" s="7">
        <v>0.7</v>
      </c>
      <c r="H49" s="1">
        <v>180</v>
      </c>
      <c r="I49" s="1" t="s">
        <v>124</v>
      </c>
      <c r="J49" s="1"/>
      <c r="K49" s="1">
        <v>458</v>
      </c>
      <c r="L49" s="1">
        <f t="shared" si="42"/>
        <v>-22</v>
      </c>
      <c r="M49" s="1"/>
      <c r="N49" s="1"/>
      <c r="O49" s="1">
        <v>0</v>
      </c>
      <c r="P49" s="1">
        <f t="shared" si="43"/>
        <v>87.2</v>
      </c>
      <c r="Q49" s="5">
        <v>701.8</v>
      </c>
      <c r="R49" s="5">
        <f t="shared" si="46"/>
        <v>701.8</v>
      </c>
      <c r="S49" s="5">
        <f t="shared" ref="S49:S51" si="49">AJ49*AK49+AP49*AJ49</f>
        <v>720</v>
      </c>
      <c r="T49" s="32"/>
      <c r="U49" s="32"/>
      <c r="V49" s="1">
        <f t="shared" si="44"/>
        <v>14.208715596330276</v>
      </c>
      <c r="W49" s="1">
        <f t="shared" si="45"/>
        <v>5.9518348623853212</v>
      </c>
      <c r="X49" s="1">
        <v>83.6</v>
      </c>
      <c r="Y49" s="1">
        <v>89.6</v>
      </c>
      <c r="Z49" s="1">
        <v>84.6</v>
      </c>
      <c r="AA49" s="1">
        <v>111.4</v>
      </c>
      <c r="AB49" s="1">
        <v>97.4</v>
      </c>
      <c r="AC49" s="1">
        <v>77</v>
      </c>
      <c r="AD49" s="1">
        <v>89.4</v>
      </c>
      <c r="AE49" s="1">
        <v>39.200000000000003</v>
      </c>
      <c r="AF49" s="1">
        <v>87.4</v>
      </c>
      <c r="AG49" s="1">
        <v>89.2</v>
      </c>
      <c r="AH49" s="1"/>
      <c r="AI49" s="1">
        <f t="shared" si="35"/>
        <v>491.25999999999993</v>
      </c>
      <c r="AJ49" s="7">
        <v>10</v>
      </c>
      <c r="AK49" s="9">
        <f t="shared" ref="AK49:AK51" si="50">MROUND(R49, AJ49*AM49)/AJ49-AP49</f>
        <v>72</v>
      </c>
      <c r="AL49" s="1">
        <f t="shared" si="37"/>
        <v>503.99999999999994</v>
      </c>
      <c r="AM49" s="1">
        <v>12</v>
      </c>
      <c r="AN49" s="1">
        <v>84</v>
      </c>
      <c r="AO49" s="9">
        <f t="shared" si="38"/>
        <v>0.8571428571428571</v>
      </c>
      <c r="AP49" s="9"/>
      <c r="AQ49" s="1">
        <f t="shared" ref="AQ49:AQ51" si="51">AP49*AJ49*G49</f>
        <v>0</v>
      </c>
      <c r="AR49" s="9">
        <f t="shared" ref="AR49:AR51" si="52">AP49/AN49</f>
        <v>0</v>
      </c>
      <c r="AS49" s="1"/>
      <c r="AT49" s="1"/>
      <c r="AU49" s="1"/>
      <c r="AV49" s="1"/>
      <c r="AW49" s="1"/>
      <c r="AX49" s="1"/>
    </row>
    <row r="50" spans="1:50" x14ac:dyDescent="0.25">
      <c r="A50" s="1" t="s">
        <v>125</v>
      </c>
      <c r="B50" s="1" t="s">
        <v>42</v>
      </c>
      <c r="C50" s="1">
        <v>690</v>
      </c>
      <c r="D50" s="1">
        <v>738</v>
      </c>
      <c r="E50" s="1">
        <v>856</v>
      </c>
      <c r="F50" s="1">
        <v>356</v>
      </c>
      <c r="G50" s="7">
        <v>0.7</v>
      </c>
      <c r="H50" s="1">
        <v>180</v>
      </c>
      <c r="I50" s="1" t="s">
        <v>126</v>
      </c>
      <c r="J50" s="1"/>
      <c r="K50" s="1">
        <v>1373</v>
      </c>
      <c r="L50" s="1">
        <f t="shared" si="42"/>
        <v>-517</v>
      </c>
      <c r="M50" s="1"/>
      <c r="N50" s="1"/>
      <c r="O50" s="1">
        <v>600</v>
      </c>
      <c r="P50" s="1">
        <f t="shared" si="43"/>
        <v>171.2</v>
      </c>
      <c r="Q50" s="5">
        <v>1440.7999999999997</v>
      </c>
      <c r="R50" s="5">
        <f>14*P50-O50-F50+P50*$R$1</f>
        <v>1680.4799999999998</v>
      </c>
      <c r="S50" s="5">
        <f t="shared" si="49"/>
        <v>1680</v>
      </c>
      <c r="T50" s="32"/>
      <c r="U50" s="32"/>
      <c r="V50" s="1">
        <f t="shared" si="44"/>
        <v>15.397196261682245</v>
      </c>
      <c r="W50" s="1">
        <f t="shared" si="45"/>
        <v>5.5841121495327108</v>
      </c>
      <c r="X50" s="1">
        <v>158</v>
      </c>
      <c r="Y50" s="1">
        <v>122.4</v>
      </c>
      <c r="Z50" s="1">
        <v>141.80000000000001</v>
      </c>
      <c r="AA50" s="1">
        <v>170.8</v>
      </c>
      <c r="AB50" s="1">
        <v>164.8</v>
      </c>
      <c r="AC50" s="1">
        <v>98.2</v>
      </c>
      <c r="AD50" s="1">
        <v>162.80000000000001</v>
      </c>
      <c r="AE50" s="1">
        <v>154.19999999999999</v>
      </c>
      <c r="AF50" s="1">
        <v>122.6</v>
      </c>
      <c r="AG50" s="1">
        <v>95.6</v>
      </c>
      <c r="AH50" s="1"/>
      <c r="AI50" s="1">
        <f t="shared" si="35"/>
        <v>1176.3359999999998</v>
      </c>
      <c r="AJ50" s="7">
        <v>10</v>
      </c>
      <c r="AK50" s="9">
        <f t="shared" si="50"/>
        <v>84</v>
      </c>
      <c r="AL50" s="1">
        <f t="shared" si="37"/>
        <v>588</v>
      </c>
      <c r="AM50" s="1">
        <v>12</v>
      </c>
      <c r="AN50" s="1">
        <v>84</v>
      </c>
      <c r="AO50" s="9">
        <f t="shared" si="38"/>
        <v>1</v>
      </c>
      <c r="AP50" s="9">
        <v>84</v>
      </c>
      <c r="AQ50" s="1">
        <f t="shared" si="51"/>
        <v>588</v>
      </c>
      <c r="AR50" s="9">
        <f t="shared" si="52"/>
        <v>1</v>
      </c>
      <c r="AS50" s="1"/>
      <c r="AT50" s="1"/>
      <c r="AU50" s="1"/>
      <c r="AV50" s="1"/>
      <c r="AW50" s="1"/>
      <c r="AX50" s="1"/>
    </row>
    <row r="51" spans="1:50" x14ac:dyDescent="0.25">
      <c r="A51" s="1" t="s">
        <v>127</v>
      </c>
      <c r="B51" s="1" t="s">
        <v>86</v>
      </c>
      <c r="C51" s="1">
        <v>120</v>
      </c>
      <c r="D51" s="1">
        <v>795</v>
      </c>
      <c r="E51" s="1">
        <v>260</v>
      </c>
      <c r="F51" s="1">
        <v>540</v>
      </c>
      <c r="G51" s="7">
        <v>1</v>
      </c>
      <c r="H51" s="1">
        <v>180</v>
      </c>
      <c r="I51" s="1" t="s">
        <v>128</v>
      </c>
      <c r="J51" s="1"/>
      <c r="K51" s="1">
        <v>480</v>
      </c>
      <c r="L51" s="1">
        <f t="shared" si="42"/>
        <v>-220</v>
      </c>
      <c r="M51" s="1"/>
      <c r="N51" s="1"/>
      <c r="O51" s="1">
        <v>420</v>
      </c>
      <c r="P51" s="1">
        <f t="shared" si="43"/>
        <v>52</v>
      </c>
      <c r="Q51" s="5"/>
      <c r="R51" s="5">
        <f>T51</f>
        <v>400</v>
      </c>
      <c r="S51" s="5">
        <f t="shared" si="49"/>
        <v>420</v>
      </c>
      <c r="T51" s="32">
        <v>400</v>
      </c>
      <c r="U51" s="32" t="str">
        <f>VLOOKUP(A51,[1]Лист1!$A:$B,2,0)</f>
        <v>до 400 кг</v>
      </c>
      <c r="V51" s="1">
        <f t="shared" si="44"/>
        <v>26.53846153846154</v>
      </c>
      <c r="W51" s="1">
        <f t="shared" si="45"/>
        <v>18.46153846153846</v>
      </c>
      <c r="X51" s="1">
        <v>104</v>
      </c>
      <c r="Y51" s="1">
        <v>88</v>
      </c>
      <c r="Z51" s="1">
        <v>71</v>
      </c>
      <c r="AA51" s="1">
        <v>88</v>
      </c>
      <c r="AB51" s="1">
        <v>102.4</v>
      </c>
      <c r="AC51" s="1">
        <v>82</v>
      </c>
      <c r="AD51" s="1">
        <v>54</v>
      </c>
      <c r="AE51" s="1">
        <v>48</v>
      </c>
      <c r="AF51" s="1">
        <v>55</v>
      </c>
      <c r="AG51" s="1">
        <v>54</v>
      </c>
      <c r="AH51" s="1"/>
      <c r="AI51" s="1">
        <f t="shared" si="35"/>
        <v>400</v>
      </c>
      <c r="AJ51" s="7">
        <v>5</v>
      </c>
      <c r="AK51" s="9">
        <f t="shared" si="50"/>
        <v>84</v>
      </c>
      <c r="AL51" s="1">
        <f t="shared" si="37"/>
        <v>420</v>
      </c>
      <c r="AM51" s="1">
        <v>12</v>
      </c>
      <c r="AN51" s="1">
        <v>144</v>
      </c>
      <c r="AO51" s="9">
        <f t="shared" si="38"/>
        <v>0.58333333333333337</v>
      </c>
      <c r="AP51" s="9"/>
      <c r="AQ51" s="1">
        <f t="shared" si="51"/>
        <v>0</v>
      </c>
      <c r="AR51" s="9">
        <f t="shared" si="52"/>
        <v>0</v>
      </c>
      <c r="AS51" s="1"/>
      <c r="AT51" s="1"/>
      <c r="AU51" s="1"/>
      <c r="AV51" s="1"/>
      <c r="AW51" s="1"/>
      <c r="AX51" s="1"/>
    </row>
    <row r="52" spans="1:50" x14ac:dyDescent="0.25">
      <c r="A52" s="1" t="s">
        <v>129</v>
      </c>
      <c r="B52" s="1" t="s">
        <v>42</v>
      </c>
      <c r="C52" s="1">
        <v>472</v>
      </c>
      <c r="D52" s="1">
        <v>2</v>
      </c>
      <c r="E52" s="1">
        <v>122</v>
      </c>
      <c r="F52" s="1">
        <v>350</v>
      </c>
      <c r="G52" s="7">
        <v>0.4</v>
      </c>
      <c r="H52" s="1">
        <v>180</v>
      </c>
      <c r="I52" s="1" t="s">
        <v>130</v>
      </c>
      <c r="J52" s="1"/>
      <c r="K52" s="1">
        <v>323</v>
      </c>
      <c r="L52" s="1">
        <f t="shared" si="42"/>
        <v>-201</v>
      </c>
      <c r="M52" s="1"/>
      <c r="N52" s="1"/>
      <c r="O52" s="1">
        <v>576</v>
      </c>
      <c r="P52" s="1">
        <f t="shared" si="43"/>
        <v>24.4</v>
      </c>
      <c r="Q52" s="5"/>
      <c r="R52" s="5"/>
      <c r="S52" s="5">
        <f t="shared" si="47"/>
        <v>0</v>
      </c>
      <c r="T52" s="32"/>
      <c r="U52" s="32"/>
      <c r="V52" s="1">
        <f t="shared" si="44"/>
        <v>37.950819672131146</v>
      </c>
      <c r="W52" s="1">
        <f t="shared" si="45"/>
        <v>37.950819672131146</v>
      </c>
      <c r="X52" s="1">
        <v>88.2</v>
      </c>
      <c r="Y52" s="1">
        <v>33.799999999999997</v>
      </c>
      <c r="Z52" s="1">
        <v>84</v>
      </c>
      <c r="AA52" s="1">
        <v>83.6</v>
      </c>
      <c r="AB52" s="1">
        <v>66.599999999999994</v>
      </c>
      <c r="AC52" s="1">
        <v>50</v>
      </c>
      <c r="AD52" s="1">
        <v>50.6</v>
      </c>
      <c r="AE52" s="1">
        <v>104</v>
      </c>
      <c r="AF52" s="1">
        <v>70.8</v>
      </c>
      <c r="AG52" s="1">
        <v>80.8</v>
      </c>
      <c r="AH52" s="24" t="s">
        <v>160</v>
      </c>
      <c r="AI52" s="1">
        <f t="shared" si="35"/>
        <v>0</v>
      </c>
      <c r="AJ52" s="7">
        <v>16</v>
      </c>
      <c r="AK52" s="9">
        <f t="shared" si="48"/>
        <v>0</v>
      </c>
      <c r="AL52" s="1">
        <f t="shared" si="37"/>
        <v>0</v>
      </c>
      <c r="AM52" s="1">
        <v>12</v>
      </c>
      <c r="AN52" s="1">
        <v>84</v>
      </c>
      <c r="AO52" s="9">
        <f t="shared" si="38"/>
        <v>0</v>
      </c>
      <c r="AP52" s="9"/>
      <c r="AQ52" s="1"/>
      <c r="AR52" s="9"/>
      <c r="AS52" s="1"/>
      <c r="AT52" s="1"/>
      <c r="AU52" s="1"/>
      <c r="AV52" s="1"/>
      <c r="AW52" s="1"/>
      <c r="AX52" s="1"/>
    </row>
    <row r="53" spans="1:50" x14ac:dyDescent="0.25">
      <c r="A53" s="1" t="s">
        <v>131</v>
      </c>
      <c r="B53" s="1" t="s">
        <v>42</v>
      </c>
      <c r="C53" s="1">
        <v>566</v>
      </c>
      <c r="D53" s="1">
        <v>1701</v>
      </c>
      <c r="E53" s="1">
        <v>997</v>
      </c>
      <c r="F53" s="1">
        <v>979</v>
      </c>
      <c r="G53" s="7">
        <v>0.7</v>
      </c>
      <c r="H53" s="1">
        <v>180</v>
      </c>
      <c r="I53" s="1" t="s">
        <v>132</v>
      </c>
      <c r="J53" s="1"/>
      <c r="K53" s="1">
        <v>1137</v>
      </c>
      <c r="L53" s="1">
        <f t="shared" si="42"/>
        <v>-140</v>
      </c>
      <c r="M53" s="1"/>
      <c r="N53" s="1"/>
      <c r="O53" s="1">
        <v>0</v>
      </c>
      <c r="P53" s="1">
        <f t="shared" si="43"/>
        <v>199.4</v>
      </c>
      <c r="Q53" s="5">
        <v>1812.6</v>
      </c>
      <c r="R53" s="5">
        <f>14*P53-O53-F53+P53*$R$1</f>
        <v>2091.7599999999998</v>
      </c>
      <c r="S53" s="5">
        <f t="shared" ref="S53:S55" si="53">AJ53*AK53+AP53*AJ53</f>
        <v>2040</v>
      </c>
      <c r="T53" s="32"/>
      <c r="U53" s="32"/>
      <c r="V53" s="1">
        <f t="shared" si="44"/>
        <v>15.140421263791374</v>
      </c>
      <c r="W53" s="1">
        <f t="shared" si="45"/>
        <v>4.9097291875626876</v>
      </c>
      <c r="X53" s="1">
        <v>163.19999999999999</v>
      </c>
      <c r="Y53" s="1">
        <v>176</v>
      </c>
      <c r="Z53" s="1">
        <v>178.2</v>
      </c>
      <c r="AA53" s="1">
        <v>185.6</v>
      </c>
      <c r="AB53" s="1">
        <v>172</v>
      </c>
      <c r="AC53" s="1">
        <v>151.19999999999999</v>
      </c>
      <c r="AD53" s="1">
        <v>140.4</v>
      </c>
      <c r="AE53" s="1">
        <v>155.4</v>
      </c>
      <c r="AF53" s="1">
        <v>130.4</v>
      </c>
      <c r="AG53" s="1">
        <v>128</v>
      </c>
      <c r="AH53" s="1"/>
      <c r="AI53" s="1">
        <f t="shared" si="35"/>
        <v>1464.2319999999997</v>
      </c>
      <c r="AJ53" s="7">
        <v>10</v>
      </c>
      <c r="AK53" s="9">
        <f t="shared" ref="AK53:AK55" si="54">MROUND(R53, AJ53*AM53)/AJ53-AP53</f>
        <v>120</v>
      </c>
      <c r="AL53" s="1">
        <f t="shared" si="37"/>
        <v>840</v>
      </c>
      <c r="AM53" s="1">
        <v>12</v>
      </c>
      <c r="AN53" s="1">
        <v>84</v>
      </c>
      <c r="AO53" s="9">
        <f t="shared" si="38"/>
        <v>1.4285714285714286</v>
      </c>
      <c r="AP53" s="9">
        <v>84</v>
      </c>
      <c r="AQ53" s="1">
        <f t="shared" ref="AQ53:AQ55" si="55">AP53*AJ53*G53</f>
        <v>588</v>
      </c>
      <c r="AR53" s="9">
        <f t="shared" ref="AR53:AR55" si="56">AP53/AN53</f>
        <v>1</v>
      </c>
      <c r="AS53" s="1"/>
      <c r="AT53" s="1"/>
      <c r="AU53" s="1"/>
      <c r="AV53" s="1"/>
      <c r="AW53" s="1"/>
      <c r="AX53" s="1"/>
    </row>
    <row r="54" spans="1:50" x14ac:dyDescent="0.25">
      <c r="A54" s="1" t="s">
        <v>133</v>
      </c>
      <c r="B54" s="1" t="s">
        <v>42</v>
      </c>
      <c r="C54" s="1">
        <v>606</v>
      </c>
      <c r="D54" s="1">
        <v>768</v>
      </c>
      <c r="E54" s="1">
        <v>360</v>
      </c>
      <c r="F54" s="1">
        <v>858</v>
      </c>
      <c r="G54" s="7">
        <v>0.4</v>
      </c>
      <c r="H54" s="1">
        <v>180</v>
      </c>
      <c r="I54" s="1" t="s">
        <v>134</v>
      </c>
      <c r="J54" s="1"/>
      <c r="K54" s="1">
        <v>488</v>
      </c>
      <c r="L54" s="1">
        <f t="shared" si="42"/>
        <v>-128</v>
      </c>
      <c r="M54" s="1"/>
      <c r="N54" s="1"/>
      <c r="O54" s="1">
        <v>0</v>
      </c>
      <c r="P54" s="1">
        <f t="shared" si="43"/>
        <v>72</v>
      </c>
      <c r="Q54" s="5">
        <v>150</v>
      </c>
      <c r="R54" s="5">
        <f t="shared" si="46"/>
        <v>150</v>
      </c>
      <c r="S54" s="5">
        <f t="shared" si="53"/>
        <v>192</v>
      </c>
      <c r="T54" s="32"/>
      <c r="U54" s="32"/>
      <c r="V54" s="1">
        <f t="shared" si="44"/>
        <v>14.583333333333334</v>
      </c>
      <c r="W54" s="1">
        <f t="shared" si="45"/>
        <v>11.916666666666666</v>
      </c>
      <c r="X54" s="1">
        <v>98.4</v>
      </c>
      <c r="Y54" s="1">
        <v>109.2</v>
      </c>
      <c r="Z54" s="1">
        <v>82.6</v>
      </c>
      <c r="AA54" s="1">
        <v>138.80000000000001</v>
      </c>
      <c r="AB54" s="1">
        <v>138.6</v>
      </c>
      <c r="AC54" s="1">
        <v>105.8</v>
      </c>
      <c r="AD54" s="1">
        <v>111.8</v>
      </c>
      <c r="AE54" s="1">
        <v>57.2</v>
      </c>
      <c r="AF54" s="1">
        <v>104.4</v>
      </c>
      <c r="AG54" s="1">
        <v>119</v>
      </c>
      <c r="AH54" s="1"/>
      <c r="AI54" s="1">
        <f t="shared" si="35"/>
        <v>60</v>
      </c>
      <c r="AJ54" s="7">
        <v>16</v>
      </c>
      <c r="AK54" s="9">
        <f t="shared" si="54"/>
        <v>12</v>
      </c>
      <c r="AL54" s="1">
        <f t="shared" si="37"/>
        <v>76.800000000000011</v>
      </c>
      <c r="AM54" s="1">
        <v>12</v>
      </c>
      <c r="AN54" s="1">
        <v>84</v>
      </c>
      <c r="AO54" s="9">
        <f t="shared" si="38"/>
        <v>0.14285714285714285</v>
      </c>
      <c r="AP54" s="9"/>
      <c r="AQ54" s="1">
        <f t="shared" si="55"/>
        <v>0</v>
      </c>
      <c r="AR54" s="9">
        <f t="shared" si="56"/>
        <v>0</v>
      </c>
      <c r="AS54" s="1"/>
      <c r="AT54" s="1"/>
      <c r="AU54" s="1"/>
      <c r="AV54" s="1"/>
      <c r="AW54" s="1"/>
      <c r="AX54" s="1"/>
    </row>
    <row r="55" spans="1:50" x14ac:dyDescent="0.25">
      <c r="A55" s="1" t="s">
        <v>135</v>
      </c>
      <c r="B55" s="1" t="s">
        <v>42</v>
      </c>
      <c r="C55" s="1">
        <v>619</v>
      </c>
      <c r="D55" s="1">
        <v>1445</v>
      </c>
      <c r="E55" s="1">
        <v>1022</v>
      </c>
      <c r="F55" s="1">
        <v>872</v>
      </c>
      <c r="G55" s="7">
        <v>0.7</v>
      </c>
      <c r="H55" s="1">
        <v>180</v>
      </c>
      <c r="I55" s="1" t="s">
        <v>136</v>
      </c>
      <c r="J55" s="1"/>
      <c r="K55" s="1">
        <v>1156</v>
      </c>
      <c r="L55" s="1">
        <f t="shared" si="42"/>
        <v>-134</v>
      </c>
      <c r="M55" s="1"/>
      <c r="N55" s="1"/>
      <c r="O55" s="1">
        <v>360</v>
      </c>
      <c r="P55" s="1">
        <f t="shared" si="43"/>
        <v>204.4</v>
      </c>
      <c r="Q55" s="5">
        <v>1629.6</v>
      </c>
      <c r="R55" s="5">
        <f>14*P55-O55-F55+P55*$R$1</f>
        <v>1915.7599999999998</v>
      </c>
      <c r="S55" s="5">
        <f t="shared" si="53"/>
        <v>1920</v>
      </c>
      <c r="T55" s="32"/>
      <c r="U55" s="32"/>
      <c r="V55" s="1">
        <f t="shared" si="44"/>
        <v>15.420743639921721</v>
      </c>
      <c r="W55" s="1">
        <f t="shared" si="45"/>
        <v>6.0273972602739727</v>
      </c>
      <c r="X55" s="1">
        <v>181.8</v>
      </c>
      <c r="Y55" s="1">
        <v>175.2</v>
      </c>
      <c r="Z55" s="1">
        <v>189.2</v>
      </c>
      <c r="AA55" s="1">
        <v>202.8</v>
      </c>
      <c r="AB55" s="1">
        <v>159</v>
      </c>
      <c r="AC55" s="1">
        <v>192.2</v>
      </c>
      <c r="AD55" s="1">
        <v>148.6</v>
      </c>
      <c r="AE55" s="1">
        <v>182.2</v>
      </c>
      <c r="AF55" s="1">
        <v>154</v>
      </c>
      <c r="AG55" s="1">
        <v>146.6</v>
      </c>
      <c r="AH55" s="1"/>
      <c r="AI55" s="1">
        <f t="shared" si="35"/>
        <v>1341.0319999999997</v>
      </c>
      <c r="AJ55" s="7">
        <v>10</v>
      </c>
      <c r="AK55" s="9">
        <f t="shared" si="54"/>
        <v>108</v>
      </c>
      <c r="AL55" s="1">
        <f t="shared" si="37"/>
        <v>756</v>
      </c>
      <c r="AM55" s="1">
        <v>12</v>
      </c>
      <c r="AN55" s="1">
        <v>84</v>
      </c>
      <c r="AO55" s="9">
        <f t="shared" si="38"/>
        <v>1.2857142857142858</v>
      </c>
      <c r="AP55" s="9">
        <v>84</v>
      </c>
      <c r="AQ55" s="1">
        <f t="shared" si="55"/>
        <v>588</v>
      </c>
      <c r="AR55" s="9">
        <f t="shared" si="56"/>
        <v>1</v>
      </c>
      <c r="AS55" s="1"/>
      <c r="AT55" s="1"/>
      <c r="AU55" s="1"/>
      <c r="AV55" s="1"/>
      <c r="AW55" s="1"/>
      <c r="AX55" s="1"/>
    </row>
    <row r="56" spans="1:50" x14ac:dyDescent="0.25">
      <c r="A56" s="1" t="s">
        <v>137</v>
      </c>
      <c r="B56" s="1" t="s">
        <v>42</v>
      </c>
      <c r="C56" s="1">
        <v>1049</v>
      </c>
      <c r="D56" s="1">
        <v>6</v>
      </c>
      <c r="E56" s="1">
        <v>305</v>
      </c>
      <c r="F56" s="1">
        <v>703</v>
      </c>
      <c r="G56" s="7">
        <v>0.8</v>
      </c>
      <c r="H56" s="1"/>
      <c r="I56" s="14" t="s">
        <v>138</v>
      </c>
      <c r="J56" s="1"/>
      <c r="K56" s="1">
        <v>323</v>
      </c>
      <c r="L56" s="1">
        <f t="shared" si="42"/>
        <v>-18</v>
      </c>
      <c r="M56" s="1"/>
      <c r="N56" s="1"/>
      <c r="O56" s="1">
        <v>288</v>
      </c>
      <c r="P56" s="1">
        <f t="shared" si="43"/>
        <v>61</v>
      </c>
      <c r="Q56" s="5"/>
      <c r="R56" s="5"/>
      <c r="S56" s="5">
        <f t="shared" si="47"/>
        <v>0</v>
      </c>
      <c r="T56" s="32"/>
      <c r="U56" s="32"/>
      <c r="V56" s="1">
        <f t="shared" si="44"/>
        <v>16.245901639344261</v>
      </c>
      <c r="W56" s="1">
        <f t="shared" si="45"/>
        <v>16.245901639344261</v>
      </c>
      <c r="X56" s="1">
        <v>63</v>
      </c>
      <c r="Y56" s="1">
        <v>42</v>
      </c>
      <c r="Z56" s="1">
        <v>56.4</v>
      </c>
      <c r="AA56" s="1">
        <v>77.8</v>
      </c>
      <c r="AB56" s="1">
        <v>74</v>
      </c>
      <c r="AC56" s="1">
        <v>40.200000000000003</v>
      </c>
      <c r="AD56" s="1">
        <v>8.1999999999999993</v>
      </c>
      <c r="AE56" s="1">
        <v>12.4</v>
      </c>
      <c r="AF56" s="1">
        <v>7.2</v>
      </c>
      <c r="AG56" s="1">
        <v>6</v>
      </c>
      <c r="AH56" s="1"/>
      <c r="AI56" s="1">
        <f t="shared" si="35"/>
        <v>0</v>
      </c>
      <c r="AJ56" s="7">
        <v>8</v>
      </c>
      <c r="AK56" s="9">
        <f t="shared" si="48"/>
        <v>0</v>
      </c>
      <c r="AL56" s="1">
        <f t="shared" si="37"/>
        <v>0</v>
      </c>
      <c r="AM56" s="1">
        <v>12</v>
      </c>
      <c r="AN56" s="1">
        <v>84</v>
      </c>
      <c r="AO56" s="9">
        <f t="shared" si="38"/>
        <v>0</v>
      </c>
      <c r="AP56" s="9"/>
      <c r="AQ56" s="1"/>
      <c r="AR56" s="9"/>
      <c r="AS56" s="1"/>
      <c r="AT56" s="1"/>
      <c r="AU56" s="1"/>
      <c r="AV56" s="1"/>
      <c r="AW56" s="1"/>
      <c r="AX56" s="1"/>
    </row>
    <row r="57" spans="1:50" x14ac:dyDescent="0.25">
      <c r="A57" s="1" t="s">
        <v>139</v>
      </c>
      <c r="B57" s="1" t="s">
        <v>42</v>
      </c>
      <c r="C57" s="1">
        <v>112</v>
      </c>
      <c r="D57" s="1">
        <v>1464</v>
      </c>
      <c r="E57" s="1">
        <v>766</v>
      </c>
      <c r="F57" s="1">
        <v>679</v>
      </c>
      <c r="G57" s="7">
        <v>1</v>
      </c>
      <c r="H57" s="1">
        <v>180</v>
      </c>
      <c r="I57" s="1" t="s">
        <v>140</v>
      </c>
      <c r="J57" s="1"/>
      <c r="K57" s="1">
        <v>914</v>
      </c>
      <c r="L57" s="1">
        <f t="shared" si="42"/>
        <v>-148</v>
      </c>
      <c r="M57" s="1"/>
      <c r="N57" s="1"/>
      <c r="O57" s="1">
        <v>0</v>
      </c>
      <c r="P57" s="1">
        <f t="shared" si="43"/>
        <v>153.19999999999999</v>
      </c>
      <c r="Q57" s="5">
        <v>1465.7999999999997</v>
      </c>
      <c r="R57" s="5">
        <f>14*P57-O57-F57+P57*$R$1</f>
        <v>1680.2799999999997</v>
      </c>
      <c r="S57" s="5">
        <f t="shared" ref="S57:S59" si="57">AJ57*AK57+AP57*AJ57</f>
        <v>1680</v>
      </c>
      <c r="T57" s="32"/>
      <c r="U57" s="32"/>
      <c r="V57" s="1">
        <f t="shared" si="44"/>
        <v>15.398172323759793</v>
      </c>
      <c r="W57" s="1">
        <f t="shared" si="45"/>
        <v>4.4321148825065277</v>
      </c>
      <c r="X57" s="1">
        <v>47.6</v>
      </c>
      <c r="Y57" s="1">
        <v>149</v>
      </c>
      <c r="Z57" s="1">
        <v>70</v>
      </c>
      <c r="AA57" s="1">
        <v>64</v>
      </c>
      <c r="AB57" s="1">
        <v>134</v>
      </c>
      <c r="AC57" s="1">
        <v>128.4</v>
      </c>
      <c r="AD57" s="1">
        <v>105.2</v>
      </c>
      <c r="AE57" s="1">
        <v>97</v>
      </c>
      <c r="AF57" s="1">
        <v>118.4</v>
      </c>
      <c r="AG57" s="1">
        <v>97.4</v>
      </c>
      <c r="AH57" s="1"/>
      <c r="AI57" s="1">
        <f t="shared" si="35"/>
        <v>1680.2799999999997</v>
      </c>
      <c r="AJ57" s="7">
        <v>5</v>
      </c>
      <c r="AK57" s="9">
        <f t="shared" ref="AK57:AK59" si="58">MROUND(R57, AJ57*AM57)/AJ57-AP57</f>
        <v>180</v>
      </c>
      <c r="AL57" s="1">
        <f t="shared" si="37"/>
        <v>900</v>
      </c>
      <c r="AM57" s="1">
        <v>12</v>
      </c>
      <c r="AN57" s="1">
        <v>84</v>
      </c>
      <c r="AO57" s="9">
        <f t="shared" si="38"/>
        <v>2.1428571428571428</v>
      </c>
      <c r="AP57" s="9">
        <v>156</v>
      </c>
      <c r="AQ57" s="1">
        <f t="shared" ref="AQ57:AQ59" si="59">AP57*AJ57*G57</f>
        <v>780</v>
      </c>
      <c r="AR57" s="9">
        <f t="shared" ref="AR57:AR59" si="60">AP57/AN57</f>
        <v>1.8571428571428572</v>
      </c>
      <c r="AS57" s="1"/>
      <c r="AT57" s="1"/>
      <c r="AU57" s="1"/>
      <c r="AV57" s="1"/>
      <c r="AW57" s="1"/>
      <c r="AX57" s="1"/>
    </row>
    <row r="58" spans="1:50" x14ac:dyDescent="0.25">
      <c r="A58" s="1" t="s">
        <v>141</v>
      </c>
      <c r="B58" s="1" t="s">
        <v>42</v>
      </c>
      <c r="C58" s="1">
        <v>107</v>
      </c>
      <c r="D58" s="1">
        <v>101</v>
      </c>
      <c r="E58" s="1">
        <v>88</v>
      </c>
      <c r="F58" s="1">
        <v>109</v>
      </c>
      <c r="G58" s="7">
        <v>0.9</v>
      </c>
      <c r="H58" s="1">
        <v>180</v>
      </c>
      <c r="I58" s="1" t="s">
        <v>142</v>
      </c>
      <c r="J58" s="1"/>
      <c r="K58" s="1">
        <v>103</v>
      </c>
      <c r="L58" s="1">
        <f t="shared" si="42"/>
        <v>-15</v>
      </c>
      <c r="M58" s="1"/>
      <c r="N58" s="1"/>
      <c r="O58" s="1">
        <v>0</v>
      </c>
      <c r="P58" s="1">
        <f t="shared" si="43"/>
        <v>17.600000000000001</v>
      </c>
      <c r="Q58" s="5">
        <v>137.40000000000003</v>
      </c>
      <c r="R58" s="5">
        <f t="shared" si="46"/>
        <v>137.40000000000003</v>
      </c>
      <c r="S58" s="5">
        <f t="shared" si="57"/>
        <v>96</v>
      </c>
      <c r="T58" s="32"/>
      <c r="U58" s="32"/>
      <c r="V58" s="1">
        <f t="shared" si="44"/>
        <v>11.647727272727272</v>
      </c>
      <c r="W58" s="1">
        <f t="shared" si="45"/>
        <v>6.1931818181818175</v>
      </c>
      <c r="X58" s="1">
        <v>15.4</v>
      </c>
      <c r="Y58" s="1">
        <v>17.600000000000001</v>
      </c>
      <c r="Z58" s="1">
        <v>17</v>
      </c>
      <c r="AA58" s="1">
        <v>21</v>
      </c>
      <c r="AB58" s="1">
        <v>25.2</v>
      </c>
      <c r="AC58" s="1">
        <v>28</v>
      </c>
      <c r="AD58" s="1">
        <v>25.4</v>
      </c>
      <c r="AE58" s="1">
        <v>20.399999999999999</v>
      </c>
      <c r="AF58" s="1">
        <v>28.2</v>
      </c>
      <c r="AG58" s="1">
        <v>24.8</v>
      </c>
      <c r="AH58" s="1"/>
      <c r="AI58" s="1">
        <f t="shared" si="35"/>
        <v>123.66000000000004</v>
      </c>
      <c r="AJ58" s="7">
        <v>8</v>
      </c>
      <c r="AK58" s="9">
        <f t="shared" si="58"/>
        <v>12</v>
      </c>
      <c r="AL58" s="1">
        <f t="shared" si="37"/>
        <v>86.4</v>
      </c>
      <c r="AM58" s="1">
        <v>12</v>
      </c>
      <c r="AN58" s="1">
        <v>84</v>
      </c>
      <c r="AO58" s="9">
        <f t="shared" si="38"/>
        <v>0.14285714285714285</v>
      </c>
      <c r="AP58" s="9"/>
      <c r="AQ58" s="1">
        <f t="shared" si="59"/>
        <v>0</v>
      </c>
      <c r="AR58" s="9">
        <f t="shared" si="60"/>
        <v>0</v>
      </c>
      <c r="AS58" s="1"/>
      <c r="AT58" s="1"/>
      <c r="AU58" s="1"/>
      <c r="AV58" s="1"/>
      <c r="AW58" s="1"/>
      <c r="AX58" s="1"/>
    </row>
    <row r="59" spans="1:50" x14ac:dyDescent="0.25">
      <c r="A59" s="1" t="s">
        <v>143</v>
      </c>
      <c r="B59" s="1" t="s">
        <v>86</v>
      </c>
      <c r="C59" s="1">
        <v>80</v>
      </c>
      <c r="D59" s="1">
        <v>120</v>
      </c>
      <c r="E59" s="1">
        <v>135</v>
      </c>
      <c r="F59" s="1">
        <v>65</v>
      </c>
      <c r="G59" s="7">
        <v>1</v>
      </c>
      <c r="H59" s="1">
        <v>180</v>
      </c>
      <c r="I59" s="1" t="s">
        <v>144</v>
      </c>
      <c r="J59" s="1"/>
      <c r="K59" s="1">
        <v>173</v>
      </c>
      <c r="L59" s="1">
        <f t="shared" si="42"/>
        <v>-38</v>
      </c>
      <c r="M59" s="1"/>
      <c r="N59" s="1"/>
      <c r="O59" s="1">
        <v>0</v>
      </c>
      <c r="P59" s="1">
        <f t="shared" si="43"/>
        <v>27</v>
      </c>
      <c r="Q59" s="5">
        <v>259</v>
      </c>
      <c r="R59" s="5">
        <f>12*P59-O59-F59</f>
        <v>259</v>
      </c>
      <c r="S59" s="5">
        <f t="shared" si="57"/>
        <v>240</v>
      </c>
      <c r="T59" s="32"/>
      <c r="U59" s="32"/>
      <c r="V59" s="1">
        <f t="shared" si="44"/>
        <v>11.296296296296296</v>
      </c>
      <c r="W59" s="1">
        <f t="shared" si="45"/>
        <v>2.4074074074074074</v>
      </c>
      <c r="X59" s="1">
        <v>15</v>
      </c>
      <c r="Y59" s="1">
        <v>21</v>
      </c>
      <c r="Z59" s="1">
        <v>19</v>
      </c>
      <c r="AA59" s="1">
        <v>4</v>
      </c>
      <c r="AB59" s="1">
        <v>16</v>
      </c>
      <c r="AC59" s="1">
        <v>34</v>
      </c>
      <c r="AD59" s="1">
        <v>27.611999999999998</v>
      </c>
      <c r="AE59" s="1">
        <v>29</v>
      </c>
      <c r="AF59" s="1">
        <v>39</v>
      </c>
      <c r="AG59" s="1">
        <v>38</v>
      </c>
      <c r="AH59" s="1"/>
      <c r="AI59" s="1">
        <f t="shared" si="35"/>
        <v>259</v>
      </c>
      <c r="AJ59" s="7">
        <v>5</v>
      </c>
      <c r="AK59" s="9">
        <f t="shared" si="58"/>
        <v>48</v>
      </c>
      <c r="AL59" s="1">
        <f t="shared" si="37"/>
        <v>240</v>
      </c>
      <c r="AM59" s="1">
        <v>12</v>
      </c>
      <c r="AN59" s="1">
        <v>144</v>
      </c>
      <c r="AO59" s="9">
        <f t="shared" si="38"/>
        <v>0.33333333333333331</v>
      </c>
      <c r="AP59" s="9"/>
      <c r="AQ59" s="1">
        <f t="shared" si="59"/>
        <v>0</v>
      </c>
      <c r="AR59" s="9">
        <f t="shared" si="60"/>
        <v>0</v>
      </c>
      <c r="AS59" s="1"/>
      <c r="AT59" s="1"/>
      <c r="AU59" s="1"/>
      <c r="AV59" s="1"/>
      <c r="AW59" s="1"/>
      <c r="AX59" s="1"/>
    </row>
    <row r="60" spans="1:50" x14ac:dyDescent="0.25">
      <c r="A60" s="21" t="s">
        <v>145</v>
      </c>
      <c r="B60" s="1" t="s">
        <v>42</v>
      </c>
      <c r="C60" s="1"/>
      <c r="D60" s="1"/>
      <c r="E60" s="20">
        <f>0+E61</f>
        <v>285</v>
      </c>
      <c r="F60" s="20">
        <f>0+F61</f>
        <v>982</v>
      </c>
      <c r="G60" s="7">
        <v>1</v>
      </c>
      <c r="H60" s="1">
        <v>180</v>
      </c>
      <c r="I60" s="14" t="s">
        <v>146</v>
      </c>
      <c r="J60" s="1"/>
      <c r="K60" s="1"/>
      <c r="L60" s="1">
        <f t="shared" si="42"/>
        <v>285</v>
      </c>
      <c r="M60" s="1"/>
      <c r="N60" s="1"/>
      <c r="O60" s="1">
        <v>0</v>
      </c>
      <c r="P60" s="1">
        <f t="shared" si="43"/>
        <v>57</v>
      </c>
      <c r="Q60" s="5"/>
      <c r="R60" s="5"/>
      <c r="S60" s="5">
        <f t="shared" si="47"/>
        <v>0</v>
      </c>
      <c r="T60" s="32"/>
      <c r="U60" s="32"/>
      <c r="V60" s="1">
        <f t="shared" si="44"/>
        <v>17.228070175438596</v>
      </c>
      <c r="W60" s="1">
        <f t="shared" si="45"/>
        <v>17.228070175438596</v>
      </c>
      <c r="X60" s="1">
        <v>49.8</v>
      </c>
      <c r="Y60" s="1">
        <v>12.2</v>
      </c>
      <c r="Z60" s="1">
        <v>69.2</v>
      </c>
      <c r="AA60" s="1">
        <v>62</v>
      </c>
      <c r="AB60" s="1">
        <v>26.8</v>
      </c>
      <c r="AC60" s="1">
        <v>11.4</v>
      </c>
      <c r="AD60" s="1">
        <v>1.6</v>
      </c>
      <c r="AE60" s="1">
        <v>1.4</v>
      </c>
      <c r="AF60" s="1">
        <v>2.2000000000000002</v>
      </c>
      <c r="AG60" s="1">
        <v>1.4</v>
      </c>
      <c r="AH60" s="24" t="s">
        <v>160</v>
      </c>
      <c r="AI60" s="1">
        <f t="shared" si="35"/>
        <v>0</v>
      </c>
      <c r="AJ60" s="7">
        <v>5</v>
      </c>
      <c r="AK60" s="9">
        <f t="shared" si="48"/>
        <v>0</v>
      </c>
      <c r="AL60" s="1">
        <f t="shared" si="37"/>
        <v>0</v>
      </c>
      <c r="AM60" s="1">
        <v>12</v>
      </c>
      <c r="AN60" s="1">
        <v>84</v>
      </c>
      <c r="AO60" s="9">
        <f t="shared" si="38"/>
        <v>0</v>
      </c>
      <c r="AP60" s="9"/>
      <c r="AQ60" s="1"/>
      <c r="AR60" s="9"/>
      <c r="AS60" s="1"/>
      <c r="AT60" s="1"/>
      <c r="AU60" s="1"/>
      <c r="AV60" s="1"/>
      <c r="AW60" s="1"/>
      <c r="AX60" s="1"/>
    </row>
    <row r="61" spans="1:50" x14ac:dyDescent="0.25">
      <c r="A61" s="15" t="s">
        <v>148</v>
      </c>
      <c r="B61" s="15" t="s">
        <v>42</v>
      </c>
      <c r="C61" s="15">
        <v>1303</v>
      </c>
      <c r="D61" s="15">
        <v>9</v>
      </c>
      <c r="E61" s="20">
        <v>285</v>
      </c>
      <c r="F61" s="20">
        <v>982</v>
      </c>
      <c r="G61" s="16">
        <v>0</v>
      </c>
      <c r="H61" s="15">
        <v>180</v>
      </c>
      <c r="I61" s="15" t="s">
        <v>48</v>
      </c>
      <c r="J61" s="15" t="s">
        <v>145</v>
      </c>
      <c r="K61" s="15">
        <v>305</v>
      </c>
      <c r="L61" s="15">
        <f t="shared" si="42"/>
        <v>-20</v>
      </c>
      <c r="M61" s="15"/>
      <c r="N61" s="15"/>
      <c r="O61" s="15"/>
      <c r="P61" s="15">
        <f t="shared" si="43"/>
        <v>57</v>
      </c>
      <c r="Q61" s="17"/>
      <c r="R61" s="17"/>
      <c r="S61" s="17"/>
      <c r="T61" s="31"/>
      <c r="U61" s="32"/>
      <c r="V61" s="15">
        <f t="shared" si="44"/>
        <v>17.228070175438596</v>
      </c>
      <c r="W61" s="15">
        <f t="shared" si="45"/>
        <v>17.228070175438596</v>
      </c>
      <c r="X61" s="15">
        <v>49.8</v>
      </c>
      <c r="Y61" s="15">
        <v>7</v>
      </c>
      <c r="Z61" s="15">
        <v>5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/>
      <c r="AI61" s="15"/>
      <c r="AJ61" s="16"/>
      <c r="AK61" s="18"/>
      <c r="AL61" s="15"/>
      <c r="AM61" s="15"/>
      <c r="AN61" s="15"/>
      <c r="AO61" s="18"/>
      <c r="AP61" s="18"/>
      <c r="AQ61" s="15"/>
      <c r="AR61" s="18"/>
      <c r="AS61" s="1"/>
      <c r="AT61" s="1"/>
      <c r="AU61" s="1"/>
      <c r="AV61" s="1"/>
      <c r="AW61" s="1"/>
      <c r="AX61" s="1"/>
    </row>
    <row r="62" spans="1:50" x14ac:dyDescent="0.25">
      <c r="A62" s="1" t="s">
        <v>149</v>
      </c>
      <c r="B62" s="1" t="s">
        <v>86</v>
      </c>
      <c r="C62" s="1">
        <v>221.6</v>
      </c>
      <c r="D62" s="1">
        <v>3.7</v>
      </c>
      <c r="E62" s="1">
        <v>125.7</v>
      </c>
      <c r="F62" s="1">
        <v>88.5</v>
      </c>
      <c r="G62" s="7">
        <v>1</v>
      </c>
      <c r="H62" s="1">
        <v>180</v>
      </c>
      <c r="I62" s="1" t="s">
        <v>150</v>
      </c>
      <c r="J62" s="1"/>
      <c r="K62" s="1">
        <v>140.5</v>
      </c>
      <c r="L62" s="1">
        <f t="shared" si="42"/>
        <v>-14.799999999999997</v>
      </c>
      <c r="M62" s="1"/>
      <c r="N62" s="1"/>
      <c r="O62" s="1">
        <v>51.8</v>
      </c>
      <c r="P62" s="1">
        <f t="shared" si="43"/>
        <v>25.14</v>
      </c>
      <c r="Q62" s="5">
        <v>211.66000000000003</v>
      </c>
      <c r="R62" s="5">
        <f>14*P62-O62-F62</f>
        <v>211.66000000000003</v>
      </c>
      <c r="S62" s="5">
        <f>AJ62*AK62+AP62*AJ62</f>
        <v>207.20000000000002</v>
      </c>
      <c r="T62" s="32"/>
      <c r="U62" s="32"/>
      <c r="V62" s="1">
        <f t="shared" si="44"/>
        <v>13.822593476531424</v>
      </c>
      <c r="W62" s="1">
        <f t="shared" si="45"/>
        <v>5.5807478122513929</v>
      </c>
      <c r="X62" s="1">
        <v>23.68</v>
      </c>
      <c r="Y62" s="1">
        <v>12.58</v>
      </c>
      <c r="Z62" s="1">
        <v>31.08</v>
      </c>
      <c r="AA62" s="1">
        <v>28.12</v>
      </c>
      <c r="AB62" s="1">
        <v>16.28</v>
      </c>
      <c r="AC62" s="1">
        <v>29.6</v>
      </c>
      <c r="AD62" s="1">
        <v>25.92</v>
      </c>
      <c r="AE62" s="1">
        <v>22.2</v>
      </c>
      <c r="AF62" s="1">
        <v>19.98</v>
      </c>
      <c r="AG62" s="1">
        <v>17.02</v>
      </c>
      <c r="AH62" s="1"/>
      <c r="AI62" s="1">
        <f>G62*R62</f>
        <v>211.66000000000003</v>
      </c>
      <c r="AJ62" s="7">
        <v>3.7</v>
      </c>
      <c r="AK62" s="9">
        <f>MROUND(R62, AJ62*AM62)/AJ62-AP62</f>
        <v>56</v>
      </c>
      <c r="AL62" s="1">
        <f>AK62*AJ62*G62</f>
        <v>207.20000000000002</v>
      </c>
      <c r="AM62" s="1">
        <v>14</v>
      </c>
      <c r="AN62" s="1">
        <v>126</v>
      </c>
      <c r="AO62" s="9">
        <f>AK62/AN62</f>
        <v>0.44444444444444442</v>
      </c>
      <c r="AP62" s="9"/>
      <c r="AQ62" s="1">
        <f>AP62*AJ62*G62</f>
        <v>0</v>
      </c>
      <c r="AR62" s="9">
        <f>AP62/AN62</f>
        <v>0</v>
      </c>
      <c r="AS62" s="1"/>
      <c r="AT62" s="1"/>
      <c r="AU62" s="1"/>
      <c r="AV62" s="1"/>
      <c r="AW62" s="1"/>
      <c r="AX62" s="1"/>
    </row>
    <row r="63" spans="1:50" x14ac:dyDescent="0.25">
      <c r="A63" s="19" t="s">
        <v>151</v>
      </c>
      <c r="B63" s="15" t="s">
        <v>42</v>
      </c>
      <c r="C63" s="15"/>
      <c r="D63" s="15">
        <v>168</v>
      </c>
      <c r="E63" s="20">
        <v>2</v>
      </c>
      <c r="F63" s="20">
        <v>164</v>
      </c>
      <c r="G63" s="16">
        <v>0</v>
      </c>
      <c r="H63" s="15">
        <v>180</v>
      </c>
      <c r="I63" s="19" t="s">
        <v>48</v>
      </c>
      <c r="J63" s="15" t="s">
        <v>50</v>
      </c>
      <c r="K63" s="15">
        <v>2</v>
      </c>
      <c r="L63" s="15">
        <f t="shared" si="42"/>
        <v>0</v>
      </c>
      <c r="M63" s="15"/>
      <c r="N63" s="15"/>
      <c r="O63" s="15"/>
      <c r="P63" s="15">
        <f t="shared" si="43"/>
        <v>0.4</v>
      </c>
      <c r="Q63" s="17"/>
      <c r="R63" s="17"/>
      <c r="S63" s="17"/>
      <c r="T63" s="31"/>
      <c r="U63" s="32"/>
      <c r="V63" s="15">
        <f t="shared" si="44"/>
        <v>410</v>
      </c>
      <c r="W63" s="15">
        <f t="shared" si="45"/>
        <v>410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/>
      <c r="AI63" s="15"/>
      <c r="AJ63" s="16"/>
      <c r="AK63" s="18"/>
      <c r="AL63" s="15"/>
      <c r="AM63" s="15"/>
      <c r="AN63" s="15"/>
      <c r="AO63" s="18"/>
      <c r="AP63" s="18"/>
      <c r="AQ63" s="15"/>
      <c r="AR63" s="18"/>
      <c r="AS63" s="1"/>
      <c r="AT63" s="1"/>
      <c r="AU63" s="1"/>
      <c r="AV63" s="1"/>
      <c r="AW63" s="1"/>
      <c r="AX63" s="1"/>
    </row>
    <row r="64" spans="1:50" x14ac:dyDescent="0.25">
      <c r="A64" s="19" t="s">
        <v>152</v>
      </c>
      <c r="B64" s="15" t="s">
        <v>42</v>
      </c>
      <c r="C64" s="15"/>
      <c r="D64" s="15">
        <v>504</v>
      </c>
      <c r="E64" s="20">
        <v>8</v>
      </c>
      <c r="F64" s="20">
        <v>492</v>
      </c>
      <c r="G64" s="16">
        <v>0</v>
      </c>
      <c r="H64" s="15">
        <v>180</v>
      </c>
      <c r="I64" s="19" t="s">
        <v>48</v>
      </c>
      <c r="J64" s="15" t="s">
        <v>60</v>
      </c>
      <c r="K64" s="15">
        <v>8</v>
      </c>
      <c r="L64" s="15">
        <f t="shared" si="42"/>
        <v>0</v>
      </c>
      <c r="M64" s="15"/>
      <c r="N64" s="15"/>
      <c r="O64" s="15"/>
      <c r="P64" s="15">
        <f t="shared" si="43"/>
        <v>1.6</v>
      </c>
      <c r="Q64" s="17"/>
      <c r="R64" s="17"/>
      <c r="S64" s="17"/>
      <c r="T64" s="31"/>
      <c r="U64" s="32"/>
      <c r="V64" s="15">
        <f t="shared" si="44"/>
        <v>307.5</v>
      </c>
      <c r="W64" s="15">
        <f t="shared" si="45"/>
        <v>307.5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/>
      <c r="AI64" s="15"/>
      <c r="AJ64" s="16"/>
      <c r="AK64" s="18"/>
      <c r="AL64" s="15"/>
      <c r="AM64" s="15"/>
      <c r="AN64" s="15"/>
      <c r="AO64" s="18"/>
      <c r="AP64" s="18"/>
      <c r="AQ64" s="15"/>
      <c r="AR64" s="18"/>
      <c r="AS64" s="1"/>
      <c r="AT64" s="1"/>
      <c r="AU64" s="1"/>
      <c r="AV64" s="1"/>
      <c r="AW64" s="1"/>
      <c r="AX64" s="1"/>
    </row>
    <row r="65" spans="1:50" x14ac:dyDescent="0.25">
      <c r="A65" s="19" t="s">
        <v>153</v>
      </c>
      <c r="B65" s="15" t="s">
        <v>42</v>
      </c>
      <c r="C65" s="15"/>
      <c r="D65" s="15">
        <v>1176</v>
      </c>
      <c r="E65" s="20">
        <v>23</v>
      </c>
      <c r="F65" s="20">
        <v>972</v>
      </c>
      <c r="G65" s="16">
        <v>0</v>
      </c>
      <c r="H65" s="15">
        <v>180</v>
      </c>
      <c r="I65" s="19" t="s">
        <v>48</v>
      </c>
      <c r="J65" s="15" t="s">
        <v>154</v>
      </c>
      <c r="K65" s="15">
        <v>34</v>
      </c>
      <c r="L65" s="15">
        <f t="shared" si="42"/>
        <v>-11</v>
      </c>
      <c r="M65" s="15"/>
      <c r="N65" s="15"/>
      <c r="O65" s="15"/>
      <c r="P65" s="15">
        <f t="shared" si="43"/>
        <v>4.5999999999999996</v>
      </c>
      <c r="Q65" s="17"/>
      <c r="R65" s="17"/>
      <c r="S65" s="17"/>
      <c r="T65" s="31"/>
      <c r="U65" s="32"/>
      <c r="V65" s="15">
        <f t="shared" si="44"/>
        <v>211.30434782608697</v>
      </c>
      <c r="W65" s="15">
        <f t="shared" si="45"/>
        <v>211.30434782608697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/>
      <c r="AI65" s="15"/>
      <c r="AJ65" s="16"/>
      <c r="AK65" s="18"/>
      <c r="AL65" s="15"/>
      <c r="AM65" s="15"/>
      <c r="AN65" s="15"/>
      <c r="AO65" s="18"/>
      <c r="AP65" s="18"/>
      <c r="AQ65" s="15"/>
      <c r="AR65" s="18"/>
      <c r="AS65" s="1"/>
      <c r="AT65" s="1"/>
      <c r="AU65" s="1"/>
      <c r="AV65" s="1"/>
      <c r="AW65" s="1"/>
      <c r="AX65" s="1"/>
    </row>
    <row r="66" spans="1:50" x14ac:dyDescent="0.25">
      <c r="A66" s="19" t="s">
        <v>155</v>
      </c>
      <c r="B66" s="15" t="s">
        <v>86</v>
      </c>
      <c r="C66" s="15"/>
      <c r="D66" s="15">
        <v>87</v>
      </c>
      <c r="E66" s="20">
        <v>21</v>
      </c>
      <c r="F66" s="20">
        <v>53.9</v>
      </c>
      <c r="G66" s="16">
        <v>0</v>
      </c>
      <c r="H66" s="15">
        <v>180</v>
      </c>
      <c r="I66" s="19" t="s">
        <v>48</v>
      </c>
      <c r="J66" s="15" t="s">
        <v>90</v>
      </c>
      <c r="K66" s="15">
        <v>34</v>
      </c>
      <c r="L66" s="15">
        <f t="shared" si="42"/>
        <v>-13</v>
      </c>
      <c r="M66" s="15"/>
      <c r="N66" s="15"/>
      <c r="O66" s="15"/>
      <c r="P66" s="15">
        <f t="shared" si="43"/>
        <v>4.2</v>
      </c>
      <c r="Q66" s="17"/>
      <c r="R66" s="17"/>
      <c r="S66" s="17"/>
      <c r="T66" s="31"/>
      <c r="U66" s="32"/>
      <c r="V66" s="15">
        <f t="shared" si="44"/>
        <v>12.833333333333332</v>
      </c>
      <c r="W66" s="15">
        <f t="shared" si="45"/>
        <v>12.833333333333332</v>
      </c>
      <c r="X66" s="15">
        <v>0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/>
      <c r="AI66" s="15"/>
      <c r="AJ66" s="16"/>
      <c r="AK66" s="18"/>
      <c r="AL66" s="15"/>
      <c r="AM66" s="15"/>
      <c r="AN66" s="15"/>
      <c r="AO66" s="18"/>
      <c r="AP66" s="18"/>
      <c r="AQ66" s="15"/>
      <c r="AR66" s="18"/>
      <c r="AS66" s="1"/>
      <c r="AT66" s="1"/>
      <c r="AU66" s="1"/>
      <c r="AV66" s="1"/>
      <c r="AW66" s="1"/>
      <c r="AX66" s="1"/>
    </row>
    <row r="67" spans="1:50" x14ac:dyDescent="0.25">
      <c r="A67" s="1" t="s">
        <v>156</v>
      </c>
      <c r="B67" s="1" t="s">
        <v>42</v>
      </c>
      <c r="C67" s="1">
        <v>425</v>
      </c>
      <c r="D67" s="1">
        <v>98</v>
      </c>
      <c r="E67" s="1">
        <v>278</v>
      </c>
      <c r="F67" s="1">
        <v>224</v>
      </c>
      <c r="G67" s="7">
        <v>0.23</v>
      </c>
      <c r="H67" s="1">
        <v>180</v>
      </c>
      <c r="I67" s="1" t="s">
        <v>157</v>
      </c>
      <c r="J67" s="1"/>
      <c r="K67" s="1">
        <v>289</v>
      </c>
      <c r="L67" s="1">
        <f t="shared" si="42"/>
        <v>-11</v>
      </c>
      <c r="M67" s="1"/>
      <c r="N67" s="1"/>
      <c r="O67" s="1">
        <v>252</v>
      </c>
      <c r="P67" s="1">
        <f t="shared" si="43"/>
        <v>55.6</v>
      </c>
      <c r="Q67" s="5">
        <v>302.39999999999998</v>
      </c>
      <c r="R67" s="5">
        <f t="shared" ref="R67:R83" si="61">14*P67-O67-F67</f>
        <v>302.39999999999998</v>
      </c>
      <c r="S67" s="5">
        <f>AJ67*AK67+AP67*AJ67</f>
        <v>336</v>
      </c>
      <c r="T67" s="32"/>
      <c r="U67" s="32"/>
      <c r="V67" s="1">
        <f t="shared" si="44"/>
        <v>14.60431654676259</v>
      </c>
      <c r="W67" s="1">
        <f t="shared" si="45"/>
        <v>8.5611510791366907</v>
      </c>
      <c r="X67" s="1">
        <v>63.4</v>
      </c>
      <c r="Y67" s="1">
        <v>56</v>
      </c>
      <c r="Z67" s="1">
        <v>59.6</v>
      </c>
      <c r="AA67" s="1">
        <v>75.400000000000006</v>
      </c>
      <c r="AB67" s="1">
        <v>71.2</v>
      </c>
      <c r="AC67" s="1">
        <v>53.4</v>
      </c>
      <c r="AD67" s="1">
        <v>112.6</v>
      </c>
      <c r="AE67" s="1">
        <v>101.4</v>
      </c>
      <c r="AF67" s="1">
        <v>87.4</v>
      </c>
      <c r="AG67" s="1">
        <v>84.4</v>
      </c>
      <c r="AH67" s="1"/>
      <c r="AI67" s="1">
        <f t="shared" ref="AI67:AI86" si="62">G67*R67</f>
        <v>69.551999999999992</v>
      </c>
      <c r="AJ67" s="7">
        <v>6</v>
      </c>
      <c r="AK67" s="9">
        <f>MROUND(R67, AJ67*AM67)/AJ67-AP67</f>
        <v>56</v>
      </c>
      <c r="AL67" s="1">
        <f t="shared" ref="AL67:AL83" si="63">AK67*AJ67*G67</f>
        <v>77.28</v>
      </c>
      <c r="AM67" s="1">
        <v>14</v>
      </c>
      <c r="AN67" s="1">
        <v>140</v>
      </c>
      <c r="AO67" s="9">
        <f t="shared" ref="AO67:AO86" si="64">AK67/AN67</f>
        <v>0.4</v>
      </c>
      <c r="AP67" s="9"/>
      <c r="AQ67" s="1">
        <f>AP67*AJ67*G67</f>
        <v>0</v>
      </c>
      <c r="AR67" s="9">
        <f>AP67/AN67</f>
        <v>0</v>
      </c>
      <c r="AS67" s="1"/>
      <c r="AT67" s="1"/>
      <c r="AU67" s="1"/>
      <c r="AV67" s="1"/>
      <c r="AW67" s="1"/>
      <c r="AX67" s="1"/>
    </row>
    <row r="68" spans="1:50" x14ac:dyDescent="0.25">
      <c r="A68" s="1" t="s">
        <v>57</v>
      </c>
      <c r="B68" s="1" t="s">
        <v>42</v>
      </c>
      <c r="C68" s="1">
        <v>-41</v>
      </c>
      <c r="D68" s="1">
        <v>367</v>
      </c>
      <c r="E68" s="20">
        <f>232+E12</f>
        <v>515</v>
      </c>
      <c r="F68" s="20">
        <f>0+F12</f>
        <v>1471</v>
      </c>
      <c r="G68" s="7">
        <v>0.25</v>
      </c>
      <c r="H68" s="1">
        <v>180</v>
      </c>
      <c r="I68" s="1" t="s">
        <v>158</v>
      </c>
      <c r="J68" s="1"/>
      <c r="K68" s="1">
        <v>538</v>
      </c>
      <c r="L68" s="1">
        <f t="shared" si="42"/>
        <v>-23</v>
      </c>
      <c r="M68" s="1"/>
      <c r="N68" s="1"/>
      <c r="O68" s="1">
        <v>0</v>
      </c>
      <c r="P68" s="1">
        <f t="shared" si="43"/>
        <v>103</v>
      </c>
      <c r="Q68" s="5"/>
      <c r="R68" s="5"/>
      <c r="S68" s="5">
        <f t="shared" ref="S67:S86" si="65">AJ68*AK68</f>
        <v>0</v>
      </c>
      <c r="T68" s="32"/>
      <c r="U68" s="32"/>
      <c r="V68" s="1">
        <f t="shared" si="44"/>
        <v>14.281553398058252</v>
      </c>
      <c r="W68" s="1">
        <f t="shared" si="45"/>
        <v>14.281553398058252</v>
      </c>
      <c r="X68" s="1">
        <v>166.8</v>
      </c>
      <c r="Y68" s="1">
        <v>182.4</v>
      </c>
      <c r="Z68" s="1">
        <v>128.80000000000001</v>
      </c>
      <c r="AA68" s="1">
        <v>121.6</v>
      </c>
      <c r="AB68" s="1">
        <v>97.6</v>
      </c>
      <c r="AC68" s="1">
        <v>155.19999999999999</v>
      </c>
      <c r="AD68" s="1">
        <v>274</v>
      </c>
      <c r="AE68" s="1">
        <v>194.8</v>
      </c>
      <c r="AF68" s="1">
        <v>199.4</v>
      </c>
      <c r="AG68" s="1">
        <v>191</v>
      </c>
      <c r="AH68" s="1"/>
      <c r="AI68" s="1">
        <f t="shared" si="62"/>
        <v>0</v>
      </c>
      <c r="AJ68" s="7">
        <v>12</v>
      </c>
      <c r="AK68" s="9">
        <f t="shared" ref="AK67:AK83" si="66">MROUND(R68, AJ68*AM68)/AJ68</f>
        <v>0</v>
      </c>
      <c r="AL68" s="1">
        <f t="shared" si="63"/>
        <v>0</v>
      </c>
      <c r="AM68" s="1">
        <v>14</v>
      </c>
      <c r="AN68" s="1">
        <v>70</v>
      </c>
      <c r="AO68" s="9">
        <f t="shared" si="64"/>
        <v>0</v>
      </c>
      <c r="AP68" s="9"/>
      <c r="AQ68" s="1"/>
      <c r="AR68" s="9"/>
      <c r="AS68" s="1"/>
      <c r="AT68" s="1"/>
      <c r="AU68" s="1"/>
      <c r="AV68" s="1"/>
      <c r="AW68" s="1"/>
      <c r="AX68" s="1"/>
    </row>
    <row r="69" spans="1:50" x14ac:dyDescent="0.25">
      <c r="A69" s="1" t="s">
        <v>59</v>
      </c>
      <c r="B69" s="1" t="s">
        <v>42</v>
      </c>
      <c r="C69" s="1">
        <v>373</v>
      </c>
      <c r="D69" s="1">
        <v>300</v>
      </c>
      <c r="E69" s="20">
        <f>532+E13</f>
        <v>626</v>
      </c>
      <c r="F69" s="20">
        <f>0+F13</f>
        <v>844</v>
      </c>
      <c r="G69" s="7">
        <v>0.25</v>
      </c>
      <c r="H69" s="1">
        <v>180</v>
      </c>
      <c r="I69" s="1" t="s">
        <v>159</v>
      </c>
      <c r="J69" s="1"/>
      <c r="K69" s="1">
        <v>566</v>
      </c>
      <c r="L69" s="1">
        <f t="shared" si="42"/>
        <v>60</v>
      </c>
      <c r="M69" s="1"/>
      <c r="N69" s="1"/>
      <c r="O69" s="1">
        <v>0</v>
      </c>
      <c r="P69" s="1">
        <f t="shared" si="43"/>
        <v>125.2</v>
      </c>
      <c r="Q69" s="5">
        <v>908.8</v>
      </c>
      <c r="R69" s="5">
        <f>14*P69-O69-F69+P69*$R$1</f>
        <v>1084.08</v>
      </c>
      <c r="S69" s="5">
        <f>AJ69*AK69+AP69*AJ69</f>
        <v>1008</v>
      </c>
      <c r="T69" s="32"/>
      <c r="U69" s="32"/>
      <c r="V69" s="1">
        <f t="shared" si="44"/>
        <v>14.792332268370608</v>
      </c>
      <c r="W69" s="1">
        <f t="shared" si="45"/>
        <v>6.7412140575079871</v>
      </c>
      <c r="X69" s="1">
        <v>47</v>
      </c>
      <c r="Y69" s="1">
        <v>104</v>
      </c>
      <c r="Z69" s="1">
        <v>104.6</v>
      </c>
      <c r="AA69" s="1">
        <v>125.6</v>
      </c>
      <c r="AB69" s="1">
        <v>93.2</v>
      </c>
      <c r="AC69" s="1">
        <v>111.4</v>
      </c>
      <c r="AD69" s="1">
        <v>196.6</v>
      </c>
      <c r="AE69" s="1">
        <v>144.4</v>
      </c>
      <c r="AF69" s="1">
        <v>139</v>
      </c>
      <c r="AG69" s="1">
        <v>131.6</v>
      </c>
      <c r="AH69" s="1"/>
      <c r="AI69" s="1">
        <f t="shared" si="62"/>
        <v>271.02</v>
      </c>
      <c r="AJ69" s="7">
        <v>12</v>
      </c>
      <c r="AK69" s="9">
        <f>MROUND(R69, AJ69*AM69)/AJ69-AP69</f>
        <v>84</v>
      </c>
      <c r="AL69" s="1">
        <f t="shared" si="63"/>
        <v>252</v>
      </c>
      <c r="AM69" s="1">
        <v>14</v>
      </c>
      <c r="AN69" s="1">
        <v>70</v>
      </c>
      <c r="AO69" s="9">
        <f t="shared" si="64"/>
        <v>1.2</v>
      </c>
      <c r="AP69" s="9"/>
      <c r="AQ69" s="1">
        <f>AP69*AJ69*G69</f>
        <v>0</v>
      </c>
      <c r="AR69" s="9">
        <f>AP69/AN69</f>
        <v>0</v>
      </c>
      <c r="AS69" s="1"/>
      <c r="AT69" s="1"/>
      <c r="AU69" s="1"/>
      <c r="AV69" s="1"/>
      <c r="AW69" s="1"/>
      <c r="AX69" s="1"/>
    </row>
    <row r="70" spans="1:50" x14ac:dyDescent="0.25">
      <c r="A70" s="15" t="s">
        <v>161</v>
      </c>
      <c r="B70" s="15" t="s">
        <v>42</v>
      </c>
      <c r="C70" s="15">
        <v>66</v>
      </c>
      <c r="D70" s="15">
        <v>8</v>
      </c>
      <c r="E70" s="15">
        <v>61</v>
      </c>
      <c r="F70" s="15">
        <v>4</v>
      </c>
      <c r="G70" s="16">
        <v>0</v>
      </c>
      <c r="H70" s="15">
        <v>180</v>
      </c>
      <c r="I70" s="19" t="s">
        <v>185</v>
      </c>
      <c r="J70" s="15"/>
      <c r="K70" s="15">
        <v>70</v>
      </c>
      <c r="L70" s="15">
        <f t="shared" ref="L70:L84" si="67">E70-K70</f>
        <v>-9</v>
      </c>
      <c r="M70" s="15"/>
      <c r="N70" s="15"/>
      <c r="O70" s="15">
        <v>84</v>
      </c>
      <c r="P70" s="15">
        <f t="shared" ref="P70:P86" si="68">E70/5</f>
        <v>12.2</v>
      </c>
      <c r="Q70" s="17"/>
      <c r="R70" s="17"/>
      <c r="S70" s="17"/>
      <c r="T70" s="31"/>
      <c r="U70" s="32"/>
      <c r="V70" s="15">
        <f t="shared" ref="V70:V84" si="69">(F70+O70+S70)/P70</f>
        <v>7.2131147540983607</v>
      </c>
      <c r="W70" s="15">
        <f t="shared" ref="W70:W84" si="70">(F70+O70)/P70</f>
        <v>7.2131147540983607</v>
      </c>
      <c r="X70" s="15">
        <v>14.8</v>
      </c>
      <c r="Y70" s="15">
        <v>8.1999999999999993</v>
      </c>
      <c r="Z70" s="15">
        <v>8</v>
      </c>
      <c r="AA70" s="15">
        <v>14.8</v>
      </c>
      <c r="AB70" s="15">
        <v>18.399999999999999</v>
      </c>
      <c r="AC70" s="15">
        <v>6.2</v>
      </c>
      <c r="AD70" s="15">
        <v>22.4</v>
      </c>
      <c r="AE70" s="15">
        <v>18.2</v>
      </c>
      <c r="AF70" s="15">
        <v>16.399999999999999</v>
      </c>
      <c r="AG70" s="15">
        <v>16.600000000000001</v>
      </c>
      <c r="AH70" s="15"/>
      <c r="AI70" s="15"/>
      <c r="AJ70" s="16">
        <v>6</v>
      </c>
      <c r="AK70" s="18"/>
      <c r="AL70" s="15"/>
      <c r="AM70" s="15">
        <v>14</v>
      </c>
      <c r="AN70" s="15">
        <v>140</v>
      </c>
      <c r="AO70" s="18"/>
      <c r="AP70" s="18"/>
      <c r="AQ70" s="15"/>
      <c r="AR70" s="18"/>
      <c r="AS70" s="1"/>
      <c r="AT70" s="1"/>
      <c r="AU70" s="1"/>
      <c r="AV70" s="1"/>
      <c r="AW70" s="1"/>
      <c r="AX70" s="1"/>
    </row>
    <row r="71" spans="1:50" x14ac:dyDescent="0.25">
      <c r="A71" s="1" t="s">
        <v>162</v>
      </c>
      <c r="B71" s="1" t="s">
        <v>42</v>
      </c>
      <c r="C71" s="1">
        <v>84</v>
      </c>
      <c r="D71" s="1">
        <v>103</v>
      </c>
      <c r="E71" s="1">
        <v>96</v>
      </c>
      <c r="F71" s="1">
        <v>72</v>
      </c>
      <c r="G71" s="7">
        <v>0.18</v>
      </c>
      <c r="H71" s="1">
        <v>180</v>
      </c>
      <c r="I71" s="1" t="s">
        <v>163</v>
      </c>
      <c r="J71" s="1"/>
      <c r="K71" s="1">
        <v>115</v>
      </c>
      <c r="L71" s="1">
        <f t="shared" si="67"/>
        <v>-19</v>
      </c>
      <c r="M71" s="1"/>
      <c r="N71" s="1"/>
      <c r="O71" s="1">
        <v>84</v>
      </c>
      <c r="P71" s="1">
        <f t="shared" si="68"/>
        <v>19.2</v>
      </c>
      <c r="Q71" s="5">
        <v>112.80000000000001</v>
      </c>
      <c r="R71" s="5">
        <f t="shared" si="61"/>
        <v>112.80000000000001</v>
      </c>
      <c r="S71" s="5">
        <f>AJ71*AK71+AP71*AJ71</f>
        <v>84</v>
      </c>
      <c r="T71" s="32"/>
      <c r="U71" s="32"/>
      <c r="V71" s="1">
        <f t="shared" si="69"/>
        <v>12.5</v>
      </c>
      <c r="W71" s="1">
        <f t="shared" si="70"/>
        <v>8.125</v>
      </c>
      <c r="X71" s="1">
        <v>17.600000000000001</v>
      </c>
      <c r="Y71" s="1">
        <v>14.8</v>
      </c>
      <c r="Z71" s="1">
        <v>7.4</v>
      </c>
      <c r="AA71" s="1">
        <v>9.4</v>
      </c>
      <c r="AB71" s="1">
        <v>18</v>
      </c>
      <c r="AC71" s="1">
        <v>15.8</v>
      </c>
      <c r="AD71" s="1">
        <v>41.2</v>
      </c>
      <c r="AE71" s="1">
        <v>77.2</v>
      </c>
      <c r="AF71" s="1">
        <v>47</v>
      </c>
      <c r="AG71" s="1">
        <v>30</v>
      </c>
      <c r="AH71" s="1" t="s">
        <v>164</v>
      </c>
      <c r="AI71" s="1">
        <f t="shared" si="62"/>
        <v>20.304000000000002</v>
      </c>
      <c r="AJ71" s="7">
        <v>6</v>
      </c>
      <c r="AK71" s="9">
        <f>MROUND(R71, AJ71*AM71)/AJ71-AP71</f>
        <v>14</v>
      </c>
      <c r="AL71" s="1">
        <f t="shared" si="63"/>
        <v>15.12</v>
      </c>
      <c r="AM71" s="1">
        <v>14</v>
      </c>
      <c r="AN71" s="1">
        <v>140</v>
      </c>
      <c r="AO71" s="9">
        <f t="shared" si="64"/>
        <v>0.1</v>
      </c>
      <c r="AP71" s="9"/>
      <c r="AQ71" s="1">
        <f>AP71*AJ71*G71</f>
        <v>0</v>
      </c>
      <c r="AR71" s="9">
        <f>AP71/AN71</f>
        <v>0</v>
      </c>
      <c r="AS71" s="1"/>
      <c r="AT71" s="1"/>
      <c r="AU71" s="1"/>
      <c r="AV71" s="1"/>
      <c r="AW71" s="1"/>
      <c r="AX71" s="1"/>
    </row>
    <row r="72" spans="1:50" x14ac:dyDescent="0.25">
      <c r="A72" s="15" t="s">
        <v>165</v>
      </c>
      <c r="B72" s="15" t="s">
        <v>42</v>
      </c>
      <c r="C72" s="15">
        <v>30</v>
      </c>
      <c r="D72" s="15"/>
      <c r="E72" s="15">
        <v>1</v>
      </c>
      <c r="F72" s="15">
        <v>27</v>
      </c>
      <c r="G72" s="16">
        <v>0</v>
      </c>
      <c r="H72" s="15">
        <v>180</v>
      </c>
      <c r="I72" s="15" t="s">
        <v>185</v>
      </c>
      <c r="J72" s="15"/>
      <c r="K72" s="15">
        <v>3</v>
      </c>
      <c r="L72" s="15">
        <f t="shared" si="67"/>
        <v>-2</v>
      </c>
      <c r="M72" s="15"/>
      <c r="N72" s="15"/>
      <c r="O72" s="15">
        <v>0</v>
      </c>
      <c r="P72" s="15">
        <f t="shared" si="68"/>
        <v>0.2</v>
      </c>
      <c r="Q72" s="17"/>
      <c r="R72" s="17"/>
      <c r="S72" s="17">
        <f t="shared" si="65"/>
        <v>0</v>
      </c>
      <c r="T72" s="31"/>
      <c r="U72" s="32"/>
      <c r="V72" s="15">
        <f t="shared" si="69"/>
        <v>135</v>
      </c>
      <c r="W72" s="15">
        <f t="shared" si="70"/>
        <v>135</v>
      </c>
      <c r="X72" s="15">
        <v>0.8</v>
      </c>
      <c r="Y72" s="15">
        <v>0.8</v>
      </c>
      <c r="Z72" s="15">
        <v>0.6</v>
      </c>
      <c r="AA72" s="15">
        <v>0.6</v>
      </c>
      <c r="AB72" s="15">
        <v>1.2</v>
      </c>
      <c r="AC72" s="15">
        <v>0.8</v>
      </c>
      <c r="AD72" s="15">
        <v>1.6</v>
      </c>
      <c r="AE72" s="15">
        <v>1</v>
      </c>
      <c r="AF72" s="15">
        <v>0.6</v>
      </c>
      <c r="AG72" s="15">
        <v>0.6</v>
      </c>
      <c r="AH72" s="25" t="s">
        <v>147</v>
      </c>
      <c r="AI72" s="15"/>
      <c r="AJ72" s="16">
        <v>6</v>
      </c>
      <c r="AK72" s="18"/>
      <c r="AL72" s="15"/>
      <c r="AM72" s="15">
        <v>14</v>
      </c>
      <c r="AN72" s="15">
        <v>140</v>
      </c>
      <c r="AO72" s="18"/>
      <c r="AP72" s="18"/>
      <c r="AQ72" s="15"/>
      <c r="AR72" s="18"/>
      <c r="AS72" s="1"/>
      <c r="AT72" s="1"/>
      <c r="AU72" s="1"/>
      <c r="AV72" s="1"/>
      <c r="AW72" s="1"/>
      <c r="AX72" s="1"/>
    </row>
    <row r="73" spans="1:50" x14ac:dyDescent="0.25">
      <c r="A73" s="1" t="s">
        <v>166</v>
      </c>
      <c r="B73" s="1" t="s">
        <v>42</v>
      </c>
      <c r="C73" s="1">
        <v>690</v>
      </c>
      <c r="D73" s="1">
        <v>1222</v>
      </c>
      <c r="E73" s="1">
        <v>923</v>
      </c>
      <c r="F73" s="1">
        <v>876</v>
      </c>
      <c r="G73" s="7">
        <v>0.3</v>
      </c>
      <c r="H73" s="1">
        <v>180</v>
      </c>
      <c r="I73" s="1" t="s">
        <v>167</v>
      </c>
      <c r="J73" s="1"/>
      <c r="K73" s="1">
        <v>969</v>
      </c>
      <c r="L73" s="1">
        <f t="shared" si="67"/>
        <v>-46</v>
      </c>
      <c r="M73" s="1"/>
      <c r="N73" s="1"/>
      <c r="O73" s="1">
        <v>336</v>
      </c>
      <c r="P73" s="1">
        <f t="shared" si="68"/>
        <v>184.6</v>
      </c>
      <c r="Q73" s="5">
        <v>1372.4</v>
      </c>
      <c r="R73" s="5">
        <f>14*P73-O73-F73+P73*$R$1</f>
        <v>1630.8400000000001</v>
      </c>
      <c r="S73" s="5">
        <f t="shared" ref="S73:S74" si="71">AJ73*AK73+AP73*AJ73</f>
        <v>1680</v>
      </c>
      <c r="T73" s="32"/>
      <c r="U73" s="32"/>
      <c r="V73" s="1">
        <f t="shared" si="69"/>
        <v>15.666305525460455</v>
      </c>
      <c r="W73" s="1">
        <f t="shared" si="70"/>
        <v>6.5655471289274105</v>
      </c>
      <c r="X73" s="1">
        <v>183.6</v>
      </c>
      <c r="Y73" s="1">
        <v>166.8</v>
      </c>
      <c r="Z73" s="1">
        <v>194</v>
      </c>
      <c r="AA73" s="1">
        <v>197.4</v>
      </c>
      <c r="AB73" s="1">
        <v>146.6</v>
      </c>
      <c r="AC73" s="1">
        <v>166.6</v>
      </c>
      <c r="AD73" s="1">
        <v>185.6</v>
      </c>
      <c r="AE73" s="1">
        <v>233</v>
      </c>
      <c r="AF73" s="1">
        <v>187</v>
      </c>
      <c r="AG73" s="1">
        <v>158</v>
      </c>
      <c r="AH73" s="1"/>
      <c r="AI73" s="1">
        <f t="shared" si="62"/>
        <v>489.25200000000001</v>
      </c>
      <c r="AJ73" s="7">
        <v>12</v>
      </c>
      <c r="AK73" s="9">
        <f t="shared" ref="AK73:AK74" si="72">MROUND(R73, AJ73*AM73)/AJ73-AP73</f>
        <v>140</v>
      </c>
      <c r="AL73" s="1">
        <f t="shared" si="63"/>
        <v>504</v>
      </c>
      <c r="AM73" s="1">
        <v>14</v>
      </c>
      <c r="AN73" s="1">
        <v>70</v>
      </c>
      <c r="AO73" s="9">
        <f t="shared" si="64"/>
        <v>2</v>
      </c>
      <c r="AP73" s="9"/>
      <c r="AQ73" s="1">
        <f t="shared" ref="AQ73:AQ74" si="73">AP73*AJ73*G73</f>
        <v>0</v>
      </c>
      <c r="AR73" s="9">
        <f t="shared" ref="AR73:AR74" si="74">AP73/AN73</f>
        <v>0</v>
      </c>
      <c r="AS73" s="1"/>
      <c r="AT73" s="1"/>
      <c r="AU73" s="1"/>
      <c r="AV73" s="1"/>
      <c r="AW73" s="1"/>
      <c r="AX73" s="1"/>
    </row>
    <row r="74" spans="1:50" x14ac:dyDescent="0.25">
      <c r="A74" s="1" t="s">
        <v>168</v>
      </c>
      <c r="B74" s="1" t="s">
        <v>42</v>
      </c>
      <c r="C74" s="1">
        <v>559</v>
      </c>
      <c r="D74" s="1">
        <v>178</v>
      </c>
      <c r="E74" s="1">
        <v>490</v>
      </c>
      <c r="F74" s="1">
        <v>226</v>
      </c>
      <c r="G74" s="7">
        <v>0.3</v>
      </c>
      <c r="H74" s="1">
        <v>180</v>
      </c>
      <c r="I74" s="1" t="s">
        <v>169</v>
      </c>
      <c r="J74" s="1"/>
      <c r="K74" s="1">
        <v>497</v>
      </c>
      <c r="L74" s="1">
        <f t="shared" si="67"/>
        <v>-7</v>
      </c>
      <c r="M74" s="1"/>
      <c r="N74" s="1"/>
      <c r="O74" s="1">
        <v>336</v>
      </c>
      <c r="P74" s="1">
        <f t="shared" si="68"/>
        <v>98</v>
      </c>
      <c r="Q74" s="5">
        <v>810</v>
      </c>
      <c r="R74" s="5">
        <f t="shared" si="61"/>
        <v>810</v>
      </c>
      <c r="S74" s="5">
        <f t="shared" si="71"/>
        <v>840</v>
      </c>
      <c r="T74" s="32"/>
      <c r="U74" s="32"/>
      <c r="V74" s="1">
        <f t="shared" si="69"/>
        <v>14.306122448979592</v>
      </c>
      <c r="W74" s="1">
        <f t="shared" si="70"/>
        <v>5.7346938775510203</v>
      </c>
      <c r="X74" s="1">
        <v>86.8</v>
      </c>
      <c r="Y74" s="1">
        <v>78.400000000000006</v>
      </c>
      <c r="Z74" s="1">
        <v>105.2</v>
      </c>
      <c r="AA74" s="1">
        <v>107.6</v>
      </c>
      <c r="AB74" s="1">
        <v>75.599999999999994</v>
      </c>
      <c r="AC74" s="1">
        <v>87.4</v>
      </c>
      <c r="AD74" s="1">
        <v>115.2</v>
      </c>
      <c r="AE74" s="1">
        <v>51</v>
      </c>
      <c r="AF74" s="1">
        <v>118.8</v>
      </c>
      <c r="AG74" s="1">
        <v>108</v>
      </c>
      <c r="AH74" s="1"/>
      <c r="AI74" s="1">
        <f t="shared" si="62"/>
        <v>243</v>
      </c>
      <c r="AJ74" s="7">
        <v>12</v>
      </c>
      <c r="AK74" s="9">
        <f t="shared" si="72"/>
        <v>70</v>
      </c>
      <c r="AL74" s="1">
        <f t="shared" si="63"/>
        <v>252</v>
      </c>
      <c r="AM74" s="1">
        <v>14</v>
      </c>
      <c r="AN74" s="1">
        <v>70</v>
      </c>
      <c r="AO74" s="9">
        <f t="shared" si="64"/>
        <v>1</v>
      </c>
      <c r="AP74" s="9"/>
      <c r="AQ74" s="1">
        <f t="shared" si="73"/>
        <v>0</v>
      </c>
      <c r="AR74" s="9">
        <f t="shared" si="74"/>
        <v>0</v>
      </c>
      <c r="AS74" s="1"/>
      <c r="AT74" s="1"/>
      <c r="AU74" s="1"/>
      <c r="AV74" s="1"/>
      <c r="AW74" s="1"/>
      <c r="AX74" s="1"/>
    </row>
    <row r="75" spans="1:50" x14ac:dyDescent="0.25">
      <c r="A75" s="13" t="s">
        <v>154</v>
      </c>
      <c r="B75" s="1" t="s">
        <v>42</v>
      </c>
      <c r="C75" s="1"/>
      <c r="D75" s="1">
        <v>337</v>
      </c>
      <c r="E75" s="20">
        <f>170+E65</f>
        <v>193</v>
      </c>
      <c r="F75" s="20">
        <f>2+F65</f>
        <v>974</v>
      </c>
      <c r="G75" s="7">
        <v>0.3</v>
      </c>
      <c r="H75" s="1">
        <v>180</v>
      </c>
      <c r="I75" s="1" t="s">
        <v>170</v>
      </c>
      <c r="J75" s="1"/>
      <c r="K75" s="1">
        <v>289</v>
      </c>
      <c r="L75" s="1">
        <f t="shared" si="67"/>
        <v>-96</v>
      </c>
      <c r="M75" s="1"/>
      <c r="N75" s="1"/>
      <c r="O75" s="1">
        <v>0</v>
      </c>
      <c r="P75" s="1">
        <f t="shared" si="68"/>
        <v>38.6</v>
      </c>
      <c r="Q75" s="5"/>
      <c r="R75" s="5"/>
      <c r="S75" s="5">
        <f t="shared" si="65"/>
        <v>0</v>
      </c>
      <c r="T75" s="32"/>
      <c r="U75" s="32"/>
      <c r="V75" s="1">
        <f t="shared" si="69"/>
        <v>25.233160621761659</v>
      </c>
      <c r="W75" s="1">
        <f t="shared" si="70"/>
        <v>25.233160621761659</v>
      </c>
      <c r="X75" s="1">
        <v>34.200000000000003</v>
      </c>
      <c r="Y75" s="1">
        <v>118.2</v>
      </c>
      <c r="Z75" s="1">
        <v>19.399999999999999</v>
      </c>
      <c r="AA75" s="1">
        <v>29.4</v>
      </c>
      <c r="AB75" s="1">
        <v>72.2</v>
      </c>
      <c r="AC75" s="1">
        <v>90.2</v>
      </c>
      <c r="AD75" s="1">
        <v>17.600000000000001</v>
      </c>
      <c r="AE75" s="1">
        <v>47.2</v>
      </c>
      <c r="AF75" s="1">
        <v>88.6</v>
      </c>
      <c r="AG75" s="1">
        <v>57.8</v>
      </c>
      <c r="AH75" s="1"/>
      <c r="AI75" s="1">
        <f t="shared" si="62"/>
        <v>0</v>
      </c>
      <c r="AJ75" s="7">
        <v>14</v>
      </c>
      <c r="AK75" s="9">
        <f t="shared" si="66"/>
        <v>0</v>
      </c>
      <c r="AL75" s="1">
        <f t="shared" si="63"/>
        <v>0</v>
      </c>
      <c r="AM75" s="1">
        <v>14</v>
      </c>
      <c r="AN75" s="1">
        <v>70</v>
      </c>
      <c r="AO75" s="9">
        <f t="shared" si="64"/>
        <v>0</v>
      </c>
      <c r="AP75" s="9"/>
      <c r="AQ75" s="1"/>
      <c r="AR75" s="9"/>
      <c r="AS75" s="1"/>
      <c r="AT75" s="1"/>
      <c r="AU75" s="1"/>
      <c r="AV75" s="1"/>
      <c r="AW75" s="1"/>
      <c r="AX75" s="1"/>
    </row>
    <row r="76" spans="1:50" x14ac:dyDescent="0.25">
      <c r="A76" s="1" t="s">
        <v>171</v>
      </c>
      <c r="B76" s="1" t="s">
        <v>42</v>
      </c>
      <c r="C76" s="1">
        <v>90</v>
      </c>
      <c r="D76" s="1">
        <v>86</v>
      </c>
      <c r="E76" s="1">
        <v>80</v>
      </c>
      <c r="F76" s="1">
        <v>93</v>
      </c>
      <c r="G76" s="7">
        <v>0.22</v>
      </c>
      <c r="H76" s="1"/>
      <c r="I76" s="1" t="s">
        <v>172</v>
      </c>
      <c r="J76" s="1"/>
      <c r="K76" s="1">
        <v>81</v>
      </c>
      <c r="L76" s="1">
        <f t="shared" si="67"/>
        <v>-1</v>
      </c>
      <c r="M76" s="1"/>
      <c r="N76" s="1"/>
      <c r="O76" s="1">
        <v>0</v>
      </c>
      <c r="P76" s="1">
        <f t="shared" si="68"/>
        <v>16</v>
      </c>
      <c r="Q76" s="5">
        <v>131</v>
      </c>
      <c r="R76" s="5">
        <f t="shared" si="61"/>
        <v>131</v>
      </c>
      <c r="S76" s="5">
        <f t="shared" ref="S76:S83" si="75">AJ76*AK76+AP76*AJ76</f>
        <v>168</v>
      </c>
      <c r="T76" s="32"/>
      <c r="U76" s="32"/>
      <c r="V76" s="1">
        <f t="shared" si="69"/>
        <v>16.3125</v>
      </c>
      <c r="W76" s="1">
        <f t="shared" si="70"/>
        <v>5.8125</v>
      </c>
      <c r="X76" s="1">
        <v>15.8</v>
      </c>
      <c r="Y76" s="1">
        <v>13.6</v>
      </c>
      <c r="Z76" s="1">
        <v>21.2</v>
      </c>
      <c r="AA76" s="1">
        <v>21.8</v>
      </c>
      <c r="AB76" s="1">
        <v>15.8</v>
      </c>
      <c r="AC76" s="1">
        <v>23.4</v>
      </c>
      <c r="AD76" s="1">
        <v>13</v>
      </c>
      <c r="AE76" s="1">
        <v>5.6</v>
      </c>
      <c r="AF76" s="1">
        <v>0</v>
      </c>
      <c r="AG76" s="1">
        <v>0</v>
      </c>
      <c r="AH76" s="1"/>
      <c r="AI76" s="1">
        <f t="shared" si="62"/>
        <v>28.82</v>
      </c>
      <c r="AJ76" s="7">
        <v>6</v>
      </c>
      <c r="AK76" s="9">
        <f t="shared" ref="AK76:AK83" si="76">MROUND(R76, AJ76*AM76)/AJ76-AP76</f>
        <v>28</v>
      </c>
      <c r="AL76" s="1">
        <f t="shared" si="63"/>
        <v>36.96</v>
      </c>
      <c r="AM76" s="1">
        <v>14</v>
      </c>
      <c r="AN76" s="1">
        <v>140</v>
      </c>
      <c r="AO76" s="9">
        <f t="shared" si="64"/>
        <v>0.2</v>
      </c>
      <c r="AP76" s="9"/>
      <c r="AQ76" s="1">
        <f t="shared" ref="AQ76:AQ83" si="77">AP76*AJ76*G76</f>
        <v>0</v>
      </c>
      <c r="AR76" s="9">
        <f t="shared" ref="AR76:AR83" si="78">AP76/AN76</f>
        <v>0</v>
      </c>
      <c r="AS76" s="1"/>
      <c r="AT76" s="1"/>
      <c r="AU76" s="1"/>
      <c r="AV76" s="1"/>
      <c r="AW76" s="1"/>
      <c r="AX76" s="1"/>
    </row>
    <row r="77" spans="1:50" x14ac:dyDescent="0.25">
      <c r="A77" s="1" t="s">
        <v>173</v>
      </c>
      <c r="B77" s="1" t="s">
        <v>42</v>
      </c>
      <c r="C77" s="1">
        <v>1119</v>
      </c>
      <c r="D77" s="1">
        <v>1944</v>
      </c>
      <c r="E77" s="1">
        <v>1721</v>
      </c>
      <c r="F77" s="1">
        <v>1044</v>
      </c>
      <c r="G77" s="7">
        <v>0.25</v>
      </c>
      <c r="H77" s="1">
        <v>180</v>
      </c>
      <c r="I77" s="1" t="s">
        <v>72</v>
      </c>
      <c r="J77" s="1"/>
      <c r="K77" s="1">
        <v>2487</v>
      </c>
      <c r="L77" s="1">
        <f t="shared" si="67"/>
        <v>-766</v>
      </c>
      <c r="M77" s="1"/>
      <c r="N77" s="1"/>
      <c r="O77" s="1">
        <v>2016</v>
      </c>
      <c r="P77" s="1">
        <f t="shared" si="68"/>
        <v>344.2</v>
      </c>
      <c r="Q77" s="5">
        <v>1758.8000000000002</v>
      </c>
      <c r="R77" s="5">
        <f t="shared" ref="R77:R78" si="79">14*P77-O77-F77+P77*$R$1</f>
        <v>2240.6800000000003</v>
      </c>
      <c r="S77" s="5">
        <f t="shared" si="75"/>
        <v>2184</v>
      </c>
      <c r="T77" s="32"/>
      <c r="U77" s="32"/>
      <c r="V77" s="1">
        <f t="shared" si="69"/>
        <v>15.235328297501454</v>
      </c>
      <c r="W77" s="1">
        <f t="shared" si="70"/>
        <v>8.8901801278326555</v>
      </c>
      <c r="X77" s="1">
        <v>406</v>
      </c>
      <c r="Y77" s="1">
        <v>296.8</v>
      </c>
      <c r="Z77" s="1">
        <v>394.4</v>
      </c>
      <c r="AA77" s="1">
        <v>410.2</v>
      </c>
      <c r="AB77" s="1">
        <v>272.39999999999998</v>
      </c>
      <c r="AC77" s="1">
        <v>376.4</v>
      </c>
      <c r="AD77" s="1">
        <v>523.4</v>
      </c>
      <c r="AE77" s="1">
        <v>215.2</v>
      </c>
      <c r="AF77" s="1">
        <v>414.6</v>
      </c>
      <c r="AG77" s="1">
        <v>386</v>
      </c>
      <c r="AH77" s="1"/>
      <c r="AI77" s="1">
        <f t="shared" si="62"/>
        <v>560.17000000000007</v>
      </c>
      <c r="AJ77" s="7">
        <v>12</v>
      </c>
      <c r="AK77" s="9">
        <f t="shared" si="76"/>
        <v>182</v>
      </c>
      <c r="AL77" s="1">
        <f t="shared" si="63"/>
        <v>546</v>
      </c>
      <c r="AM77" s="1">
        <v>14</v>
      </c>
      <c r="AN77" s="1">
        <v>70</v>
      </c>
      <c r="AO77" s="9">
        <f t="shared" si="64"/>
        <v>2.6</v>
      </c>
      <c r="AP77" s="9"/>
      <c r="AQ77" s="1">
        <f t="shared" si="77"/>
        <v>0</v>
      </c>
      <c r="AR77" s="9">
        <f t="shared" si="78"/>
        <v>0</v>
      </c>
      <c r="AS77" s="1"/>
      <c r="AT77" s="1"/>
      <c r="AU77" s="1"/>
      <c r="AV77" s="1"/>
      <c r="AW77" s="1"/>
      <c r="AX77" s="1"/>
    </row>
    <row r="78" spans="1:50" x14ac:dyDescent="0.25">
      <c r="A78" s="13" t="s">
        <v>49</v>
      </c>
      <c r="B78" s="1" t="s">
        <v>42</v>
      </c>
      <c r="C78" s="1">
        <v>1526</v>
      </c>
      <c r="D78" s="1">
        <v>2833</v>
      </c>
      <c r="E78" s="20">
        <f>1495+E8</f>
        <v>1502</v>
      </c>
      <c r="F78" s="20">
        <f>-26+F8</f>
        <v>453</v>
      </c>
      <c r="G78" s="7">
        <v>0.25</v>
      </c>
      <c r="H78" s="1">
        <v>180</v>
      </c>
      <c r="I78" s="1" t="s">
        <v>174</v>
      </c>
      <c r="J78" s="1"/>
      <c r="K78" s="1">
        <v>1675</v>
      </c>
      <c r="L78" s="1">
        <f t="shared" si="67"/>
        <v>-173</v>
      </c>
      <c r="M78" s="1"/>
      <c r="N78" s="1"/>
      <c r="O78" s="1">
        <v>2184</v>
      </c>
      <c r="P78" s="1">
        <f t="shared" si="68"/>
        <v>300.39999999999998</v>
      </c>
      <c r="Q78" s="5">
        <v>1568.5999999999995</v>
      </c>
      <c r="R78" s="5">
        <f t="shared" si="79"/>
        <v>1989.1599999999994</v>
      </c>
      <c r="S78" s="5">
        <f t="shared" si="75"/>
        <v>2016</v>
      </c>
      <c r="T78" s="32"/>
      <c r="U78" s="32"/>
      <c r="V78" s="1">
        <f t="shared" si="69"/>
        <v>15.489347536617844</v>
      </c>
      <c r="W78" s="1">
        <f t="shared" si="70"/>
        <v>8.7782956058588564</v>
      </c>
      <c r="X78" s="1">
        <v>341.2</v>
      </c>
      <c r="Y78" s="1">
        <v>227.2</v>
      </c>
      <c r="Z78" s="1">
        <v>319.8</v>
      </c>
      <c r="AA78" s="1">
        <v>367</v>
      </c>
      <c r="AB78" s="1">
        <v>282</v>
      </c>
      <c r="AC78" s="1">
        <v>349.2</v>
      </c>
      <c r="AD78" s="1">
        <v>458.2</v>
      </c>
      <c r="AE78" s="1">
        <v>353.8</v>
      </c>
      <c r="AF78" s="1">
        <v>395.6</v>
      </c>
      <c r="AG78" s="1">
        <v>293.8</v>
      </c>
      <c r="AH78" s="1"/>
      <c r="AI78" s="1">
        <f t="shared" si="62"/>
        <v>497.28999999999985</v>
      </c>
      <c r="AJ78" s="7">
        <v>12</v>
      </c>
      <c r="AK78" s="9">
        <f t="shared" si="76"/>
        <v>168</v>
      </c>
      <c r="AL78" s="1">
        <f t="shared" si="63"/>
        <v>504</v>
      </c>
      <c r="AM78" s="1">
        <v>14</v>
      </c>
      <c r="AN78" s="1">
        <v>70</v>
      </c>
      <c r="AO78" s="9">
        <f t="shared" si="64"/>
        <v>2.4</v>
      </c>
      <c r="AP78" s="9"/>
      <c r="AQ78" s="1">
        <f t="shared" si="77"/>
        <v>0</v>
      </c>
      <c r="AR78" s="9">
        <f t="shared" si="78"/>
        <v>0</v>
      </c>
      <c r="AS78" s="1"/>
      <c r="AT78" s="1"/>
      <c r="AU78" s="1"/>
      <c r="AV78" s="1"/>
      <c r="AW78" s="1"/>
      <c r="AX78" s="1"/>
    </row>
    <row r="79" spans="1:50" x14ac:dyDescent="0.25">
      <c r="A79" s="1" t="s">
        <v>175</v>
      </c>
      <c r="B79" s="1" t="s">
        <v>42</v>
      </c>
      <c r="C79" s="1">
        <v>560</v>
      </c>
      <c r="D79" s="1">
        <v>8</v>
      </c>
      <c r="E79" s="1">
        <v>413</v>
      </c>
      <c r="F79" s="1">
        <v>142</v>
      </c>
      <c r="G79" s="7">
        <v>0.2</v>
      </c>
      <c r="H79" s="1">
        <v>365</v>
      </c>
      <c r="I79" s="1" t="s">
        <v>176</v>
      </c>
      <c r="J79" s="1"/>
      <c r="K79" s="1">
        <v>419</v>
      </c>
      <c r="L79" s="1">
        <f t="shared" si="67"/>
        <v>-6</v>
      </c>
      <c r="M79" s="1"/>
      <c r="N79" s="1"/>
      <c r="O79" s="1">
        <v>420</v>
      </c>
      <c r="P79" s="1">
        <f t="shared" si="68"/>
        <v>82.6</v>
      </c>
      <c r="Q79" s="5">
        <v>594.39999999999986</v>
      </c>
      <c r="R79" s="5">
        <f t="shared" si="61"/>
        <v>594.39999999999986</v>
      </c>
      <c r="S79" s="5">
        <f t="shared" si="75"/>
        <v>588</v>
      </c>
      <c r="T79" s="32"/>
      <c r="U79" s="32"/>
      <c r="V79" s="1">
        <f t="shared" si="69"/>
        <v>13.922518159806296</v>
      </c>
      <c r="W79" s="1">
        <f t="shared" si="70"/>
        <v>6.8038740920096856</v>
      </c>
      <c r="X79" s="1">
        <v>78.8</v>
      </c>
      <c r="Y79" s="1">
        <v>44.8</v>
      </c>
      <c r="Z79" s="1">
        <v>97.4</v>
      </c>
      <c r="AA79" s="1">
        <v>104.2</v>
      </c>
      <c r="AB79" s="1">
        <v>67.2</v>
      </c>
      <c r="AC79" s="1">
        <v>60.6</v>
      </c>
      <c r="AD79" s="1">
        <v>111.4</v>
      </c>
      <c r="AE79" s="1">
        <v>49.8</v>
      </c>
      <c r="AF79" s="1">
        <v>72</v>
      </c>
      <c r="AG79" s="1">
        <v>84.8</v>
      </c>
      <c r="AH79" s="1"/>
      <c r="AI79" s="1">
        <f t="shared" si="62"/>
        <v>118.87999999999998</v>
      </c>
      <c r="AJ79" s="7">
        <v>6</v>
      </c>
      <c r="AK79" s="9">
        <f t="shared" si="76"/>
        <v>98</v>
      </c>
      <c r="AL79" s="1">
        <f t="shared" si="63"/>
        <v>117.60000000000001</v>
      </c>
      <c r="AM79" s="1">
        <v>14</v>
      </c>
      <c r="AN79" s="1">
        <v>140</v>
      </c>
      <c r="AO79" s="9">
        <f t="shared" si="64"/>
        <v>0.7</v>
      </c>
      <c r="AP79" s="9"/>
      <c r="AQ79" s="1">
        <f t="shared" si="77"/>
        <v>0</v>
      </c>
      <c r="AR79" s="9">
        <f t="shared" si="78"/>
        <v>0</v>
      </c>
      <c r="AS79" s="1"/>
      <c r="AT79" s="1"/>
      <c r="AU79" s="1"/>
      <c r="AV79" s="1"/>
      <c r="AW79" s="1"/>
      <c r="AX79" s="1"/>
    </row>
    <row r="80" spans="1:50" x14ac:dyDescent="0.25">
      <c r="A80" s="1" t="s">
        <v>177</v>
      </c>
      <c r="B80" s="1" t="s">
        <v>42</v>
      </c>
      <c r="C80" s="1">
        <v>658</v>
      </c>
      <c r="D80" s="1">
        <v>368</v>
      </c>
      <c r="E80" s="1">
        <v>654</v>
      </c>
      <c r="F80" s="1">
        <v>283</v>
      </c>
      <c r="G80" s="7">
        <v>0.23</v>
      </c>
      <c r="H80" s="1">
        <v>180</v>
      </c>
      <c r="I80" s="1" t="s">
        <v>178</v>
      </c>
      <c r="J80" s="1"/>
      <c r="K80" s="1">
        <v>692</v>
      </c>
      <c r="L80" s="1">
        <f t="shared" si="67"/>
        <v>-38</v>
      </c>
      <c r="M80" s="1"/>
      <c r="N80" s="1"/>
      <c r="O80" s="1">
        <v>924</v>
      </c>
      <c r="P80" s="1">
        <f t="shared" si="68"/>
        <v>130.80000000000001</v>
      </c>
      <c r="Q80" s="5">
        <v>624.20000000000027</v>
      </c>
      <c r="R80" s="5">
        <f>14*P80-O80-F80+P80*$R$1</f>
        <v>807.32000000000028</v>
      </c>
      <c r="S80" s="5">
        <f t="shared" si="75"/>
        <v>840</v>
      </c>
      <c r="T80" s="32"/>
      <c r="U80" s="32"/>
      <c r="V80" s="1">
        <f t="shared" si="69"/>
        <v>15.649847094801222</v>
      </c>
      <c r="W80" s="1">
        <f t="shared" si="70"/>
        <v>9.2278287461773694</v>
      </c>
      <c r="X80" s="1">
        <v>157.4</v>
      </c>
      <c r="Y80" s="1">
        <v>110.4</v>
      </c>
      <c r="Z80" s="1">
        <v>140.19999999999999</v>
      </c>
      <c r="AA80" s="1">
        <v>165.2</v>
      </c>
      <c r="AB80" s="1">
        <v>130.19999999999999</v>
      </c>
      <c r="AC80" s="1">
        <v>58.4</v>
      </c>
      <c r="AD80" s="1">
        <v>141.80000000000001</v>
      </c>
      <c r="AE80" s="1">
        <v>152</v>
      </c>
      <c r="AF80" s="1">
        <v>103.2</v>
      </c>
      <c r="AG80" s="1">
        <v>106.6</v>
      </c>
      <c r="AH80" s="1"/>
      <c r="AI80" s="1">
        <f t="shared" si="62"/>
        <v>185.68360000000007</v>
      </c>
      <c r="AJ80" s="7">
        <v>6</v>
      </c>
      <c r="AK80" s="9">
        <f t="shared" si="76"/>
        <v>140</v>
      </c>
      <c r="AL80" s="1">
        <f t="shared" si="63"/>
        <v>193.20000000000002</v>
      </c>
      <c r="AM80" s="1">
        <v>14</v>
      </c>
      <c r="AN80" s="1">
        <v>140</v>
      </c>
      <c r="AO80" s="9">
        <f t="shared" si="64"/>
        <v>1</v>
      </c>
      <c r="AP80" s="9"/>
      <c r="AQ80" s="1">
        <f t="shared" si="77"/>
        <v>0</v>
      </c>
      <c r="AR80" s="9">
        <f t="shared" si="78"/>
        <v>0</v>
      </c>
      <c r="AS80" s="1"/>
      <c r="AT80" s="1"/>
      <c r="AU80" s="1"/>
      <c r="AV80" s="1"/>
      <c r="AW80" s="1"/>
      <c r="AX80" s="1"/>
    </row>
    <row r="81" spans="1:50" x14ac:dyDescent="0.25">
      <c r="A81" s="1" t="s">
        <v>179</v>
      </c>
      <c r="B81" s="1" t="s">
        <v>42</v>
      </c>
      <c r="C81" s="1">
        <v>157</v>
      </c>
      <c r="D81" s="1">
        <v>267</v>
      </c>
      <c r="E81" s="1">
        <v>171</v>
      </c>
      <c r="F81" s="1">
        <v>219</v>
      </c>
      <c r="G81" s="7">
        <v>0.23</v>
      </c>
      <c r="H81" s="1"/>
      <c r="I81" s="1" t="s">
        <v>172</v>
      </c>
      <c r="J81" s="1"/>
      <c r="K81" s="1">
        <v>187</v>
      </c>
      <c r="L81" s="1">
        <f t="shared" si="67"/>
        <v>-16</v>
      </c>
      <c r="M81" s="1"/>
      <c r="N81" s="1"/>
      <c r="O81" s="1">
        <v>84</v>
      </c>
      <c r="P81" s="1">
        <f t="shared" si="68"/>
        <v>34.200000000000003</v>
      </c>
      <c r="Q81" s="5">
        <v>175.80000000000007</v>
      </c>
      <c r="R81" s="5">
        <f t="shared" si="61"/>
        <v>175.80000000000007</v>
      </c>
      <c r="S81" s="5">
        <f t="shared" si="75"/>
        <v>168</v>
      </c>
      <c r="T81" s="32"/>
      <c r="U81" s="32"/>
      <c r="V81" s="1">
        <f t="shared" si="69"/>
        <v>13.771929824561402</v>
      </c>
      <c r="W81" s="1">
        <f t="shared" si="70"/>
        <v>8.8596491228070171</v>
      </c>
      <c r="X81" s="1">
        <v>35.799999999999997</v>
      </c>
      <c r="Y81" s="1">
        <v>39.4</v>
      </c>
      <c r="Z81" s="1">
        <v>36</v>
      </c>
      <c r="AA81" s="1">
        <v>44.4</v>
      </c>
      <c r="AB81" s="1">
        <v>41.4</v>
      </c>
      <c r="AC81" s="1">
        <v>48.4</v>
      </c>
      <c r="AD81" s="1">
        <v>34.6</v>
      </c>
      <c r="AE81" s="1">
        <v>12.4</v>
      </c>
      <c r="AF81" s="1">
        <v>0</v>
      </c>
      <c r="AG81" s="1">
        <v>0</v>
      </c>
      <c r="AH81" s="1"/>
      <c r="AI81" s="1">
        <f t="shared" si="62"/>
        <v>40.434000000000019</v>
      </c>
      <c r="AJ81" s="7">
        <v>6</v>
      </c>
      <c r="AK81" s="9">
        <f t="shared" si="76"/>
        <v>28</v>
      </c>
      <c r="AL81" s="1">
        <f t="shared" si="63"/>
        <v>38.64</v>
      </c>
      <c r="AM81" s="1">
        <v>14</v>
      </c>
      <c r="AN81" s="1">
        <v>140</v>
      </c>
      <c r="AO81" s="9">
        <f t="shared" si="64"/>
        <v>0.2</v>
      </c>
      <c r="AP81" s="9"/>
      <c r="AQ81" s="1">
        <f t="shared" si="77"/>
        <v>0</v>
      </c>
      <c r="AR81" s="9">
        <f t="shared" si="78"/>
        <v>0</v>
      </c>
      <c r="AS81" s="1"/>
      <c r="AT81" s="1"/>
      <c r="AU81" s="1"/>
      <c r="AV81" s="1"/>
      <c r="AW81" s="1"/>
      <c r="AX81" s="1"/>
    </row>
    <row r="82" spans="1:50" x14ac:dyDescent="0.25">
      <c r="A82" s="1" t="s">
        <v>180</v>
      </c>
      <c r="B82" s="1" t="s">
        <v>86</v>
      </c>
      <c r="C82" s="1">
        <v>32.4</v>
      </c>
      <c r="D82" s="1">
        <v>37.799999999999997</v>
      </c>
      <c r="E82" s="1">
        <v>37.799999999999997</v>
      </c>
      <c r="F82" s="1">
        <v>32.4</v>
      </c>
      <c r="G82" s="7">
        <v>1</v>
      </c>
      <c r="H82" s="1">
        <v>180</v>
      </c>
      <c r="I82" s="1" t="s">
        <v>181</v>
      </c>
      <c r="J82" s="1"/>
      <c r="K82" s="1">
        <v>37.799999999999997</v>
      </c>
      <c r="L82" s="1">
        <f t="shared" si="67"/>
        <v>0</v>
      </c>
      <c r="M82" s="1"/>
      <c r="N82" s="1"/>
      <c r="O82" s="1">
        <v>0</v>
      </c>
      <c r="P82" s="1">
        <f t="shared" si="68"/>
        <v>7.56</v>
      </c>
      <c r="Q82" s="5">
        <v>73.44</v>
      </c>
      <c r="R82" s="5">
        <f t="shared" si="61"/>
        <v>73.44</v>
      </c>
      <c r="S82" s="5">
        <f t="shared" si="75"/>
        <v>75.600000000000009</v>
      </c>
      <c r="T82" s="32"/>
      <c r="U82" s="32"/>
      <c r="V82" s="1">
        <f t="shared" si="69"/>
        <v>14.285714285714286</v>
      </c>
      <c r="W82" s="1">
        <f t="shared" si="70"/>
        <v>4.2857142857142856</v>
      </c>
      <c r="X82" s="1">
        <v>1.62</v>
      </c>
      <c r="Y82" s="1">
        <v>4.32</v>
      </c>
      <c r="Z82" s="1">
        <v>1.62</v>
      </c>
      <c r="AA82" s="1">
        <v>1.62</v>
      </c>
      <c r="AB82" s="1">
        <v>4.32</v>
      </c>
      <c r="AC82" s="1">
        <v>3.24</v>
      </c>
      <c r="AD82" s="1">
        <v>2.7</v>
      </c>
      <c r="AE82" s="1">
        <v>4.8600000000000003</v>
      </c>
      <c r="AF82" s="1">
        <v>4.8600000000000003</v>
      </c>
      <c r="AG82" s="1">
        <v>4.8600000000000003</v>
      </c>
      <c r="AH82" s="1"/>
      <c r="AI82" s="1">
        <f t="shared" si="62"/>
        <v>73.44</v>
      </c>
      <c r="AJ82" s="7">
        <v>2.7</v>
      </c>
      <c r="AK82" s="9">
        <f t="shared" si="76"/>
        <v>28</v>
      </c>
      <c r="AL82" s="1">
        <f t="shared" si="63"/>
        <v>75.600000000000009</v>
      </c>
      <c r="AM82" s="1">
        <v>14</v>
      </c>
      <c r="AN82" s="1">
        <v>126</v>
      </c>
      <c r="AO82" s="9">
        <f t="shared" si="64"/>
        <v>0.22222222222222221</v>
      </c>
      <c r="AP82" s="9"/>
      <c r="AQ82" s="1">
        <f t="shared" si="77"/>
        <v>0</v>
      </c>
      <c r="AR82" s="9">
        <f t="shared" si="78"/>
        <v>0</v>
      </c>
      <c r="AS82" s="1"/>
      <c r="AT82" s="1"/>
      <c r="AU82" s="1"/>
      <c r="AV82" s="1"/>
      <c r="AW82" s="1"/>
      <c r="AX82" s="1"/>
    </row>
    <row r="83" spans="1:50" x14ac:dyDescent="0.25">
      <c r="A83" s="1" t="s">
        <v>182</v>
      </c>
      <c r="B83" s="1" t="s">
        <v>86</v>
      </c>
      <c r="C83" s="1">
        <v>20</v>
      </c>
      <c r="D83" s="1">
        <v>310</v>
      </c>
      <c r="E83" s="20">
        <f>205+E84</f>
        <v>415</v>
      </c>
      <c r="F83" s="20">
        <f>0+F84</f>
        <v>15</v>
      </c>
      <c r="G83" s="7">
        <v>1</v>
      </c>
      <c r="H83" s="1">
        <v>180</v>
      </c>
      <c r="I83" s="1" t="s">
        <v>183</v>
      </c>
      <c r="J83" s="1"/>
      <c r="K83" s="1">
        <v>285</v>
      </c>
      <c r="L83" s="1">
        <f t="shared" si="67"/>
        <v>130</v>
      </c>
      <c r="M83" s="1"/>
      <c r="N83" s="1"/>
      <c r="O83" s="1">
        <v>1020</v>
      </c>
      <c r="P83" s="1">
        <f t="shared" si="68"/>
        <v>83</v>
      </c>
      <c r="Q83" s="5">
        <v>127</v>
      </c>
      <c r="R83" s="5">
        <f t="shared" si="61"/>
        <v>127</v>
      </c>
      <c r="S83" s="5">
        <f t="shared" si="75"/>
        <v>120</v>
      </c>
      <c r="T83" s="32"/>
      <c r="U83" s="32"/>
      <c r="V83" s="1">
        <f t="shared" si="69"/>
        <v>13.91566265060241</v>
      </c>
      <c r="W83" s="1">
        <f t="shared" si="70"/>
        <v>12.46987951807229</v>
      </c>
      <c r="X83" s="1">
        <v>114</v>
      </c>
      <c r="Y83" s="1">
        <v>70</v>
      </c>
      <c r="Z83" s="1">
        <v>99</v>
      </c>
      <c r="AA83" s="1">
        <v>94</v>
      </c>
      <c r="AB83" s="1">
        <v>94</v>
      </c>
      <c r="AC83" s="1">
        <v>77</v>
      </c>
      <c r="AD83" s="1">
        <v>56</v>
      </c>
      <c r="AE83" s="1">
        <v>77</v>
      </c>
      <c r="AF83" s="1">
        <v>62</v>
      </c>
      <c r="AG83" s="1">
        <v>54</v>
      </c>
      <c r="AH83" s="1"/>
      <c r="AI83" s="1">
        <f t="shared" si="62"/>
        <v>127</v>
      </c>
      <c r="AJ83" s="7">
        <v>5</v>
      </c>
      <c r="AK83" s="9">
        <f t="shared" si="76"/>
        <v>24</v>
      </c>
      <c r="AL83" s="1">
        <f t="shared" si="63"/>
        <v>120</v>
      </c>
      <c r="AM83" s="1">
        <v>12</v>
      </c>
      <c r="AN83" s="1">
        <v>84</v>
      </c>
      <c r="AO83" s="9">
        <f t="shared" si="64"/>
        <v>0.2857142857142857</v>
      </c>
      <c r="AP83" s="9"/>
      <c r="AQ83" s="1">
        <f t="shared" si="77"/>
        <v>0</v>
      </c>
      <c r="AR83" s="9">
        <f t="shared" si="78"/>
        <v>0</v>
      </c>
      <c r="AS83" s="1"/>
      <c r="AT83" s="1"/>
      <c r="AU83" s="1"/>
      <c r="AV83" s="1"/>
      <c r="AW83" s="1"/>
      <c r="AX83" s="1"/>
    </row>
    <row r="84" spans="1:50" x14ac:dyDescent="0.25">
      <c r="A84" s="15" t="s">
        <v>184</v>
      </c>
      <c r="B84" s="15" t="s">
        <v>86</v>
      </c>
      <c r="C84" s="15">
        <v>285</v>
      </c>
      <c r="D84" s="15">
        <v>25</v>
      </c>
      <c r="E84" s="20">
        <v>210</v>
      </c>
      <c r="F84" s="20">
        <v>15</v>
      </c>
      <c r="G84" s="16">
        <v>0</v>
      </c>
      <c r="H84" s="15"/>
      <c r="I84" s="15" t="s">
        <v>48</v>
      </c>
      <c r="J84" s="15" t="s">
        <v>182</v>
      </c>
      <c r="K84" s="15">
        <v>370</v>
      </c>
      <c r="L84" s="15">
        <f t="shared" si="67"/>
        <v>-160</v>
      </c>
      <c r="M84" s="15"/>
      <c r="N84" s="15"/>
      <c r="O84" s="15"/>
      <c r="P84" s="15">
        <f t="shared" si="68"/>
        <v>42</v>
      </c>
      <c r="Q84" s="17"/>
      <c r="R84" s="17"/>
      <c r="S84" s="17"/>
      <c r="T84" s="31"/>
      <c r="U84" s="32"/>
      <c r="V84" s="15">
        <f t="shared" si="69"/>
        <v>0.35714285714285715</v>
      </c>
      <c r="W84" s="15">
        <f t="shared" si="70"/>
        <v>0.35714285714285715</v>
      </c>
      <c r="X84" s="15">
        <v>3</v>
      </c>
      <c r="Y84" s="15">
        <v>0</v>
      </c>
      <c r="Z84" s="15">
        <v>6</v>
      </c>
      <c r="AA84" s="15">
        <v>7</v>
      </c>
      <c r="AB84" s="15">
        <v>2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/>
      <c r="AI84" s="15"/>
      <c r="AJ84" s="16"/>
      <c r="AK84" s="18"/>
      <c r="AL84" s="15"/>
      <c r="AM84" s="15"/>
      <c r="AN84" s="15"/>
      <c r="AO84" s="18"/>
      <c r="AP84" s="18"/>
      <c r="AQ84" s="15"/>
      <c r="AR84" s="18"/>
      <c r="AS84" s="1"/>
      <c r="AT84" s="1"/>
      <c r="AU84" s="1"/>
      <c r="AV84" s="1"/>
      <c r="AW84" s="1"/>
      <c r="AX84" s="1"/>
    </row>
    <row r="85" spans="1:50" x14ac:dyDescent="0.25">
      <c r="A85" s="26" t="s">
        <v>186</v>
      </c>
      <c r="B85" s="26" t="s">
        <v>42</v>
      </c>
      <c r="C85" s="26"/>
      <c r="D85" s="26"/>
      <c r="E85" s="26"/>
      <c r="F85" s="26"/>
      <c r="G85" s="27">
        <v>0.6</v>
      </c>
      <c r="H85" s="26">
        <v>180</v>
      </c>
      <c r="I85" s="26" t="s">
        <v>187</v>
      </c>
      <c r="J85" s="26"/>
      <c r="K85" s="26"/>
      <c r="L85" s="26"/>
      <c r="M85" s="26"/>
      <c r="N85" s="26"/>
      <c r="O85" s="26"/>
      <c r="P85" s="26">
        <f t="shared" si="68"/>
        <v>0</v>
      </c>
      <c r="Q85" s="28">
        <v>200</v>
      </c>
      <c r="R85" s="28">
        <v>200</v>
      </c>
      <c r="S85" s="5">
        <f t="shared" ref="S85:S86" si="80">AJ85*AK85+AP85*AJ85</f>
        <v>240</v>
      </c>
      <c r="T85" s="34"/>
      <c r="U85" s="32"/>
      <c r="V85" s="26" t="e">
        <f t="shared" ref="V85:V86" si="81">(F85+O85+S85)/P85</f>
        <v>#DIV/0!</v>
      </c>
      <c r="W85" s="26" t="e">
        <f t="shared" ref="W85:W86" si="82">(F85+O85)/P85</f>
        <v>#DIV/0!</v>
      </c>
      <c r="X85" s="26">
        <v>0</v>
      </c>
      <c r="Y85" s="26">
        <v>0</v>
      </c>
      <c r="Z85" s="26">
        <v>0</v>
      </c>
      <c r="AA85" s="26">
        <v>0</v>
      </c>
      <c r="AB85" s="26">
        <v>0</v>
      </c>
      <c r="AC85" s="26">
        <v>0</v>
      </c>
      <c r="AD85" s="26">
        <v>0</v>
      </c>
      <c r="AE85" s="26">
        <v>0</v>
      </c>
      <c r="AF85" s="26">
        <v>0</v>
      </c>
      <c r="AG85" s="26">
        <v>0</v>
      </c>
      <c r="AH85" s="26" t="s">
        <v>115</v>
      </c>
      <c r="AI85" s="26">
        <f t="shared" si="62"/>
        <v>120</v>
      </c>
      <c r="AJ85" s="27">
        <v>10</v>
      </c>
      <c r="AK85" s="9">
        <f t="shared" ref="AK85:AK86" si="83">MROUND(R85, AJ85*AM85)/AJ85-AP85</f>
        <v>24</v>
      </c>
      <c r="AL85" s="26">
        <f t="shared" ref="AL85:AL86" si="84">AK85*AJ85*G85</f>
        <v>144</v>
      </c>
      <c r="AM85" s="26">
        <v>12</v>
      </c>
      <c r="AN85" s="26">
        <v>84</v>
      </c>
      <c r="AO85" s="29">
        <f t="shared" si="64"/>
        <v>0.2857142857142857</v>
      </c>
      <c r="AP85" s="29"/>
      <c r="AQ85" s="1">
        <f t="shared" ref="AQ85:AQ86" si="85">AP85*AJ85*G85</f>
        <v>0</v>
      </c>
      <c r="AR85" s="9">
        <f t="shared" ref="AR85:AR86" si="86">AP85/AN85</f>
        <v>0</v>
      </c>
      <c r="AS85" s="1"/>
      <c r="AT85" s="1"/>
      <c r="AU85" s="1"/>
      <c r="AV85" s="1"/>
      <c r="AW85" s="1"/>
      <c r="AX85" s="1"/>
    </row>
    <row r="86" spans="1:50" x14ac:dyDescent="0.25">
      <c r="A86" s="26" t="s">
        <v>188</v>
      </c>
      <c r="B86" s="26" t="s">
        <v>42</v>
      </c>
      <c r="C86" s="26"/>
      <c r="D86" s="26"/>
      <c r="E86" s="26"/>
      <c r="F86" s="26"/>
      <c r="G86" s="27">
        <v>0.23</v>
      </c>
      <c r="H86" s="26">
        <v>180</v>
      </c>
      <c r="I86" s="26" t="s">
        <v>189</v>
      </c>
      <c r="J86" s="26"/>
      <c r="K86" s="26"/>
      <c r="L86" s="26"/>
      <c r="M86" s="26"/>
      <c r="N86" s="26"/>
      <c r="O86" s="26"/>
      <c r="P86" s="26">
        <f t="shared" si="68"/>
        <v>0</v>
      </c>
      <c r="Q86" s="28">
        <v>400</v>
      </c>
      <c r="R86" s="28">
        <v>400</v>
      </c>
      <c r="S86" s="5">
        <f t="shared" si="80"/>
        <v>336</v>
      </c>
      <c r="T86" s="34"/>
      <c r="U86" s="32"/>
      <c r="V86" s="26" t="e">
        <f t="shared" si="81"/>
        <v>#DIV/0!</v>
      </c>
      <c r="W86" s="26" t="e">
        <f t="shared" si="82"/>
        <v>#DIV/0!</v>
      </c>
      <c r="X86" s="26">
        <v>0</v>
      </c>
      <c r="Y86" s="26">
        <v>0</v>
      </c>
      <c r="Z86" s="26">
        <v>0</v>
      </c>
      <c r="AA86" s="26">
        <v>0</v>
      </c>
      <c r="AB86" s="26">
        <v>0</v>
      </c>
      <c r="AC86" s="26">
        <v>0</v>
      </c>
      <c r="AD86" s="26">
        <v>0</v>
      </c>
      <c r="AE86" s="26">
        <v>0</v>
      </c>
      <c r="AF86" s="26">
        <v>0</v>
      </c>
      <c r="AG86" s="26">
        <v>0</v>
      </c>
      <c r="AH86" s="26" t="s">
        <v>115</v>
      </c>
      <c r="AI86" s="26">
        <f t="shared" si="62"/>
        <v>92</v>
      </c>
      <c r="AJ86" s="27">
        <v>12</v>
      </c>
      <c r="AK86" s="9">
        <f t="shared" si="83"/>
        <v>28</v>
      </c>
      <c r="AL86" s="26">
        <f t="shared" si="84"/>
        <v>77.28</v>
      </c>
      <c r="AM86" s="26">
        <v>14</v>
      </c>
      <c r="AN86" s="26">
        <v>70</v>
      </c>
      <c r="AO86" s="29">
        <f t="shared" si="64"/>
        <v>0.4</v>
      </c>
      <c r="AP86" s="29"/>
      <c r="AQ86" s="1">
        <f t="shared" si="85"/>
        <v>0</v>
      </c>
      <c r="AR86" s="9">
        <f t="shared" si="86"/>
        <v>0</v>
      </c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7"/>
      <c r="AK87" s="9"/>
      <c r="AL87" s="1"/>
      <c r="AM87" s="1"/>
      <c r="AN87" s="1"/>
      <c r="AO87" s="9"/>
      <c r="AP87" s="9"/>
      <c r="AQ87" s="1"/>
      <c r="AR87" s="9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7"/>
      <c r="AK88" s="9"/>
      <c r="AL88" s="1"/>
      <c r="AM88" s="1"/>
      <c r="AN88" s="1"/>
      <c r="AO88" s="9"/>
      <c r="AP88" s="9"/>
      <c r="AQ88" s="1"/>
      <c r="AR88" s="9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7"/>
      <c r="AK89" s="9"/>
      <c r="AL89" s="1"/>
      <c r="AM89" s="1"/>
      <c r="AN89" s="1"/>
      <c r="AO89" s="9"/>
      <c r="AP89" s="9"/>
      <c r="AQ89" s="1"/>
      <c r="AR89" s="9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7"/>
      <c r="AK90" s="9"/>
      <c r="AL90" s="1"/>
      <c r="AM90" s="1"/>
      <c r="AN90" s="1"/>
      <c r="AO90" s="9"/>
      <c r="AP90" s="9"/>
      <c r="AQ90" s="1"/>
      <c r="AR90" s="9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7"/>
      <c r="AK91" s="9"/>
      <c r="AL91" s="1"/>
      <c r="AM91" s="1"/>
      <c r="AN91" s="1"/>
      <c r="AO91" s="9"/>
      <c r="AP91" s="9"/>
      <c r="AQ91" s="1"/>
      <c r="AR91" s="9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7"/>
      <c r="AK92" s="9"/>
      <c r="AL92" s="1"/>
      <c r="AM92" s="1"/>
      <c r="AN92" s="1"/>
      <c r="AO92" s="9"/>
      <c r="AP92" s="9"/>
      <c r="AQ92" s="1"/>
      <c r="AR92" s="9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7"/>
      <c r="AK93" s="9"/>
      <c r="AL93" s="1"/>
      <c r="AM93" s="1"/>
      <c r="AN93" s="1"/>
      <c r="AO93" s="9"/>
      <c r="AP93" s="9"/>
      <c r="AQ93" s="1"/>
      <c r="AR93" s="9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7"/>
      <c r="AK94" s="9"/>
      <c r="AL94" s="1"/>
      <c r="AM94" s="1"/>
      <c r="AN94" s="1"/>
      <c r="AO94" s="9"/>
      <c r="AP94" s="9"/>
      <c r="AQ94" s="1"/>
      <c r="AR94" s="9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7"/>
      <c r="AK95" s="9"/>
      <c r="AL95" s="1"/>
      <c r="AM95" s="1"/>
      <c r="AN95" s="1"/>
      <c r="AO95" s="9"/>
      <c r="AP95" s="9"/>
      <c r="AQ95" s="1"/>
      <c r="AR95" s="9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7"/>
      <c r="AK96" s="9"/>
      <c r="AL96" s="1"/>
      <c r="AM96" s="1"/>
      <c r="AN96" s="1"/>
      <c r="AO96" s="9"/>
      <c r="AP96" s="9"/>
      <c r="AQ96" s="1"/>
      <c r="AR96" s="9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7"/>
      <c r="AK97" s="9"/>
      <c r="AL97" s="1"/>
      <c r="AM97" s="1"/>
      <c r="AN97" s="1"/>
      <c r="AO97" s="9"/>
      <c r="AP97" s="9"/>
      <c r="AQ97" s="1"/>
      <c r="AR97" s="9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7"/>
      <c r="AK98" s="9"/>
      <c r="AL98" s="1"/>
      <c r="AM98" s="1"/>
      <c r="AN98" s="1"/>
      <c r="AO98" s="9"/>
      <c r="AP98" s="9"/>
      <c r="AQ98" s="1"/>
      <c r="AR98" s="9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7"/>
      <c r="AK99" s="9"/>
      <c r="AL99" s="1"/>
      <c r="AM99" s="1"/>
      <c r="AN99" s="1"/>
      <c r="AO99" s="9"/>
      <c r="AP99" s="9"/>
      <c r="AQ99" s="1"/>
      <c r="AR99" s="9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7"/>
      <c r="AK100" s="9"/>
      <c r="AL100" s="1"/>
      <c r="AM100" s="1"/>
      <c r="AN100" s="1"/>
      <c r="AO100" s="9"/>
      <c r="AP100" s="9"/>
      <c r="AQ100" s="1"/>
      <c r="AR100" s="9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7"/>
      <c r="AK101" s="9"/>
      <c r="AL101" s="1"/>
      <c r="AM101" s="1"/>
      <c r="AN101" s="1"/>
      <c r="AO101" s="9"/>
      <c r="AP101" s="9"/>
      <c r="AQ101" s="1"/>
      <c r="AR101" s="9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7"/>
      <c r="AK102" s="9"/>
      <c r="AL102" s="1"/>
      <c r="AM102" s="1"/>
      <c r="AN102" s="1"/>
      <c r="AO102" s="9"/>
      <c r="AP102" s="9"/>
      <c r="AQ102" s="1"/>
      <c r="AR102" s="9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7"/>
      <c r="AK103" s="9"/>
      <c r="AL103" s="1"/>
      <c r="AM103" s="1"/>
      <c r="AN103" s="1"/>
      <c r="AO103" s="9"/>
      <c r="AP103" s="9"/>
      <c r="AQ103" s="1"/>
      <c r="AR103" s="9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7"/>
      <c r="AK104" s="9"/>
      <c r="AL104" s="1"/>
      <c r="AM104" s="1"/>
      <c r="AN104" s="1"/>
      <c r="AO104" s="9"/>
      <c r="AP104" s="9"/>
      <c r="AQ104" s="1"/>
      <c r="AR104" s="9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7"/>
      <c r="AK105" s="9"/>
      <c r="AL105" s="1"/>
      <c r="AM105" s="1"/>
      <c r="AN105" s="1"/>
      <c r="AO105" s="9"/>
      <c r="AP105" s="9"/>
      <c r="AQ105" s="1"/>
      <c r="AR105" s="9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7"/>
      <c r="AK106" s="9"/>
      <c r="AL106" s="1"/>
      <c r="AM106" s="1"/>
      <c r="AN106" s="1"/>
      <c r="AO106" s="9"/>
      <c r="AP106" s="9"/>
      <c r="AQ106" s="1"/>
      <c r="AR106" s="9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7"/>
      <c r="AK107" s="9"/>
      <c r="AL107" s="1"/>
      <c r="AM107" s="1"/>
      <c r="AN107" s="1"/>
      <c r="AO107" s="9"/>
      <c r="AP107" s="9"/>
      <c r="AQ107" s="1"/>
      <c r="AR107" s="9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7"/>
      <c r="AK108" s="9"/>
      <c r="AL108" s="1"/>
      <c r="AM108" s="1"/>
      <c r="AN108" s="1"/>
      <c r="AO108" s="9"/>
      <c r="AP108" s="9"/>
      <c r="AQ108" s="1"/>
      <c r="AR108" s="9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7"/>
      <c r="AK109" s="9"/>
      <c r="AL109" s="1"/>
      <c r="AM109" s="1"/>
      <c r="AN109" s="1"/>
      <c r="AO109" s="9"/>
      <c r="AP109" s="9"/>
      <c r="AQ109" s="1"/>
      <c r="AR109" s="9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7"/>
      <c r="AK110" s="9"/>
      <c r="AL110" s="1"/>
      <c r="AM110" s="1"/>
      <c r="AN110" s="1"/>
      <c r="AO110" s="9"/>
      <c r="AP110" s="9"/>
      <c r="AQ110" s="1"/>
      <c r="AR110" s="9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7"/>
      <c r="AK111" s="9"/>
      <c r="AL111" s="1"/>
      <c r="AM111" s="1"/>
      <c r="AN111" s="1"/>
      <c r="AO111" s="9"/>
      <c r="AP111" s="9"/>
      <c r="AQ111" s="1"/>
      <c r="AR111" s="9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7"/>
      <c r="AK112" s="9"/>
      <c r="AL112" s="1"/>
      <c r="AM112" s="1"/>
      <c r="AN112" s="1"/>
      <c r="AO112" s="9"/>
      <c r="AP112" s="9"/>
      <c r="AQ112" s="1"/>
      <c r="AR112" s="9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7"/>
      <c r="AK113" s="9"/>
      <c r="AL113" s="1"/>
      <c r="AM113" s="1"/>
      <c r="AN113" s="1"/>
      <c r="AO113" s="9"/>
      <c r="AP113" s="9"/>
      <c r="AQ113" s="1"/>
      <c r="AR113" s="9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7"/>
      <c r="AK114" s="9"/>
      <c r="AL114" s="1"/>
      <c r="AM114" s="1"/>
      <c r="AN114" s="1"/>
      <c r="AO114" s="9"/>
      <c r="AP114" s="9"/>
      <c r="AQ114" s="1"/>
      <c r="AR114" s="9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7"/>
      <c r="AK115" s="9"/>
      <c r="AL115" s="1"/>
      <c r="AM115" s="1"/>
      <c r="AN115" s="1"/>
      <c r="AO115" s="9"/>
      <c r="AP115" s="9"/>
      <c r="AQ115" s="1"/>
      <c r="AR115" s="9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7"/>
      <c r="AK116" s="9"/>
      <c r="AL116" s="1"/>
      <c r="AM116" s="1"/>
      <c r="AN116" s="1"/>
      <c r="AO116" s="9"/>
      <c r="AP116" s="9"/>
      <c r="AQ116" s="1"/>
      <c r="AR116" s="9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7"/>
      <c r="AK117" s="9"/>
      <c r="AL117" s="1"/>
      <c r="AM117" s="1"/>
      <c r="AN117" s="1"/>
      <c r="AO117" s="9"/>
      <c r="AP117" s="9"/>
      <c r="AQ117" s="1"/>
      <c r="AR117" s="9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7"/>
      <c r="AK118" s="9"/>
      <c r="AL118" s="1"/>
      <c r="AM118" s="1"/>
      <c r="AN118" s="1"/>
      <c r="AO118" s="9"/>
      <c r="AP118" s="9"/>
      <c r="AQ118" s="1"/>
      <c r="AR118" s="9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7"/>
      <c r="AK119" s="9"/>
      <c r="AL119" s="1"/>
      <c r="AM119" s="1"/>
      <c r="AN119" s="1"/>
      <c r="AO119" s="9"/>
      <c r="AP119" s="9"/>
      <c r="AQ119" s="1"/>
      <c r="AR119" s="9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7"/>
      <c r="AK120" s="9"/>
      <c r="AL120" s="1"/>
      <c r="AM120" s="1"/>
      <c r="AN120" s="1"/>
      <c r="AO120" s="9"/>
      <c r="AP120" s="9"/>
      <c r="AQ120" s="1"/>
      <c r="AR120" s="9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7"/>
      <c r="AK121" s="9"/>
      <c r="AL121" s="1"/>
      <c r="AM121" s="1"/>
      <c r="AN121" s="1"/>
      <c r="AO121" s="9"/>
      <c r="AP121" s="9"/>
      <c r="AQ121" s="1"/>
      <c r="AR121" s="9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7"/>
      <c r="AK122" s="9"/>
      <c r="AL122" s="1"/>
      <c r="AM122" s="1"/>
      <c r="AN122" s="1"/>
      <c r="AO122" s="9"/>
      <c r="AP122" s="9"/>
      <c r="AQ122" s="1"/>
      <c r="AR122" s="9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7"/>
      <c r="AK123" s="9"/>
      <c r="AL123" s="1"/>
      <c r="AM123" s="1"/>
      <c r="AN123" s="1"/>
      <c r="AO123" s="9"/>
      <c r="AP123" s="9"/>
      <c r="AQ123" s="1"/>
      <c r="AR123" s="9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7"/>
      <c r="AK124" s="9"/>
      <c r="AL124" s="1"/>
      <c r="AM124" s="1"/>
      <c r="AN124" s="1"/>
      <c r="AO124" s="9"/>
      <c r="AP124" s="9"/>
      <c r="AQ124" s="1"/>
      <c r="AR124" s="9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7"/>
      <c r="AK125" s="9"/>
      <c r="AL125" s="1"/>
      <c r="AM125" s="1"/>
      <c r="AN125" s="1"/>
      <c r="AO125" s="9"/>
      <c r="AP125" s="9"/>
      <c r="AQ125" s="1"/>
      <c r="AR125" s="9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7"/>
      <c r="AK126" s="9"/>
      <c r="AL126" s="1"/>
      <c r="AM126" s="1"/>
      <c r="AN126" s="1"/>
      <c r="AO126" s="9"/>
      <c r="AP126" s="9"/>
      <c r="AQ126" s="1"/>
      <c r="AR126" s="9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7"/>
      <c r="AK127" s="9"/>
      <c r="AL127" s="1"/>
      <c r="AM127" s="1"/>
      <c r="AN127" s="1"/>
      <c r="AO127" s="9"/>
      <c r="AP127" s="9"/>
      <c r="AQ127" s="1"/>
      <c r="AR127" s="9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7"/>
      <c r="AK128" s="9"/>
      <c r="AL128" s="1"/>
      <c r="AM128" s="1"/>
      <c r="AN128" s="1"/>
      <c r="AO128" s="9"/>
      <c r="AP128" s="9"/>
      <c r="AQ128" s="1"/>
      <c r="AR128" s="9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7"/>
      <c r="AK129" s="9"/>
      <c r="AL129" s="1"/>
      <c r="AM129" s="1"/>
      <c r="AN129" s="1"/>
      <c r="AO129" s="9"/>
      <c r="AP129" s="9"/>
      <c r="AQ129" s="1"/>
      <c r="AR129" s="9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7"/>
      <c r="AK130" s="9"/>
      <c r="AL130" s="1"/>
      <c r="AM130" s="1"/>
      <c r="AN130" s="1"/>
      <c r="AO130" s="9"/>
      <c r="AP130" s="9"/>
      <c r="AQ130" s="1"/>
      <c r="AR130" s="9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7"/>
      <c r="AK131" s="9"/>
      <c r="AL131" s="1"/>
      <c r="AM131" s="1"/>
      <c r="AN131" s="1"/>
      <c r="AO131" s="9"/>
      <c r="AP131" s="9"/>
      <c r="AQ131" s="1"/>
      <c r="AR131" s="9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7"/>
      <c r="AK132" s="9"/>
      <c r="AL132" s="1"/>
      <c r="AM132" s="1"/>
      <c r="AN132" s="1"/>
      <c r="AO132" s="9"/>
      <c r="AP132" s="9"/>
      <c r="AQ132" s="1"/>
      <c r="AR132" s="9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7"/>
      <c r="AK133" s="9"/>
      <c r="AL133" s="1"/>
      <c r="AM133" s="1"/>
      <c r="AN133" s="1"/>
      <c r="AO133" s="9"/>
      <c r="AP133" s="9"/>
      <c r="AQ133" s="1"/>
      <c r="AR133" s="9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7"/>
      <c r="AK134" s="9"/>
      <c r="AL134" s="1"/>
      <c r="AM134" s="1"/>
      <c r="AN134" s="1"/>
      <c r="AO134" s="9"/>
      <c r="AP134" s="9"/>
      <c r="AQ134" s="1"/>
      <c r="AR134" s="9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7"/>
      <c r="AK135" s="9"/>
      <c r="AL135" s="1"/>
      <c r="AM135" s="1"/>
      <c r="AN135" s="1"/>
      <c r="AO135" s="9"/>
      <c r="AP135" s="9"/>
      <c r="AQ135" s="1"/>
      <c r="AR135" s="9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7"/>
      <c r="AK136" s="9"/>
      <c r="AL136" s="1"/>
      <c r="AM136" s="1"/>
      <c r="AN136" s="1"/>
      <c r="AO136" s="9"/>
      <c r="AP136" s="9"/>
      <c r="AQ136" s="1"/>
      <c r="AR136" s="9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7"/>
      <c r="AK137" s="9"/>
      <c r="AL137" s="1"/>
      <c r="AM137" s="1"/>
      <c r="AN137" s="1"/>
      <c r="AO137" s="9"/>
      <c r="AP137" s="9"/>
      <c r="AQ137" s="1"/>
      <c r="AR137" s="9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7"/>
      <c r="AK138" s="9"/>
      <c r="AL138" s="1"/>
      <c r="AM138" s="1"/>
      <c r="AN138" s="1"/>
      <c r="AO138" s="9"/>
      <c r="AP138" s="9"/>
      <c r="AQ138" s="1"/>
      <c r="AR138" s="9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7"/>
      <c r="AK139" s="9"/>
      <c r="AL139" s="1"/>
      <c r="AM139" s="1"/>
      <c r="AN139" s="1"/>
      <c r="AO139" s="9"/>
      <c r="AP139" s="9"/>
      <c r="AQ139" s="1"/>
      <c r="AR139" s="9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7"/>
      <c r="AK140" s="9"/>
      <c r="AL140" s="1"/>
      <c r="AM140" s="1"/>
      <c r="AN140" s="1"/>
      <c r="AO140" s="9"/>
      <c r="AP140" s="9"/>
      <c r="AQ140" s="1"/>
      <c r="AR140" s="9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7"/>
      <c r="AK141" s="9"/>
      <c r="AL141" s="1"/>
      <c r="AM141" s="1"/>
      <c r="AN141" s="1"/>
      <c r="AO141" s="9"/>
      <c r="AP141" s="9"/>
      <c r="AQ141" s="1"/>
      <c r="AR141" s="9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7"/>
      <c r="AK142" s="9"/>
      <c r="AL142" s="1"/>
      <c r="AM142" s="1"/>
      <c r="AN142" s="1"/>
      <c r="AO142" s="9"/>
      <c r="AP142" s="9"/>
      <c r="AQ142" s="1"/>
      <c r="AR142" s="9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7"/>
      <c r="AK143" s="9"/>
      <c r="AL143" s="1"/>
      <c r="AM143" s="1"/>
      <c r="AN143" s="1"/>
      <c r="AO143" s="9"/>
      <c r="AP143" s="9"/>
      <c r="AQ143" s="1"/>
      <c r="AR143" s="9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7"/>
      <c r="AK144" s="9"/>
      <c r="AL144" s="1"/>
      <c r="AM144" s="1"/>
      <c r="AN144" s="1"/>
      <c r="AO144" s="9"/>
      <c r="AP144" s="9"/>
      <c r="AQ144" s="1"/>
      <c r="AR144" s="9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7"/>
      <c r="AK145" s="9"/>
      <c r="AL145" s="1"/>
      <c r="AM145" s="1"/>
      <c r="AN145" s="1"/>
      <c r="AO145" s="9"/>
      <c r="AP145" s="9"/>
      <c r="AQ145" s="1"/>
      <c r="AR145" s="9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7"/>
      <c r="AK146" s="9"/>
      <c r="AL146" s="1"/>
      <c r="AM146" s="1"/>
      <c r="AN146" s="1"/>
      <c r="AO146" s="9"/>
      <c r="AP146" s="9"/>
      <c r="AQ146" s="1"/>
      <c r="AR146" s="9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7"/>
      <c r="AK147" s="9"/>
      <c r="AL147" s="1"/>
      <c r="AM147" s="1"/>
      <c r="AN147" s="1"/>
      <c r="AO147" s="9"/>
      <c r="AP147" s="9"/>
      <c r="AQ147" s="1"/>
      <c r="AR147" s="9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7"/>
      <c r="AK148" s="9"/>
      <c r="AL148" s="1"/>
      <c r="AM148" s="1"/>
      <c r="AN148" s="1"/>
      <c r="AO148" s="9"/>
      <c r="AP148" s="9"/>
      <c r="AQ148" s="1"/>
      <c r="AR148" s="9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7"/>
      <c r="AK149" s="9"/>
      <c r="AL149" s="1"/>
      <c r="AM149" s="1"/>
      <c r="AN149" s="1"/>
      <c r="AO149" s="9"/>
      <c r="AP149" s="9"/>
      <c r="AQ149" s="1"/>
      <c r="AR149" s="9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7"/>
      <c r="AK150" s="9"/>
      <c r="AL150" s="1"/>
      <c r="AM150" s="1"/>
      <c r="AN150" s="1"/>
      <c r="AO150" s="9"/>
      <c r="AP150" s="9"/>
      <c r="AQ150" s="1"/>
      <c r="AR150" s="9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7"/>
      <c r="AK151" s="9"/>
      <c r="AL151" s="1"/>
      <c r="AM151" s="1"/>
      <c r="AN151" s="1"/>
      <c r="AO151" s="9"/>
      <c r="AP151" s="9"/>
      <c r="AQ151" s="1"/>
      <c r="AR151" s="9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7"/>
      <c r="AK152" s="9"/>
      <c r="AL152" s="1"/>
      <c r="AM152" s="1"/>
      <c r="AN152" s="1"/>
      <c r="AO152" s="9"/>
      <c r="AP152" s="9"/>
      <c r="AQ152" s="1"/>
      <c r="AR152" s="9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7"/>
      <c r="AK153" s="9"/>
      <c r="AL153" s="1"/>
      <c r="AM153" s="1"/>
      <c r="AN153" s="1"/>
      <c r="AO153" s="9"/>
      <c r="AP153" s="9"/>
      <c r="AQ153" s="1"/>
      <c r="AR153" s="9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7"/>
      <c r="AK154" s="9"/>
      <c r="AL154" s="1"/>
      <c r="AM154" s="1"/>
      <c r="AN154" s="1"/>
      <c r="AO154" s="9"/>
      <c r="AP154" s="9"/>
      <c r="AQ154" s="1"/>
      <c r="AR154" s="9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7"/>
      <c r="AK155" s="9"/>
      <c r="AL155" s="1"/>
      <c r="AM155" s="1"/>
      <c r="AN155" s="1"/>
      <c r="AO155" s="9"/>
      <c r="AP155" s="9"/>
      <c r="AQ155" s="1"/>
      <c r="AR155" s="9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7"/>
      <c r="AK156" s="9"/>
      <c r="AL156" s="1"/>
      <c r="AM156" s="1"/>
      <c r="AN156" s="1"/>
      <c r="AO156" s="9"/>
      <c r="AP156" s="9"/>
      <c r="AQ156" s="1"/>
      <c r="AR156" s="9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7"/>
      <c r="AK157" s="9"/>
      <c r="AL157" s="1"/>
      <c r="AM157" s="1"/>
      <c r="AN157" s="1"/>
      <c r="AO157" s="9"/>
      <c r="AP157" s="9"/>
      <c r="AQ157" s="1"/>
      <c r="AR157" s="9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7"/>
      <c r="AK158" s="9"/>
      <c r="AL158" s="1"/>
      <c r="AM158" s="1"/>
      <c r="AN158" s="1"/>
      <c r="AO158" s="9"/>
      <c r="AP158" s="9"/>
      <c r="AQ158" s="1"/>
      <c r="AR158" s="9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7"/>
      <c r="AK159" s="9"/>
      <c r="AL159" s="1"/>
      <c r="AM159" s="1"/>
      <c r="AN159" s="1"/>
      <c r="AO159" s="9"/>
      <c r="AP159" s="9"/>
      <c r="AQ159" s="1"/>
      <c r="AR159" s="9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7"/>
      <c r="AK160" s="9"/>
      <c r="AL160" s="1"/>
      <c r="AM160" s="1"/>
      <c r="AN160" s="1"/>
      <c r="AO160" s="9"/>
      <c r="AP160" s="9"/>
      <c r="AQ160" s="1"/>
      <c r="AR160" s="9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7"/>
      <c r="AK161" s="9"/>
      <c r="AL161" s="1"/>
      <c r="AM161" s="1"/>
      <c r="AN161" s="1"/>
      <c r="AO161" s="9"/>
      <c r="AP161" s="9"/>
      <c r="AQ161" s="1"/>
      <c r="AR161" s="9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7"/>
      <c r="AK162" s="9"/>
      <c r="AL162" s="1"/>
      <c r="AM162" s="1"/>
      <c r="AN162" s="1"/>
      <c r="AO162" s="9"/>
      <c r="AP162" s="9"/>
      <c r="AQ162" s="1"/>
      <c r="AR162" s="9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7"/>
      <c r="AK163" s="9"/>
      <c r="AL163" s="1"/>
      <c r="AM163" s="1"/>
      <c r="AN163" s="1"/>
      <c r="AO163" s="9"/>
      <c r="AP163" s="9"/>
      <c r="AQ163" s="1"/>
      <c r="AR163" s="9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7"/>
      <c r="AK164" s="9"/>
      <c r="AL164" s="1"/>
      <c r="AM164" s="1"/>
      <c r="AN164" s="1"/>
      <c r="AO164" s="9"/>
      <c r="AP164" s="9"/>
      <c r="AQ164" s="1"/>
      <c r="AR164" s="9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7"/>
      <c r="AK165" s="9"/>
      <c r="AL165" s="1"/>
      <c r="AM165" s="1"/>
      <c r="AN165" s="1"/>
      <c r="AO165" s="9"/>
      <c r="AP165" s="9"/>
      <c r="AQ165" s="1"/>
      <c r="AR165" s="9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7"/>
      <c r="AK166" s="9"/>
      <c r="AL166" s="1"/>
      <c r="AM166" s="1"/>
      <c r="AN166" s="1"/>
      <c r="AO166" s="9"/>
      <c r="AP166" s="9"/>
      <c r="AQ166" s="1"/>
      <c r="AR166" s="9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7"/>
      <c r="AK167" s="9"/>
      <c r="AL167" s="1"/>
      <c r="AM167" s="1"/>
      <c r="AN167" s="1"/>
      <c r="AO167" s="9"/>
      <c r="AP167" s="9"/>
      <c r="AQ167" s="1"/>
      <c r="AR167" s="9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7"/>
      <c r="AK168" s="9"/>
      <c r="AL168" s="1"/>
      <c r="AM168" s="1"/>
      <c r="AN168" s="1"/>
      <c r="AO168" s="9"/>
      <c r="AP168" s="9"/>
      <c r="AQ168" s="1"/>
      <c r="AR168" s="9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7"/>
      <c r="AK169" s="9"/>
      <c r="AL169" s="1"/>
      <c r="AM169" s="1"/>
      <c r="AN169" s="1"/>
      <c r="AO169" s="9"/>
      <c r="AP169" s="9"/>
      <c r="AQ169" s="1"/>
      <c r="AR169" s="9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7"/>
      <c r="AK170" s="9"/>
      <c r="AL170" s="1"/>
      <c r="AM170" s="1"/>
      <c r="AN170" s="1"/>
      <c r="AO170" s="9"/>
      <c r="AP170" s="9"/>
      <c r="AQ170" s="1"/>
      <c r="AR170" s="9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7"/>
      <c r="AK171" s="9"/>
      <c r="AL171" s="1"/>
      <c r="AM171" s="1"/>
      <c r="AN171" s="1"/>
      <c r="AO171" s="9"/>
      <c r="AP171" s="9"/>
      <c r="AQ171" s="1"/>
      <c r="AR171" s="9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7"/>
      <c r="AK172" s="9"/>
      <c r="AL172" s="1"/>
      <c r="AM172" s="1"/>
      <c r="AN172" s="1"/>
      <c r="AO172" s="9"/>
      <c r="AP172" s="9"/>
      <c r="AQ172" s="1"/>
      <c r="AR172" s="9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7"/>
      <c r="AK173" s="9"/>
      <c r="AL173" s="1"/>
      <c r="AM173" s="1"/>
      <c r="AN173" s="1"/>
      <c r="AO173" s="9"/>
      <c r="AP173" s="9"/>
      <c r="AQ173" s="1"/>
      <c r="AR173" s="9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7"/>
      <c r="AK174" s="9"/>
      <c r="AL174" s="1"/>
      <c r="AM174" s="1"/>
      <c r="AN174" s="1"/>
      <c r="AO174" s="9"/>
      <c r="AP174" s="9"/>
      <c r="AQ174" s="1"/>
      <c r="AR174" s="9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7"/>
      <c r="AK175" s="9"/>
      <c r="AL175" s="1"/>
      <c r="AM175" s="1"/>
      <c r="AN175" s="1"/>
      <c r="AO175" s="9"/>
      <c r="AP175" s="9"/>
      <c r="AQ175" s="1"/>
      <c r="AR175" s="9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7"/>
      <c r="AK176" s="9"/>
      <c r="AL176" s="1"/>
      <c r="AM176" s="1"/>
      <c r="AN176" s="1"/>
      <c r="AO176" s="9"/>
      <c r="AP176" s="9"/>
      <c r="AQ176" s="1"/>
      <c r="AR176" s="9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7"/>
      <c r="AK177" s="9"/>
      <c r="AL177" s="1"/>
      <c r="AM177" s="1"/>
      <c r="AN177" s="1"/>
      <c r="AO177" s="9"/>
      <c r="AP177" s="9"/>
      <c r="AQ177" s="1"/>
      <c r="AR177" s="9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7"/>
      <c r="AK178" s="9"/>
      <c r="AL178" s="1"/>
      <c r="AM178" s="1"/>
      <c r="AN178" s="1"/>
      <c r="AO178" s="9"/>
      <c r="AP178" s="9"/>
      <c r="AQ178" s="1"/>
      <c r="AR178" s="9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7"/>
      <c r="AK179" s="9"/>
      <c r="AL179" s="1"/>
      <c r="AM179" s="1"/>
      <c r="AN179" s="1"/>
      <c r="AO179" s="9"/>
      <c r="AP179" s="9"/>
      <c r="AQ179" s="1"/>
      <c r="AR179" s="9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7"/>
      <c r="AK180" s="9"/>
      <c r="AL180" s="1"/>
      <c r="AM180" s="1"/>
      <c r="AN180" s="1"/>
      <c r="AO180" s="9"/>
      <c r="AP180" s="9"/>
      <c r="AQ180" s="1"/>
      <c r="AR180" s="9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7"/>
      <c r="AK181" s="9"/>
      <c r="AL181" s="1"/>
      <c r="AM181" s="1"/>
      <c r="AN181" s="1"/>
      <c r="AO181" s="9"/>
      <c r="AP181" s="9"/>
      <c r="AQ181" s="1"/>
      <c r="AR181" s="9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7"/>
      <c r="AK182" s="9"/>
      <c r="AL182" s="1"/>
      <c r="AM182" s="1"/>
      <c r="AN182" s="1"/>
      <c r="AO182" s="9"/>
      <c r="AP182" s="9"/>
      <c r="AQ182" s="1"/>
      <c r="AR182" s="9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7"/>
      <c r="AK183" s="9"/>
      <c r="AL183" s="1"/>
      <c r="AM183" s="1"/>
      <c r="AN183" s="1"/>
      <c r="AO183" s="9"/>
      <c r="AP183" s="9"/>
      <c r="AQ183" s="1"/>
      <c r="AR183" s="9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7"/>
      <c r="AK184" s="9"/>
      <c r="AL184" s="1"/>
      <c r="AM184" s="1"/>
      <c r="AN184" s="1"/>
      <c r="AO184" s="9"/>
      <c r="AP184" s="9"/>
      <c r="AQ184" s="1"/>
      <c r="AR184" s="9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7"/>
      <c r="AK185" s="9"/>
      <c r="AL185" s="1"/>
      <c r="AM185" s="1"/>
      <c r="AN185" s="1"/>
      <c r="AO185" s="9"/>
      <c r="AP185" s="9"/>
      <c r="AQ185" s="1"/>
      <c r="AR185" s="9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7"/>
      <c r="AK186" s="9"/>
      <c r="AL186" s="1"/>
      <c r="AM186" s="1"/>
      <c r="AN186" s="1"/>
      <c r="AO186" s="9"/>
      <c r="AP186" s="9"/>
      <c r="AQ186" s="1"/>
      <c r="AR186" s="9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7"/>
      <c r="AK187" s="9"/>
      <c r="AL187" s="1"/>
      <c r="AM187" s="1"/>
      <c r="AN187" s="1"/>
      <c r="AO187" s="9"/>
      <c r="AP187" s="9"/>
      <c r="AQ187" s="1"/>
      <c r="AR187" s="9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7"/>
      <c r="AK188" s="9"/>
      <c r="AL188" s="1"/>
      <c r="AM188" s="1"/>
      <c r="AN188" s="1"/>
      <c r="AO188" s="9"/>
      <c r="AP188" s="9"/>
      <c r="AQ188" s="1"/>
      <c r="AR188" s="9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7"/>
      <c r="AK189" s="9"/>
      <c r="AL189" s="1"/>
      <c r="AM189" s="1"/>
      <c r="AN189" s="1"/>
      <c r="AO189" s="9"/>
      <c r="AP189" s="9"/>
      <c r="AQ189" s="1"/>
      <c r="AR189" s="9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7"/>
      <c r="AK190" s="9"/>
      <c r="AL190" s="1"/>
      <c r="AM190" s="1"/>
      <c r="AN190" s="1"/>
      <c r="AO190" s="9"/>
      <c r="AP190" s="9"/>
      <c r="AQ190" s="1"/>
      <c r="AR190" s="9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7"/>
      <c r="AK191" s="9"/>
      <c r="AL191" s="1"/>
      <c r="AM191" s="1"/>
      <c r="AN191" s="1"/>
      <c r="AO191" s="9"/>
      <c r="AP191" s="9"/>
      <c r="AQ191" s="1"/>
      <c r="AR191" s="9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7"/>
      <c r="AK192" s="9"/>
      <c r="AL192" s="1"/>
      <c r="AM192" s="1"/>
      <c r="AN192" s="1"/>
      <c r="AO192" s="9"/>
      <c r="AP192" s="9"/>
      <c r="AQ192" s="1"/>
      <c r="AR192" s="9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7"/>
      <c r="AK193" s="9"/>
      <c r="AL193" s="1"/>
      <c r="AM193" s="1"/>
      <c r="AN193" s="1"/>
      <c r="AO193" s="9"/>
      <c r="AP193" s="9"/>
      <c r="AQ193" s="1"/>
      <c r="AR193" s="9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7"/>
      <c r="AK194" s="9"/>
      <c r="AL194" s="1"/>
      <c r="AM194" s="1"/>
      <c r="AN194" s="1"/>
      <c r="AO194" s="9"/>
      <c r="AP194" s="9"/>
      <c r="AQ194" s="1"/>
      <c r="AR194" s="9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7"/>
      <c r="AK195" s="9"/>
      <c r="AL195" s="1"/>
      <c r="AM195" s="1"/>
      <c r="AN195" s="1"/>
      <c r="AO195" s="9"/>
      <c r="AP195" s="9"/>
      <c r="AQ195" s="1"/>
      <c r="AR195" s="9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7"/>
      <c r="AK196" s="9"/>
      <c r="AL196" s="1"/>
      <c r="AM196" s="1"/>
      <c r="AN196" s="1"/>
      <c r="AO196" s="9"/>
      <c r="AP196" s="9"/>
      <c r="AQ196" s="1"/>
      <c r="AR196" s="9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7"/>
      <c r="AK197" s="9"/>
      <c r="AL197" s="1"/>
      <c r="AM197" s="1"/>
      <c r="AN197" s="1"/>
      <c r="AO197" s="9"/>
      <c r="AP197" s="9"/>
      <c r="AQ197" s="1"/>
      <c r="AR197" s="9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7"/>
      <c r="AK198" s="9"/>
      <c r="AL198" s="1"/>
      <c r="AM198" s="1"/>
      <c r="AN198" s="1"/>
      <c r="AO198" s="9"/>
      <c r="AP198" s="9"/>
      <c r="AQ198" s="1"/>
      <c r="AR198" s="9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7"/>
      <c r="AK199" s="9"/>
      <c r="AL199" s="1"/>
      <c r="AM199" s="1"/>
      <c r="AN199" s="1"/>
      <c r="AO199" s="9"/>
      <c r="AP199" s="9"/>
      <c r="AQ199" s="1"/>
      <c r="AR199" s="9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7"/>
      <c r="AK200" s="9"/>
      <c r="AL200" s="1"/>
      <c r="AM200" s="1"/>
      <c r="AN200" s="1"/>
      <c r="AO200" s="9"/>
      <c r="AP200" s="9"/>
      <c r="AQ200" s="1"/>
      <c r="AR200" s="9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7"/>
      <c r="AK201" s="9"/>
      <c r="AL201" s="1"/>
      <c r="AM201" s="1"/>
      <c r="AN201" s="1"/>
      <c r="AO201" s="9"/>
      <c r="AP201" s="9"/>
      <c r="AQ201" s="1"/>
      <c r="AR201" s="9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7"/>
      <c r="AK202" s="9"/>
      <c r="AL202" s="1"/>
      <c r="AM202" s="1"/>
      <c r="AN202" s="1"/>
      <c r="AO202" s="9"/>
      <c r="AP202" s="9"/>
      <c r="AQ202" s="1"/>
      <c r="AR202" s="9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7"/>
      <c r="AK203" s="9"/>
      <c r="AL203" s="1"/>
      <c r="AM203" s="1"/>
      <c r="AN203" s="1"/>
      <c r="AO203" s="9"/>
      <c r="AP203" s="9"/>
      <c r="AQ203" s="1"/>
      <c r="AR203" s="9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7"/>
      <c r="AK204" s="9"/>
      <c r="AL204" s="1"/>
      <c r="AM204" s="1"/>
      <c r="AN204" s="1"/>
      <c r="AO204" s="9"/>
      <c r="AP204" s="9"/>
      <c r="AQ204" s="1"/>
      <c r="AR204" s="9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7"/>
      <c r="AK205" s="9"/>
      <c r="AL205" s="1"/>
      <c r="AM205" s="1"/>
      <c r="AN205" s="1"/>
      <c r="AO205" s="9"/>
      <c r="AP205" s="9"/>
      <c r="AQ205" s="1"/>
      <c r="AR205" s="9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7"/>
      <c r="AK206" s="9"/>
      <c r="AL206" s="1"/>
      <c r="AM206" s="1"/>
      <c r="AN206" s="1"/>
      <c r="AO206" s="9"/>
      <c r="AP206" s="9"/>
      <c r="AQ206" s="1"/>
      <c r="AR206" s="9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7"/>
      <c r="AK207" s="9"/>
      <c r="AL207" s="1"/>
      <c r="AM207" s="1"/>
      <c r="AN207" s="1"/>
      <c r="AO207" s="9"/>
      <c r="AP207" s="9"/>
      <c r="AQ207" s="1"/>
      <c r="AR207" s="9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7"/>
      <c r="AK208" s="9"/>
      <c r="AL208" s="1"/>
      <c r="AM208" s="1"/>
      <c r="AN208" s="1"/>
      <c r="AO208" s="9"/>
      <c r="AP208" s="9"/>
      <c r="AQ208" s="1"/>
      <c r="AR208" s="9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7"/>
      <c r="AK209" s="9"/>
      <c r="AL209" s="1"/>
      <c r="AM209" s="1"/>
      <c r="AN209" s="1"/>
      <c r="AO209" s="9"/>
      <c r="AP209" s="9"/>
      <c r="AQ209" s="1"/>
      <c r="AR209" s="9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7"/>
      <c r="AK210" s="9"/>
      <c r="AL210" s="1"/>
      <c r="AM210" s="1"/>
      <c r="AN210" s="1"/>
      <c r="AO210" s="9"/>
      <c r="AP210" s="9"/>
      <c r="AQ210" s="1"/>
      <c r="AR210" s="9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7"/>
      <c r="AK211" s="9"/>
      <c r="AL211" s="1"/>
      <c r="AM211" s="1"/>
      <c r="AN211" s="1"/>
      <c r="AO211" s="9"/>
      <c r="AP211" s="9"/>
      <c r="AQ211" s="1"/>
      <c r="AR211" s="9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7"/>
      <c r="AK212" s="9"/>
      <c r="AL212" s="1"/>
      <c r="AM212" s="1"/>
      <c r="AN212" s="1"/>
      <c r="AO212" s="9"/>
      <c r="AP212" s="9"/>
      <c r="AQ212" s="1"/>
      <c r="AR212" s="9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7"/>
      <c r="AK213" s="9"/>
      <c r="AL213" s="1"/>
      <c r="AM213" s="1"/>
      <c r="AN213" s="1"/>
      <c r="AO213" s="9"/>
      <c r="AP213" s="9"/>
      <c r="AQ213" s="1"/>
      <c r="AR213" s="9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7"/>
      <c r="AK214" s="9"/>
      <c r="AL214" s="1"/>
      <c r="AM214" s="1"/>
      <c r="AN214" s="1"/>
      <c r="AO214" s="9"/>
      <c r="AP214" s="9"/>
      <c r="AQ214" s="1"/>
      <c r="AR214" s="9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7"/>
      <c r="AK215" s="9"/>
      <c r="AL215" s="1"/>
      <c r="AM215" s="1"/>
      <c r="AN215" s="1"/>
      <c r="AO215" s="9"/>
      <c r="AP215" s="9"/>
      <c r="AQ215" s="1"/>
      <c r="AR215" s="9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7"/>
      <c r="AK216" s="9"/>
      <c r="AL216" s="1"/>
      <c r="AM216" s="1"/>
      <c r="AN216" s="1"/>
      <c r="AO216" s="9"/>
      <c r="AP216" s="9"/>
      <c r="AQ216" s="1"/>
      <c r="AR216" s="9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7"/>
      <c r="AK217" s="9"/>
      <c r="AL217" s="1"/>
      <c r="AM217" s="1"/>
      <c r="AN217" s="1"/>
      <c r="AO217" s="9"/>
      <c r="AP217" s="9"/>
      <c r="AQ217" s="1"/>
      <c r="AR217" s="9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7"/>
      <c r="AK218" s="9"/>
      <c r="AL218" s="1"/>
      <c r="AM218" s="1"/>
      <c r="AN218" s="1"/>
      <c r="AO218" s="9"/>
      <c r="AP218" s="9"/>
      <c r="AQ218" s="1"/>
      <c r="AR218" s="9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7"/>
      <c r="AK219" s="9"/>
      <c r="AL219" s="1"/>
      <c r="AM219" s="1"/>
      <c r="AN219" s="1"/>
      <c r="AO219" s="9"/>
      <c r="AP219" s="9"/>
      <c r="AQ219" s="1"/>
      <c r="AR219" s="9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7"/>
      <c r="AK220" s="9"/>
      <c r="AL220" s="1"/>
      <c r="AM220" s="1"/>
      <c r="AN220" s="1"/>
      <c r="AO220" s="9"/>
      <c r="AP220" s="9"/>
      <c r="AQ220" s="1"/>
      <c r="AR220" s="9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7"/>
      <c r="AK221" s="9"/>
      <c r="AL221" s="1"/>
      <c r="AM221" s="1"/>
      <c r="AN221" s="1"/>
      <c r="AO221" s="9"/>
      <c r="AP221" s="9"/>
      <c r="AQ221" s="1"/>
      <c r="AR221" s="9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7"/>
      <c r="AK222" s="9"/>
      <c r="AL222" s="1"/>
      <c r="AM222" s="1"/>
      <c r="AN222" s="1"/>
      <c r="AO222" s="9"/>
      <c r="AP222" s="9"/>
      <c r="AQ222" s="1"/>
      <c r="AR222" s="9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7"/>
      <c r="AK223" s="9"/>
      <c r="AL223" s="1"/>
      <c r="AM223" s="1"/>
      <c r="AN223" s="1"/>
      <c r="AO223" s="9"/>
      <c r="AP223" s="9"/>
      <c r="AQ223" s="1"/>
      <c r="AR223" s="9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7"/>
      <c r="AK224" s="9"/>
      <c r="AL224" s="1"/>
      <c r="AM224" s="1"/>
      <c r="AN224" s="1"/>
      <c r="AO224" s="9"/>
      <c r="AP224" s="9"/>
      <c r="AQ224" s="1"/>
      <c r="AR224" s="9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7"/>
      <c r="AK225" s="9"/>
      <c r="AL225" s="1"/>
      <c r="AM225" s="1"/>
      <c r="AN225" s="1"/>
      <c r="AO225" s="9"/>
      <c r="AP225" s="9"/>
      <c r="AQ225" s="1"/>
      <c r="AR225" s="9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7"/>
      <c r="AK226" s="9"/>
      <c r="AL226" s="1"/>
      <c r="AM226" s="1"/>
      <c r="AN226" s="1"/>
      <c r="AO226" s="9"/>
      <c r="AP226" s="9"/>
      <c r="AQ226" s="1"/>
      <c r="AR226" s="9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7"/>
      <c r="AK227" s="9"/>
      <c r="AL227" s="1"/>
      <c r="AM227" s="1"/>
      <c r="AN227" s="1"/>
      <c r="AO227" s="9"/>
      <c r="AP227" s="9"/>
      <c r="AQ227" s="1"/>
      <c r="AR227" s="9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7"/>
      <c r="AK228" s="9"/>
      <c r="AL228" s="1"/>
      <c r="AM228" s="1"/>
      <c r="AN228" s="1"/>
      <c r="AO228" s="9"/>
      <c r="AP228" s="9"/>
      <c r="AQ228" s="1"/>
      <c r="AR228" s="9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7"/>
      <c r="AK229" s="9"/>
      <c r="AL229" s="1"/>
      <c r="AM229" s="1"/>
      <c r="AN229" s="1"/>
      <c r="AO229" s="9"/>
      <c r="AP229" s="9"/>
      <c r="AQ229" s="1"/>
      <c r="AR229" s="9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7"/>
      <c r="AK230" s="9"/>
      <c r="AL230" s="1"/>
      <c r="AM230" s="1"/>
      <c r="AN230" s="1"/>
      <c r="AO230" s="9"/>
      <c r="AP230" s="9"/>
      <c r="AQ230" s="1"/>
      <c r="AR230" s="9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7"/>
      <c r="AK231" s="9"/>
      <c r="AL231" s="1"/>
      <c r="AM231" s="1"/>
      <c r="AN231" s="1"/>
      <c r="AO231" s="9"/>
      <c r="AP231" s="9"/>
      <c r="AQ231" s="1"/>
      <c r="AR231" s="9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7"/>
      <c r="AK232" s="9"/>
      <c r="AL232" s="1"/>
      <c r="AM232" s="1"/>
      <c r="AN232" s="1"/>
      <c r="AO232" s="9"/>
      <c r="AP232" s="9"/>
      <c r="AQ232" s="1"/>
      <c r="AR232" s="9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7"/>
      <c r="AK233" s="9"/>
      <c r="AL233" s="1"/>
      <c r="AM233" s="1"/>
      <c r="AN233" s="1"/>
      <c r="AO233" s="9"/>
      <c r="AP233" s="9"/>
      <c r="AQ233" s="1"/>
      <c r="AR233" s="9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7"/>
      <c r="AK234" s="9"/>
      <c r="AL234" s="1"/>
      <c r="AM234" s="1"/>
      <c r="AN234" s="1"/>
      <c r="AO234" s="9"/>
      <c r="AP234" s="9"/>
      <c r="AQ234" s="1"/>
      <c r="AR234" s="9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7"/>
      <c r="AK235" s="9"/>
      <c r="AL235" s="1"/>
      <c r="AM235" s="1"/>
      <c r="AN235" s="1"/>
      <c r="AO235" s="9"/>
      <c r="AP235" s="9"/>
      <c r="AQ235" s="1"/>
      <c r="AR235" s="9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7"/>
      <c r="AK236" s="9"/>
      <c r="AL236" s="1"/>
      <c r="AM236" s="1"/>
      <c r="AN236" s="1"/>
      <c r="AO236" s="9"/>
      <c r="AP236" s="9"/>
      <c r="AQ236" s="1"/>
      <c r="AR236" s="9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7"/>
      <c r="AK237" s="9"/>
      <c r="AL237" s="1"/>
      <c r="AM237" s="1"/>
      <c r="AN237" s="1"/>
      <c r="AO237" s="9"/>
      <c r="AP237" s="9"/>
      <c r="AQ237" s="1"/>
      <c r="AR237" s="9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7"/>
      <c r="AK238" s="9"/>
      <c r="AL238" s="1"/>
      <c r="AM238" s="1"/>
      <c r="AN238" s="1"/>
      <c r="AO238" s="9"/>
      <c r="AP238" s="9"/>
      <c r="AQ238" s="1"/>
      <c r="AR238" s="9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7"/>
      <c r="AK239" s="9"/>
      <c r="AL239" s="1"/>
      <c r="AM239" s="1"/>
      <c r="AN239" s="1"/>
      <c r="AO239" s="9"/>
      <c r="AP239" s="9"/>
      <c r="AQ239" s="1"/>
      <c r="AR239" s="9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7"/>
      <c r="AK240" s="9"/>
      <c r="AL240" s="1"/>
      <c r="AM240" s="1"/>
      <c r="AN240" s="1"/>
      <c r="AO240" s="9"/>
      <c r="AP240" s="9"/>
      <c r="AQ240" s="1"/>
      <c r="AR240" s="9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7"/>
      <c r="AK241" s="9"/>
      <c r="AL241" s="1"/>
      <c r="AM241" s="1"/>
      <c r="AN241" s="1"/>
      <c r="AO241" s="9"/>
      <c r="AP241" s="9"/>
      <c r="AQ241" s="1"/>
      <c r="AR241" s="9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7"/>
      <c r="AK242" s="9"/>
      <c r="AL242" s="1"/>
      <c r="AM242" s="1"/>
      <c r="AN242" s="1"/>
      <c r="AO242" s="9"/>
      <c r="AP242" s="9"/>
      <c r="AQ242" s="1"/>
      <c r="AR242" s="9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7"/>
      <c r="AK243" s="9"/>
      <c r="AL243" s="1"/>
      <c r="AM243" s="1"/>
      <c r="AN243" s="1"/>
      <c r="AO243" s="9"/>
      <c r="AP243" s="9"/>
      <c r="AQ243" s="1"/>
      <c r="AR243" s="9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7"/>
      <c r="AK244" s="9"/>
      <c r="AL244" s="1"/>
      <c r="AM244" s="1"/>
      <c r="AN244" s="1"/>
      <c r="AO244" s="9"/>
      <c r="AP244" s="9"/>
      <c r="AQ244" s="1"/>
      <c r="AR244" s="9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7"/>
      <c r="AK245" s="9"/>
      <c r="AL245" s="1"/>
      <c r="AM245" s="1"/>
      <c r="AN245" s="1"/>
      <c r="AO245" s="9"/>
      <c r="AP245" s="9"/>
      <c r="AQ245" s="1"/>
      <c r="AR245" s="9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7"/>
      <c r="AK246" s="9"/>
      <c r="AL246" s="1"/>
      <c r="AM246" s="1"/>
      <c r="AN246" s="1"/>
      <c r="AO246" s="9"/>
      <c r="AP246" s="9"/>
      <c r="AQ246" s="1"/>
      <c r="AR246" s="9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7"/>
      <c r="AK247" s="9"/>
      <c r="AL247" s="1"/>
      <c r="AM247" s="1"/>
      <c r="AN247" s="1"/>
      <c r="AO247" s="9"/>
      <c r="AP247" s="9"/>
      <c r="AQ247" s="1"/>
      <c r="AR247" s="9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7"/>
      <c r="AK248" s="9"/>
      <c r="AL248" s="1"/>
      <c r="AM248" s="1"/>
      <c r="AN248" s="1"/>
      <c r="AO248" s="9"/>
      <c r="AP248" s="9"/>
      <c r="AQ248" s="1"/>
      <c r="AR248" s="9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7"/>
      <c r="AK249" s="9"/>
      <c r="AL249" s="1"/>
      <c r="AM249" s="1"/>
      <c r="AN249" s="1"/>
      <c r="AO249" s="9"/>
      <c r="AP249" s="9"/>
      <c r="AQ249" s="1"/>
      <c r="AR249" s="9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7"/>
      <c r="AK250" s="9"/>
      <c r="AL250" s="1"/>
      <c r="AM250" s="1"/>
      <c r="AN250" s="1"/>
      <c r="AO250" s="9"/>
      <c r="AP250" s="9"/>
      <c r="AQ250" s="1"/>
      <c r="AR250" s="9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7"/>
      <c r="AK251" s="9"/>
      <c r="AL251" s="1"/>
      <c r="AM251" s="1"/>
      <c r="AN251" s="1"/>
      <c r="AO251" s="9"/>
      <c r="AP251" s="9"/>
      <c r="AQ251" s="1"/>
      <c r="AR251" s="9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7"/>
      <c r="AK252" s="9"/>
      <c r="AL252" s="1"/>
      <c r="AM252" s="1"/>
      <c r="AN252" s="1"/>
      <c r="AO252" s="9"/>
      <c r="AP252" s="9"/>
      <c r="AQ252" s="1"/>
      <c r="AR252" s="9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7"/>
      <c r="AK253" s="9"/>
      <c r="AL253" s="1"/>
      <c r="AM253" s="1"/>
      <c r="AN253" s="1"/>
      <c r="AO253" s="9"/>
      <c r="AP253" s="9"/>
      <c r="AQ253" s="1"/>
      <c r="AR253" s="9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7"/>
      <c r="AK254" s="9"/>
      <c r="AL254" s="1"/>
      <c r="AM254" s="1"/>
      <c r="AN254" s="1"/>
      <c r="AO254" s="9"/>
      <c r="AP254" s="9"/>
      <c r="AQ254" s="1"/>
      <c r="AR254" s="9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7"/>
      <c r="AK255" s="9"/>
      <c r="AL255" s="1"/>
      <c r="AM255" s="1"/>
      <c r="AN255" s="1"/>
      <c r="AO255" s="9"/>
      <c r="AP255" s="9"/>
      <c r="AQ255" s="1"/>
      <c r="AR255" s="9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7"/>
      <c r="AK256" s="9"/>
      <c r="AL256" s="1"/>
      <c r="AM256" s="1"/>
      <c r="AN256" s="1"/>
      <c r="AO256" s="9"/>
      <c r="AP256" s="9"/>
      <c r="AQ256" s="1"/>
      <c r="AR256" s="9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7"/>
      <c r="AK257" s="9"/>
      <c r="AL257" s="1"/>
      <c r="AM257" s="1"/>
      <c r="AN257" s="1"/>
      <c r="AO257" s="9"/>
      <c r="AP257" s="9"/>
      <c r="AQ257" s="1"/>
      <c r="AR257" s="9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7"/>
      <c r="AK258" s="9"/>
      <c r="AL258" s="1"/>
      <c r="AM258" s="1"/>
      <c r="AN258" s="1"/>
      <c r="AO258" s="9"/>
      <c r="AP258" s="9"/>
      <c r="AQ258" s="1"/>
      <c r="AR258" s="9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7"/>
      <c r="AK259" s="9"/>
      <c r="AL259" s="1"/>
      <c r="AM259" s="1"/>
      <c r="AN259" s="1"/>
      <c r="AO259" s="9"/>
      <c r="AP259" s="9"/>
      <c r="AQ259" s="1"/>
      <c r="AR259" s="9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7"/>
      <c r="AK260" s="9"/>
      <c r="AL260" s="1"/>
      <c r="AM260" s="1"/>
      <c r="AN260" s="1"/>
      <c r="AO260" s="9"/>
      <c r="AP260" s="9"/>
      <c r="AQ260" s="1"/>
      <c r="AR260" s="9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7"/>
      <c r="AK261" s="9"/>
      <c r="AL261" s="1"/>
      <c r="AM261" s="1"/>
      <c r="AN261" s="1"/>
      <c r="AO261" s="9"/>
      <c r="AP261" s="9"/>
      <c r="AQ261" s="1"/>
      <c r="AR261" s="9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7"/>
      <c r="AK262" s="9"/>
      <c r="AL262" s="1"/>
      <c r="AM262" s="1"/>
      <c r="AN262" s="1"/>
      <c r="AO262" s="9"/>
      <c r="AP262" s="9"/>
      <c r="AQ262" s="1"/>
      <c r="AR262" s="9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7"/>
      <c r="AK263" s="9"/>
      <c r="AL263" s="1"/>
      <c r="AM263" s="1"/>
      <c r="AN263" s="1"/>
      <c r="AO263" s="9"/>
      <c r="AP263" s="9"/>
      <c r="AQ263" s="1"/>
      <c r="AR263" s="9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7"/>
      <c r="AK264" s="9"/>
      <c r="AL264" s="1"/>
      <c r="AM264" s="1"/>
      <c r="AN264" s="1"/>
      <c r="AO264" s="9"/>
      <c r="AP264" s="9"/>
      <c r="AQ264" s="1"/>
      <c r="AR264" s="9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7"/>
      <c r="AK265" s="9"/>
      <c r="AL265" s="1"/>
      <c r="AM265" s="1"/>
      <c r="AN265" s="1"/>
      <c r="AO265" s="9"/>
      <c r="AP265" s="9"/>
      <c r="AQ265" s="1"/>
      <c r="AR265" s="9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7"/>
      <c r="AK266" s="9"/>
      <c r="AL266" s="1"/>
      <c r="AM266" s="1"/>
      <c r="AN266" s="1"/>
      <c r="AO266" s="9"/>
      <c r="AP266" s="9"/>
      <c r="AQ266" s="1"/>
      <c r="AR266" s="9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7"/>
      <c r="AK267" s="9"/>
      <c r="AL267" s="1"/>
      <c r="AM267" s="1"/>
      <c r="AN267" s="1"/>
      <c r="AO267" s="9"/>
      <c r="AP267" s="9"/>
      <c r="AQ267" s="1"/>
      <c r="AR267" s="9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7"/>
      <c r="AK268" s="9"/>
      <c r="AL268" s="1"/>
      <c r="AM268" s="1"/>
      <c r="AN268" s="1"/>
      <c r="AO268" s="9"/>
      <c r="AP268" s="9"/>
      <c r="AQ268" s="1"/>
      <c r="AR268" s="9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7"/>
      <c r="AK269" s="9"/>
      <c r="AL269" s="1"/>
      <c r="AM269" s="1"/>
      <c r="AN269" s="1"/>
      <c r="AO269" s="9"/>
      <c r="AP269" s="9"/>
      <c r="AQ269" s="1"/>
      <c r="AR269" s="9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7"/>
      <c r="AK270" s="9"/>
      <c r="AL270" s="1"/>
      <c r="AM270" s="1"/>
      <c r="AN270" s="1"/>
      <c r="AO270" s="9"/>
      <c r="AP270" s="9"/>
      <c r="AQ270" s="1"/>
      <c r="AR270" s="9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7"/>
      <c r="AK271" s="9"/>
      <c r="AL271" s="1"/>
      <c r="AM271" s="1"/>
      <c r="AN271" s="1"/>
      <c r="AO271" s="9"/>
      <c r="AP271" s="9"/>
      <c r="AQ271" s="1"/>
      <c r="AR271" s="9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7"/>
      <c r="AK272" s="9"/>
      <c r="AL272" s="1"/>
      <c r="AM272" s="1"/>
      <c r="AN272" s="1"/>
      <c r="AO272" s="9"/>
      <c r="AP272" s="9"/>
      <c r="AQ272" s="1"/>
      <c r="AR272" s="9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7"/>
      <c r="AK273" s="9"/>
      <c r="AL273" s="1"/>
      <c r="AM273" s="1"/>
      <c r="AN273" s="1"/>
      <c r="AO273" s="9"/>
      <c r="AP273" s="9"/>
      <c r="AQ273" s="1"/>
      <c r="AR273" s="9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7"/>
      <c r="AK274" s="9"/>
      <c r="AL274" s="1"/>
      <c r="AM274" s="1"/>
      <c r="AN274" s="1"/>
      <c r="AO274" s="9"/>
      <c r="AP274" s="9"/>
      <c r="AQ274" s="1"/>
      <c r="AR274" s="9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7"/>
      <c r="AK275" s="9"/>
      <c r="AL275" s="1"/>
      <c r="AM275" s="1"/>
      <c r="AN275" s="1"/>
      <c r="AO275" s="9"/>
      <c r="AP275" s="9"/>
      <c r="AQ275" s="1"/>
      <c r="AR275" s="9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7"/>
      <c r="AK276" s="9"/>
      <c r="AL276" s="1"/>
      <c r="AM276" s="1"/>
      <c r="AN276" s="1"/>
      <c r="AO276" s="9"/>
      <c r="AP276" s="9"/>
      <c r="AQ276" s="1"/>
      <c r="AR276" s="9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7"/>
      <c r="AK277" s="9"/>
      <c r="AL277" s="1"/>
      <c r="AM277" s="1"/>
      <c r="AN277" s="1"/>
      <c r="AO277" s="9"/>
      <c r="AP277" s="9"/>
      <c r="AQ277" s="1"/>
      <c r="AR277" s="9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7"/>
      <c r="AK278" s="9"/>
      <c r="AL278" s="1"/>
      <c r="AM278" s="1"/>
      <c r="AN278" s="1"/>
      <c r="AO278" s="9"/>
      <c r="AP278" s="9"/>
      <c r="AQ278" s="1"/>
      <c r="AR278" s="9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7"/>
      <c r="AK279" s="9"/>
      <c r="AL279" s="1"/>
      <c r="AM279" s="1"/>
      <c r="AN279" s="1"/>
      <c r="AO279" s="9"/>
      <c r="AP279" s="9"/>
      <c r="AQ279" s="1"/>
      <c r="AR279" s="9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7"/>
      <c r="AK280" s="9"/>
      <c r="AL280" s="1"/>
      <c r="AM280" s="1"/>
      <c r="AN280" s="1"/>
      <c r="AO280" s="9"/>
      <c r="AP280" s="9"/>
      <c r="AQ280" s="1"/>
      <c r="AR280" s="9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7"/>
      <c r="AK281" s="9"/>
      <c r="AL281" s="1"/>
      <c r="AM281" s="1"/>
      <c r="AN281" s="1"/>
      <c r="AO281" s="9"/>
      <c r="AP281" s="9"/>
      <c r="AQ281" s="1"/>
      <c r="AR281" s="9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7"/>
      <c r="AK282" s="9"/>
      <c r="AL282" s="1"/>
      <c r="AM282" s="1"/>
      <c r="AN282" s="1"/>
      <c r="AO282" s="9"/>
      <c r="AP282" s="9"/>
      <c r="AQ282" s="1"/>
      <c r="AR282" s="9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7"/>
      <c r="AK283" s="9"/>
      <c r="AL283" s="1"/>
      <c r="AM283" s="1"/>
      <c r="AN283" s="1"/>
      <c r="AO283" s="9"/>
      <c r="AP283" s="9"/>
      <c r="AQ283" s="1"/>
      <c r="AR283" s="9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7"/>
      <c r="AK284" s="9"/>
      <c r="AL284" s="1"/>
      <c r="AM284" s="1"/>
      <c r="AN284" s="1"/>
      <c r="AO284" s="9"/>
      <c r="AP284" s="9"/>
      <c r="AQ284" s="1"/>
      <c r="AR284" s="9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7"/>
      <c r="AK285" s="9"/>
      <c r="AL285" s="1"/>
      <c r="AM285" s="1"/>
      <c r="AN285" s="1"/>
      <c r="AO285" s="9"/>
      <c r="AP285" s="9"/>
      <c r="AQ285" s="1"/>
      <c r="AR285" s="9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7"/>
      <c r="AK286" s="9"/>
      <c r="AL286" s="1"/>
      <c r="AM286" s="1"/>
      <c r="AN286" s="1"/>
      <c r="AO286" s="9"/>
      <c r="AP286" s="9"/>
      <c r="AQ286" s="1"/>
      <c r="AR286" s="9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7"/>
      <c r="AK287" s="9"/>
      <c r="AL287" s="1"/>
      <c r="AM287" s="1"/>
      <c r="AN287" s="1"/>
      <c r="AO287" s="9"/>
      <c r="AP287" s="9"/>
      <c r="AQ287" s="1"/>
      <c r="AR287" s="9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7"/>
      <c r="AK288" s="9"/>
      <c r="AL288" s="1"/>
      <c r="AM288" s="1"/>
      <c r="AN288" s="1"/>
      <c r="AO288" s="9"/>
      <c r="AP288" s="9"/>
      <c r="AQ288" s="1"/>
      <c r="AR288" s="9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7"/>
      <c r="AK289" s="9"/>
      <c r="AL289" s="1"/>
      <c r="AM289" s="1"/>
      <c r="AN289" s="1"/>
      <c r="AO289" s="9"/>
      <c r="AP289" s="9"/>
      <c r="AQ289" s="1"/>
      <c r="AR289" s="9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7"/>
      <c r="AK290" s="9"/>
      <c r="AL290" s="1"/>
      <c r="AM290" s="1"/>
      <c r="AN290" s="1"/>
      <c r="AO290" s="9"/>
      <c r="AP290" s="9"/>
      <c r="AQ290" s="1"/>
      <c r="AR290" s="9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7"/>
      <c r="AK291" s="9"/>
      <c r="AL291" s="1"/>
      <c r="AM291" s="1"/>
      <c r="AN291" s="1"/>
      <c r="AO291" s="9"/>
      <c r="AP291" s="9"/>
      <c r="AQ291" s="1"/>
      <c r="AR291" s="9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7"/>
      <c r="AK292" s="9"/>
      <c r="AL292" s="1"/>
      <c r="AM292" s="1"/>
      <c r="AN292" s="1"/>
      <c r="AO292" s="9"/>
      <c r="AP292" s="9"/>
      <c r="AQ292" s="1"/>
      <c r="AR292" s="9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7"/>
      <c r="AK293" s="9"/>
      <c r="AL293" s="1"/>
      <c r="AM293" s="1"/>
      <c r="AN293" s="1"/>
      <c r="AO293" s="9"/>
      <c r="AP293" s="9"/>
      <c r="AQ293" s="1"/>
      <c r="AR293" s="9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7"/>
      <c r="AK294" s="9"/>
      <c r="AL294" s="1"/>
      <c r="AM294" s="1"/>
      <c r="AN294" s="1"/>
      <c r="AO294" s="9"/>
      <c r="AP294" s="9"/>
      <c r="AQ294" s="1"/>
      <c r="AR294" s="9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7"/>
      <c r="AK295" s="9"/>
      <c r="AL295" s="1"/>
      <c r="AM295" s="1"/>
      <c r="AN295" s="1"/>
      <c r="AO295" s="9"/>
      <c r="AP295" s="9"/>
      <c r="AQ295" s="1"/>
      <c r="AR295" s="9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7"/>
      <c r="AK296" s="9"/>
      <c r="AL296" s="1"/>
      <c r="AM296" s="1"/>
      <c r="AN296" s="1"/>
      <c r="AO296" s="9"/>
      <c r="AP296" s="9"/>
      <c r="AQ296" s="1"/>
      <c r="AR296" s="9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7"/>
      <c r="AK297" s="9"/>
      <c r="AL297" s="1"/>
      <c r="AM297" s="1"/>
      <c r="AN297" s="1"/>
      <c r="AO297" s="9"/>
      <c r="AP297" s="9"/>
      <c r="AQ297" s="1"/>
      <c r="AR297" s="9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7"/>
      <c r="AK298" s="9"/>
      <c r="AL298" s="1"/>
      <c r="AM298" s="1"/>
      <c r="AN298" s="1"/>
      <c r="AO298" s="9"/>
      <c r="AP298" s="9"/>
      <c r="AQ298" s="1"/>
      <c r="AR298" s="9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7"/>
      <c r="AK299" s="9"/>
      <c r="AL299" s="1"/>
      <c r="AM299" s="1"/>
      <c r="AN299" s="1"/>
      <c r="AO299" s="9"/>
      <c r="AP299" s="9"/>
      <c r="AQ299" s="1"/>
      <c r="AR299" s="9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7"/>
      <c r="AK300" s="9"/>
      <c r="AL300" s="1"/>
      <c r="AM300" s="1"/>
      <c r="AN300" s="1"/>
      <c r="AO300" s="9"/>
      <c r="AP300" s="9"/>
      <c r="AQ300" s="1"/>
      <c r="AR300" s="9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7"/>
      <c r="AK301" s="9"/>
      <c r="AL301" s="1"/>
      <c r="AM301" s="1"/>
      <c r="AN301" s="1"/>
      <c r="AO301" s="9"/>
      <c r="AP301" s="9"/>
      <c r="AQ301" s="1"/>
      <c r="AR301" s="9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7"/>
      <c r="AK302" s="9"/>
      <c r="AL302" s="1"/>
      <c r="AM302" s="1"/>
      <c r="AN302" s="1"/>
      <c r="AO302" s="9"/>
      <c r="AP302" s="9"/>
      <c r="AQ302" s="1"/>
      <c r="AR302" s="9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7"/>
      <c r="AK303" s="9"/>
      <c r="AL303" s="1"/>
      <c r="AM303" s="1"/>
      <c r="AN303" s="1"/>
      <c r="AO303" s="9"/>
      <c r="AP303" s="9"/>
      <c r="AQ303" s="1"/>
      <c r="AR303" s="9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7"/>
      <c r="AK304" s="9"/>
      <c r="AL304" s="1"/>
      <c r="AM304" s="1"/>
      <c r="AN304" s="1"/>
      <c r="AO304" s="9"/>
      <c r="AP304" s="9"/>
      <c r="AQ304" s="1"/>
      <c r="AR304" s="9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7"/>
      <c r="AK305" s="9"/>
      <c r="AL305" s="1"/>
      <c r="AM305" s="1"/>
      <c r="AN305" s="1"/>
      <c r="AO305" s="9"/>
      <c r="AP305" s="9"/>
      <c r="AQ305" s="1"/>
      <c r="AR305" s="9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7"/>
      <c r="AK306" s="9"/>
      <c r="AL306" s="1"/>
      <c r="AM306" s="1"/>
      <c r="AN306" s="1"/>
      <c r="AO306" s="9"/>
      <c r="AP306" s="9"/>
      <c r="AQ306" s="1"/>
      <c r="AR306" s="9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7"/>
      <c r="AK307" s="9"/>
      <c r="AL307" s="1"/>
      <c r="AM307" s="1"/>
      <c r="AN307" s="1"/>
      <c r="AO307" s="9"/>
      <c r="AP307" s="9"/>
      <c r="AQ307" s="1"/>
      <c r="AR307" s="9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7"/>
      <c r="AK308" s="9"/>
      <c r="AL308" s="1"/>
      <c r="AM308" s="1"/>
      <c r="AN308" s="1"/>
      <c r="AO308" s="9"/>
      <c r="AP308" s="9"/>
      <c r="AQ308" s="1"/>
      <c r="AR308" s="9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7"/>
      <c r="AK309" s="9"/>
      <c r="AL309" s="1"/>
      <c r="AM309" s="1"/>
      <c r="AN309" s="1"/>
      <c r="AO309" s="9"/>
      <c r="AP309" s="9"/>
      <c r="AQ309" s="1"/>
      <c r="AR309" s="9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7"/>
      <c r="AK310" s="9"/>
      <c r="AL310" s="1"/>
      <c r="AM310" s="1"/>
      <c r="AN310" s="1"/>
      <c r="AO310" s="9"/>
      <c r="AP310" s="9"/>
      <c r="AQ310" s="1"/>
      <c r="AR310" s="9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7"/>
      <c r="AK311" s="9"/>
      <c r="AL311" s="1"/>
      <c r="AM311" s="1"/>
      <c r="AN311" s="1"/>
      <c r="AO311" s="9"/>
      <c r="AP311" s="9"/>
      <c r="AQ311" s="1"/>
      <c r="AR311" s="9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7"/>
      <c r="AK312" s="9"/>
      <c r="AL312" s="1"/>
      <c r="AM312" s="1"/>
      <c r="AN312" s="1"/>
      <c r="AO312" s="9"/>
      <c r="AP312" s="9"/>
      <c r="AQ312" s="1"/>
      <c r="AR312" s="9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7"/>
      <c r="AK313" s="9"/>
      <c r="AL313" s="1"/>
      <c r="AM313" s="1"/>
      <c r="AN313" s="1"/>
      <c r="AO313" s="9"/>
      <c r="AP313" s="9"/>
      <c r="AQ313" s="1"/>
      <c r="AR313" s="9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7"/>
      <c r="AK314" s="9"/>
      <c r="AL314" s="1"/>
      <c r="AM314" s="1"/>
      <c r="AN314" s="1"/>
      <c r="AO314" s="9"/>
      <c r="AP314" s="9"/>
      <c r="AQ314" s="1"/>
      <c r="AR314" s="9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7"/>
      <c r="AK315" s="9"/>
      <c r="AL315" s="1"/>
      <c r="AM315" s="1"/>
      <c r="AN315" s="1"/>
      <c r="AO315" s="9"/>
      <c r="AP315" s="9"/>
      <c r="AQ315" s="1"/>
      <c r="AR315" s="9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7"/>
      <c r="AK316" s="9"/>
      <c r="AL316" s="1"/>
      <c r="AM316" s="1"/>
      <c r="AN316" s="1"/>
      <c r="AO316" s="9"/>
      <c r="AP316" s="9"/>
      <c r="AQ316" s="1"/>
      <c r="AR316" s="9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7"/>
      <c r="AK317" s="9"/>
      <c r="AL317" s="1"/>
      <c r="AM317" s="1"/>
      <c r="AN317" s="1"/>
      <c r="AO317" s="9"/>
      <c r="AP317" s="9"/>
      <c r="AQ317" s="1"/>
      <c r="AR317" s="9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7"/>
      <c r="AK318" s="9"/>
      <c r="AL318" s="1"/>
      <c r="AM318" s="1"/>
      <c r="AN318" s="1"/>
      <c r="AO318" s="9"/>
      <c r="AP318" s="9"/>
      <c r="AQ318" s="1"/>
      <c r="AR318" s="9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7"/>
      <c r="AK319" s="9"/>
      <c r="AL319" s="1"/>
      <c r="AM319" s="1"/>
      <c r="AN319" s="1"/>
      <c r="AO319" s="9"/>
      <c r="AP319" s="9"/>
      <c r="AQ319" s="1"/>
      <c r="AR319" s="9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7"/>
      <c r="AK320" s="9"/>
      <c r="AL320" s="1"/>
      <c r="AM320" s="1"/>
      <c r="AN320" s="1"/>
      <c r="AO320" s="9"/>
      <c r="AP320" s="9"/>
      <c r="AQ320" s="1"/>
      <c r="AR320" s="9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7"/>
      <c r="AK321" s="9"/>
      <c r="AL321" s="1"/>
      <c r="AM321" s="1"/>
      <c r="AN321" s="1"/>
      <c r="AO321" s="9"/>
      <c r="AP321" s="9"/>
      <c r="AQ321" s="1"/>
      <c r="AR321" s="9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7"/>
      <c r="AK322" s="9"/>
      <c r="AL322" s="1"/>
      <c r="AM322" s="1"/>
      <c r="AN322" s="1"/>
      <c r="AO322" s="9"/>
      <c r="AP322" s="9"/>
      <c r="AQ322" s="1"/>
      <c r="AR322" s="9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7"/>
      <c r="AK323" s="9"/>
      <c r="AL323" s="1"/>
      <c r="AM323" s="1"/>
      <c r="AN323" s="1"/>
      <c r="AO323" s="9"/>
      <c r="AP323" s="9"/>
      <c r="AQ323" s="1"/>
      <c r="AR323" s="9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7"/>
      <c r="AK324" s="9"/>
      <c r="AL324" s="1"/>
      <c r="AM324" s="1"/>
      <c r="AN324" s="1"/>
      <c r="AO324" s="9"/>
      <c r="AP324" s="9"/>
      <c r="AQ324" s="1"/>
      <c r="AR324" s="9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7"/>
      <c r="AK325" s="9"/>
      <c r="AL325" s="1"/>
      <c r="AM325" s="1"/>
      <c r="AN325" s="1"/>
      <c r="AO325" s="9"/>
      <c r="AP325" s="9"/>
      <c r="AQ325" s="1"/>
      <c r="AR325" s="9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7"/>
      <c r="AK326" s="9"/>
      <c r="AL326" s="1"/>
      <c r="AM326" s="1"/>
      <c r="AN326" s="1"/>
      <c r="AO326" s="9"/>
      <c r="AP326" s="9"/>
      <c r="AQ326" s="1"/>
      <c r="AR326" s="9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7"/>
      <c r="AK327" s="9"/>
      <c r="AL327" s="1"/>
      <c r="AM327" s="1"/>
      <c r="AN327" s="1"/>
      <c r="AO327" s="9"/>
      <c r="AP327" s="9"/>
      <c r="AQ327" s="1"/>
      <c r="AR327" s="9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7"/>
      <c r="AK328" s="9"/>
      <c r="AL328" s="1"/>
      <c r="AM328" s="1"/>
      <c r="AN328" s="1"/>
      <c r="AO328" s="9"/>
      <c r="AP328" s="9"/>
      <c r="AQ328" s="1"/>
      <c r="AR328" s="9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7"/>
      <c r="AK329" s="9"/>
      <c r="AL329" s="1"/>
      <c r="AM329" s="1"/>
      <c r="AN329" s="1"/>
      <c r="AO329" s="9"/>
      <c r="AP329" s="9"/>
      <c r="AQ329" s="1"/>
      <c r="AR329" s="9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7"/>
      <c r="AK330" s="9"/>
      <c r="AL330" s="1"/>
      <c r="AM330" s="1"/>
      <c r="AN330" s="1"/>
      <c r="AO330" s="9"/>
      <c r="AP330" s="9"/>
      <c r="AQ330" s="1"/>
      <c r="AR330" s="9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7"/>
      <c r="AK331" s="9"/>
      <c r="AL331" s="1"/>
      <c r="AM331" s="1"/>
      <c r="AN331" s="1"/>
      <c r="AO331" s="9"/>
      <c r="AP331" s="9"/>
      <c r="AQ331" s="1"/>
      <c r="AR331" s="9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7"/>
      <c r="AK332" s="9"/>
      <c r="AL332" s="1"/>
      <c r="AM332" s="1"/>
      <c r="AN332" s="1"/>
      <c r="AO332" s="9"/>
      <c r="AP332" s="9"/>
      <c r="AQ332" s="1"/>
      <c r="AR332" s="9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7"/>
      <c r="AK333" s="9"/>
      <c r="AL333" s="1"/>
      <c r="AM333" s="1"/>
      <c r="AN333" s="1"/>
      <c r="AO333" s="9"/>
      <c r="AP333" s="9"/>
      <c r="AQ333" s="1"/>
      <c r="AR333" s="9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7"/>
      <c r="AK334" s="9"/>
      <c r="AL334" s="1"/>
      <c r="AM334" s="1"/>
      <c r="AN334" s="1"/>
      <c r="AO334" s="9"/>
      <c r="AP334" s="9"/>
      <c r="AQ334" s="1"/>
      <c r="AR334" s="9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7"/>
      <c r="AK335" s="9"/>
      <c r="AL335" s="1"/>
      <c r="AM335" s="1"/>
      <c r="AN335" s="1"/>
      <c r="AO335" s="9"/>
      <c r="AP335" s="9"/>
      <c r="AQ335" s="1"/>
      <c r="AR335" s="9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7"/>
      <c r="AK336" s="9"/>
      <c r="AL336" s="1"/>
      <c r="AM336" s="1"/>
      <c r="AN336" s="1"/>
      <c r="AO336" s="9"/>
      <c r="AP336" s="9"/>
      <c r="AQ336" s="1"/>
      <c r="AR336" s="9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7"/>
      <c r="AK337" s="9"/>
      <c r="AL337" s="1"/>
      <c r="AM337" s="1"/>
      <c r="AN337" s="1"/>
      <c r="AO337" s="9"/>
      <c r="AP337" s="9"/>
      <c r="AQ337" s="1"/>
      <c r="AR337" s="9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7"/>
      <c r="AK338" s="9"/>
      <c r="AL338" s="1"/>
      <c r="AM338" s="1"/>
      <c r="AN338" s="1"/>
      <c r="AO338" s="9"/>
      <c r="AP338" s="9"/>
      <c r="AQ338" s="1"/>
      <c r="AR338" s="9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7"/>
      <c r="AK339" s="9"/>
      <c r="AL339" s="1"/>
      <c r="AM339" s="1"/>
      <c r="AN339" s="1"/>
      <c r="AO339" s="9"/>
      <c r="AP339" s="9"/>
      <c r="AQ339" s="1"/>
      <c r="AR339" s="9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7"/>
      <c r="AK340" s="9"/>
      <c r="AL340" s="1"/>
      <c r="AM340" s="1"/>
      <c r="AN340" s="1"/>
      <c r="AO340" s="9"/>
      <c r="AP340" s="9"/>
      <c r="AQ340" s="1"/>
      <c r="AR340" s="9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7"/>
      <c r="AK341" s="9"/>
      <c r="AL341" s="1"/>
      <c r="AM341" s="1"/>
      <c r="AN341" s="1"/>
      <c r="AO341" s="9"/>
      <c r="AP341" s="9"/>
      <c r="AQ341" s="1"/>
      <c r="AR341" s="9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7"/>
      <c r="AK342" s="9"/>
      <c r="AL342" s="1"/>
      <c r="AM342" s="1"/>
      <c r="AN342" s="1"/>
      <c r="AO342" s="9"/>
      <c r="AP342" s="9"/>
      <c r="AQ342" s="1"/>
      <c r="AR342" s="9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7"/>
      <c r="AK343" s="9"/>
      <c r="AL343" s="1"/>
      <c r="AM343" s="1"/>
      <c r="AN343" s="1"/>
      <c r="AO343" s="9"/>
      <c r="AP343" s="9"/>
      <c r="AQ343" s="1"/>
      <c r="AR343" s="9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7"/>
      <c r="AK344" s="9"/>
      <c r="AL344" s="1"/>
      <c r="AM344" s="1"/>
      <c r="AN344" s="1"/>
      <c r="AO344" s="9"/>
      <c r="AP344" s="9"/>
      <c r="AQ344" s="1"/>
      <c r="AR344" s="9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7"/>
      <c r="AK345" s="9"/>
      <c r="AL345" s="1"/>
      <c r="AM345" s="1"/>
      <c r="AN345" s="1"/>
      <c r="AO345" s="9"/>
      <c r="AP345" s="9"/>
      <c r="AQ345" s="1"/>
      <c r="AR345" s="9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7"/>
      <c r="AK346" s="9"/>
      <c r="AL346" s="1"/>
      <c r="AM346" s="1"/>
      <c r="AN346" s="1"/>
      <c r="AO346" s="9"/>
      <c r="AP346" s="9"/>
      <c r="AQ346" s="1"/>
      <c r="AR346" s="9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7"/>
      <c r="AK347" s="9"/>
      <c r="AL347" s="1"/>
      <c r="AM347" s="1"/>
      <c r="AN347" s="1"/>
      <c r="AO347" s="9"/>
      <c r="AP347" s="9"/>
      <c r="AQ347" s="1"/>
      <c r="AR347" s="9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7"/>
      <c r="AK348" s="9"/>
      <c r="AL348" s="1"/>
      <c r="AM348" s="1"/>
      <c r="AN348" s="1"/>
      <c r="AO348" s="9"/>
      <c r="AP348" s="9"/>
      <c r="AQ348" s="1"/>
      <c r="AR348" s="9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7"/>
      <c r="AK349" s="9"/>
      <c r="AL349" s="1"/>
      <c r="AM349" s="1"/>
      <c r="AN349" s="1"/>
      <c r="AO349" s="9"/>
      <c r="AP349" s="9"/>
      <c r="AQ349" s="1"/>
      <c r="AR349" s="9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7"/>
      <c r="AK350" s="9"/>
      <c r="AL350" s="1"/>
      <c r="AM350" s="1"/>
      <c r="AN350" s="1"/>
      <c r="AO350" s="9"/>
      <c r="AP350" s="9"/>
      <c r="AQ350" s="1"/>
      <c r="AR350" s="9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7"/>
      <c r="AK351" s="9"/>
      <c r="AL351" s="1"/>
      <c r="AM351" s="1"/>
      <c r="AN351" s="1"/>
      <c r="AO351" s="9"/>
      <c r="AP351" s="9"/>
      <c r="AQ351" s="1"/>
      <c r="AR351" s="9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7"/>
      <c r="AK352" s="9"/>
      <c r="AL352" s="1"/>
      <c r="AM352" s="1"/>
      <c r="AN352" s="1"/>
      <c r="AO352" s="9"/>
      <c r="AP352" s="9"/>
      <c r="AQ352" s="1"/>
      <c r="AR352" s="9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7"/>
      <c r="AK353" s="9"/>
      <c r="AL353" s="1"/>
      <c r="AM353" s="1"/>
      <c r="AN353" s="1"/>
      <c r="AO353" s="9"/>
      <c r="AP353" s="9"/>
      <c r="AQ353" s="1"/>
      <c r="AR353" s="9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7"/>
      <c r="AK354" s="9"/>
      <c r="AL354" s="1"/>
      <c r="AM354" s="1"/>
      <c r="AN354" s="1"/>
      <c r="AO354" s="9"/>
      <c r="AP354" s="9"/>
      <c r="AQ354" s="1"/>
      <c r="AR354" s="9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7"/>
      <c r="AK355" s="9"/>
      <c r="AL355" s="1"/>
      <c r="AM355" s="1"/>
      <c r="AN355" s="1"/>
      <c r="AO355" s="9"/>
      <c r="AP355" s="9"/>
      <c r="AQ355" s="1"/>
      <c r="AR355" s="9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7"/>
      <c r="AK356" s="9"/>
      <c r="AL356" s="1"/>
      <c r="AM356" s="1"/>
      <c r="AN356" s="1"/>
      <c r="AO356" s="9"/>
      <c r="AP356" s="9"/>
      <c r="AQ356" s="1"/>
      <c r="AR356" s="9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7"/>
      <c r="AK357" s="9"/>
      <c r="AL357" s="1"/>
      <c r="AM357" s="1"/>
      <c r="AN357" s="1"/>
      <c r="AO357" s="9"/>
      <c r="AP357" s="9"/>
      <c r="AQ357" s="1"/>
      <c r="AR357" s="9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7"/>
      <c r="AK358" s="9"/>
      <c r="AL358" s="1"/>
      <c r="AM358" s="1"/>
      <c r="AN358" s="1"/>
      <c r="AO358" s="9"/>
      <c r="AP358" s="9"/>
      <c r="AQ358" s="1"/>
      <c r="AR358" s="9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7"/>
      <c r="AK359" s="9"/>
      <c r="AL359" s="1"/>
      <c r="AM359" s="1"/>
      <c r="AN359" s="1"/>
      <c r="AO359" s="9"/>
      <c r="AP359" s="9"/>
      <c r="AQ359" s="1"/>
      <c r="AR359" s="9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7"/>
      <c r="AK360" s="9"/>
      <c r="AL360" s="1"/>
      <c r="AM360" s="1"/>
      <c r="AN360" s="1"/>
      <c r="AO360" s="9"/>
      <c r="AP360" s="9"/>
      <c r="AQ360" s="1"/>
      <c r="AR360" s="9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7"/>
      <c r="AK361" s="9"/>
      <c r="AL361" s="1"/>
      <c r="AM361" s="1"/>
      <c r="AN361" s="1"/>
      <c r="AO361" s="9"/>
      <c r="AP361" s="9"/>
      <c r="AQ361" s="1"/>
      <c r="AR361" s="9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7"/>
      <c r="AK362" s="9"/>
      <c r="AL362" s="1"/>
      <c r="AM362" s="1"/>
      <c r="AN362" s="1"/>
      <c r="AO362" s="9"/>
      <c r="AP362" s="9"/>
      <c r="AQ362" s="1"/>
      <c r="AR362" s="9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7"/>
      <c r="AK363" s="9"/>
      <c r="AL363" s="1"/>
      <c r="AM363" s="1"/>
      <c r="AN363" s="1"/>
      <c r="AO363" s="9"/>
      <c r="AP363" s="9"/>
      <c r="AQ363" s="1"/>
      <c r="AR363" s="9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7"/>
      <c r="AK364" s="9"/>
      <c r="AL364" s="1"/>
      <c r="AM364" s="1"/>
      <c r="AN364" s="1"/>
      <c r="AO364" s="9"/>
      <c r="AP364" s="9"/>
      <c r="AQ364" s="1"/>
      <c r="AR364" s="9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7"/>
      <c r="AK365" s="9"/>
      <c r="AL365" s="1"/>
      <c r="AM365" s="1"/>
      <c r="AN365" s="1"/>
      <c r="AO365" s="9"/>
      <c r="AP365" s="9"/>
      <c r="AQ365" s="1"/>
      <c r="AR365" s="9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7"/>
      <c r="AK366" s="9"/>
      <c r="AL366" s="1"/>
      <c r="AM366" s="1"/>
      <c r="AN366" s="1"/>
      <c r="AO366" s="9"/>
      <c r="AP366" s="9"/>
      <c r="AQ366" s="1"/>
      <c r="AR366" s="9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7"/>
      <c r="AK367" s="9"/>
      <c r="AL367" s="1"/>
      <c r="AM367" s="1"/>
      <c r="AN367" s="1"/>
      <c r="AO367" s="9"/>
      <c r="AP367" s="9"/>
      <c r="AQ367" s="1"/>
      <c r="AR367" s="9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7"/>
      <c r="AK368" s="9"/>
      <c r="AL368" s="1"/>
      <c r="AM368" s="1"/>
      <c r="AN368" s="1"/>
      <c r="AO368" s="9"/>
      <c r="AP368" s="9"/>
      <c r="AQ368" s="1"/>
      <c r="AR368" s="9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7"/>
      <c r="AK369" s="9"/>
      <c r="AL369" s="1"/>
      <c r="AM369" s="1"/>
      <c r="AN369" s="1"/>
      <c r="AO369" s="9"/>
      <c r="AP369" s="9"/>
      <c r="AQ369" s="1"/>
      <c r="AR369" s="9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7"/>
      <c r="AK370" s="9"/>
      <c r="AL370" s="1"/>
      <c r="AM370" s="1"/>
      <c r="AN370" s="1"/>
      <c r="AO370" s="9"/>
      <c r="AP370" s="9"/>
      <c r="AQ370" s="1"/>
      <c r="AR370" s="9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7"/>
      <c r="AK371" s="9"/>
      <c r="AL371" s="1"/>
      <c r="AM371" s="1"/>
      <c r="AN371" s="1"/>
      <c r="AO371" s="9"/>
      <c r="AP371" s="9"/>
      <c r="AQ371" s="1"/>
      <c r="AR371" s="9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7"/>
      <c r="AK372" s="9"/>
      <c r="AL372" s="1"/>
      <c r="AM372" s="1"/>
      <c r="AN372" s="1"/>
      <c r="AO372" s="9"/>
      <c r="AP372" s="9"/>
      <c r="AQ372" s="1"/>
      <c r="AR372" s="9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7"/>
      <c r="AK373" s="9"/>
      <c r="AL373" s="1"/>
      <c r="AM373" s="1"/>
      <c r="AN373" s="1"/>
      <c r="AO373" s="9"/>
      <c r="AP373" s="9"/>
      <c r="AQ373" s="1"/>
      <c r="AR373" s="9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7"/>
      <c r="AK374" s="9"/>
      <c r="AL374" s="1"/>
      <c r="AM374" s="1"/>
      <c r="AN374" s="1"/>
      <c r="AO374" s="9"/>
      <c r="AP374" s="9"/>
      <c r="AQ374" s="1"/>
      <c r="AR374" s="9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7"/>
      <c r="AK375" s="9"/>
      <c r="AL375" s="1"/>
      <c r="AM375" s="1"/>
      <c r="AN375" s="1"/>
      <c r="AO375" s="9"/>
      <c r="AP375" s="9"/>
      <c r="AQ375" s="1"/>
      <c r="AR375" s="9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7"/>
      <c r="AK376" s="9"/>
      <c r="AL376" s="1"/>
      <c r="AM376" s="1"/>
      <c r="AN376" s="1"/>
      <c r="AO376" s="9"/>
      <c r="AP376" s="9"/>
      <c r="AQ376" s="1"/>
      <c r="AR376" s="9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7"/>
      <c r="AK377" s="9"/>
      <c r="AL377" s="1"/>
      <c r="AM377" s="1"/>
      <c r="AN377" s="1"/>
      <c r="AO377" s="9"/>
      <c r="AP377" s="9"/>
      <c r="AQ377" s="1"/>
      <c r="AR377" s="9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7"/>
      <c r="AK378" s="9"/>
      <c r="AL378" s="1"/>
      <c r="AM378" s="1"/>
      <c r="AN378" s="1"/>
      <c r="AO378" s="9"/>
      <c r="AP378" s="9"/>
      <c r="AQ378" s="1"/>
      <c r="AR378" s="9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7"/>
      <c r="AK379" s="9"/>
      <c r="AL379" s="1"/>
      <c r="AM379" s="1"/>
      <c r="AN379" s="1"/>
      <c r="AO379" s="9"/>
      <c r="AP379" s="9"/>
      <c r="AQ379" s="1"/>
      <c r="AR379" s="9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7"/>
      <c r="AK380" s="9"/>
      <c r="AL380" s="1"/>
      <c r="AM380" s="1"/>
      <c r="AN380" s="1"/>
      <c r="AO380" s="9"/>
      <c r="AP380" s="9"/>
      <c r="AQ380" s="1"/>
      <c r="AR380" s="9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7"/>
      <c r="AK381" s="9"/>
      <c r="AL381" s="1"/>
      <c r="AM381" s="1"/>
      <c r="AN381" s="1"/>
      <c r="AO381" s="9"/>
      <c r="AP381" s="9"/>
      <c r="AQ381" s="1"/>
      <c r="AR381" s="9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7"/>
      <c r="AK382" s="9"/>
      <c r="AL382" s="1"/>
      <c r="AM382" s="1"/>
      <c r="AN382" s="1"/>
      <c r="AO382" s="9"/>
      <c r="AP382" s="9"/>
      <c r="AQ382" s="1"/>
      <c r="AR382" s="9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7"/>
      <c r="AK383" s="9"/>
      <c r="AL383" s="1"/>
      <c r="AM383" s="1"/>
      <c r="AN383" s="1"/>
      <c r="AO383" s="9"/>
      <c r="AP383" s="9"/>
      <c r="AQ383" s="1"/>
      <c r="AR383" s="9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7"/>
      <c r="AK384" s="9"/>
      <c r="AL384" s="1"/>
      <c r="AM384" s="1"/>
      <c r="AN384" s="1"/>
      <c r="AO384" s="9"/>
      <c r="AP384" s="9"/>
      <c r="AQ384" s="1"/>
      <c r="AR384" s="9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7"/>
      <c r="AK385" s="9"/>
      <c r="AL385" s="1"/>
      <c r="AM385" s="1"/>
      <c r="AN385" s="1"/>
      <c r="AO385" s="9"/>
      <c r="AP385" s="9"/>
      <c r="AQ385" s="1"/>
      <c r="AR385" s="9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7"/>
      <c r="AK386" s="9"/>
      <c r="AL386" s="1"/>
      <c r="AM386" s="1"/>
      <c r="AN386" s="1"/>
      <c r="AO386" s="9"/>
      <c r="AP386" s="9"/>
      <c r="AQ386" s="1"/>
      <c r="AR386" s="9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7"/>
      <c r="AK387" s="9"/>
      <c r="AL387" s="1"/>
      <c r="AM387" s="1"/>
      <c r="AN387" s="1"/>
      <c r="AO387" s="9"/>
      <c r="AP387" s="9"/>
      <c r="AQ387" s="1"/>
      <c r="AR387" s="9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7"/>
      <c r="AK388" s="9"/>
      <c r="AL388" s="1"/>
      <c r="AM388" s="1"/>
      <c r="AN388" s="1"/>
      <c r="AO388" s="9"/>
      <c r="AP388" s="9"/>
      <c r="AQ388" s="1"/>
      <c r="AR388" s="9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7"/>
      <c r="AK389" s="9"/>
      <c r="AL389" s="1"/>
      <c r="AM389" s="1"/>
      <c r="AN389" s="1"/>
      <c r="AO389" s="9"/>
      <c r="AP389" s="9"/>
      <c r="AQ389" s="1"/>
      <c r="AR389" s="9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7"/>
      <c r="AK390" s="9"/>
      <c r="AL390" s="1"/>
      <c r="AM390" s="1"/>
      <c r="AN390" s="1"/>
      <c r="AO390" s="9"/>
      <c r="AP390" s="9"/>
      <c r="AQ390" s="1"/>
      <c r="AR390" s="9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7"/>
      <c r="AK391" s="9"/>
      <c r="AL391" s="1"/>
      <c r="AM391" s="1"/>
      <c r="AN391" s="1"/>
      <c r="AO391" s="9"/>
      <c r="AP391" s="9"/>
      <c r="AQ391" s="1"/>
      <c r="AR391" s="9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7"/>
      <c r="AK392" s="9"/>
      <c r="AL392" s="1"/>
      <c r="AM392" s="1"/>
      <c r="AN392" s="1"/>
      <c r="AO392" s="9"/>
      <c r="AP392" s="9"/>
      <c r="AQ392" s="1"/>
      <c r="AR392" s="9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7"/>
      <c r="AK393" s="9"/>
      <c r="AL393" s="1"/>
      <c r="AM393" s="1"/>
      <c r="AN393" s="1"/>
      <c r="AO393" s="9"/>
      <c r="AP393" s="9"/>
      <c r="AQ393" s="1"/>
      <c r="AR393" s="9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7"/>
      <c r="AK394" s="9"/>
      <c r="AL394" s="1"/>
      <c r="AM394" s="1"/>
      <c r="AN394" s="1"/>
      <c r="AO394" s="9"/>
      <c r="AP394" s="9"/>
      <c r="AQ394" s="1"/>
      <c r="AR394" s="9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7"/>
      <c r="AK395" s="9"/>
      <c r="AL395" s="1"/>
      <c r="AM395" s="1"/>
      <c r="AN395" s="1"/>
      <c r="AO395" s="9"/>
      <c r="AP395" s="9"/>
      <c r="AQ395" s="1"/>
      <c r="AR395" s="9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7"/>
      <c r="AK396" s="9"/>
      <c r="AL396" s="1"/>
      <c r="AM396" s="1"/>
      <c r="AN396" s="1"/>
      <c r="AO396" s="9"/>
      <c r="AP396" s="9"/>
      <c r="AQ396" s="1"/>
      <c r="AR396" s="9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7"/>
      <c r="AK397" s="9"/>
      <c r="AL397" s="1"/>
      <c r="AM397" s="1"/>
      <c r="AN397" s="1"/>
      <c r="AO397" s="9"/>
      <c r="AP397" s="9"/>
      <c r="AQ397" s="1"/>
      <c r="AR397" s="9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7"/>
      <c r="AK398" s="9"/>
      <c r="AL398" s="1"/>
      <c r="AM398" s="1"/>
      <c r="AN398" s="1"/>
      <c r="AO398" s="9"/>
      <c r="AP398" s="9"/>
      <c r="AQ398" s="1"/>
      <c r="AR398" s="9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7"/>
      <c r="AK399" s="9"/>
      <c r="AL399" s="1"/>
      <c r="AM399" s="1"/>
      <c r="AN399" s="1"/>
      <c r="AO399" s="9"/>
      <c r="AP399" s="9"/>
      <c r="AQ399" s="1"/>
      <c r="AR399" s="9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7"/>
      <c r="AK400" s="9"/>
      <c r="AL400" s="1"/>
      <c r="AM400" s="1"/>
      <c r="AN400" s="1"/>
      <c r="AO400" s="9"/>
      <c r="AP400" s="9"/>
      <c r="AQ400" s="1"/>
      <c r="AR400" s="9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7"/>
      <c r="AK401" s="9"/>
      <c r="AL401" s="1"/>
      <c r="AM401" s="1"/>
      <c r="AN401" s="1"/>
      <c r="AO401" s="9"/>
      <c r="AP401" s="9"/>
      <c r="AQ401" s="1"/>
      <c r="AR401" s="9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7"/>
      <c r="AK402" s="9"/>
      <c r="AL402" s="1"/>
      <c r="AM402" s="1"/>
      <c r="AN402" s="1"/>
      <c r="AO402" s="9"/>
      <c r="AP402" s="9"/>
      <c r="AQ402" s="1"/>
      <c r="AR402" s="9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7"/>
      <c r="AK403" s="9"/>
      <c r="AL403" s="1"/>
      <c r="AM403" s="1"/>
      <c r="AN403" s="1"/>
      <c r="AO403" s="9"/>
      <c r="AP403" s="9"/>
      <c r="AQ403" s="1"/>
      <c r="AR403" s="9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7"/>
      <c r="AK404" s="9"/>
      <c r="AL404" s="1"/>
      <c r="AM404" s="1"/>
      <c r="AN404" s="1"/>
      <c r="AO404" s="9"/>
      <c r="AP404" s="9"/>
      <c r="AQ404" s="1"/>
      <c r="AR404" s="9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7"/>
      <c r="AK405" s="9"/>
      <c r="AL405" s="1"/>
      <c r="AM405" s="1"/>
      <c r="AN405" s="1"/>
      <c r="AO405" s="9"/>
      <c r="AP405" s="9"/>
      <c r="AQ405" s="1"/>
      <c r="AR405" s="9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7"/>
      <c r="AK406" s="9"/>
      <c r="AL406" s="1"/>
      <c r="AM406" s="1"/>
      <c r="AN406" s="1"/>
      <c r="AO406" s="9"/>
      <c r="AP406" s="9"/>
      <c r="AQ406" s="1"/>
      <c r="AR406" s="9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7"/>
      <c r="AK407" s="9"/>
      <c r="AL407" s="1"/>
      <c r="AM407" s="1"/>
      <c r="AN407" s="1"/>
      <c r="AO407" s="9"/>
      <c r="AP407" s="9"/>
      <c r="AQ407" s="1"/>
      <c r="AR407" s="9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7"/>
      <c r="AK408" s="9"/>
      <c r="AL408" s="1"/>
      <c r="AM408" s="1"/>
      <c r="AN408" s="1"/>
      <c r="AO408" s="9"/>
      <c r="AP408" s="9"/>
      <c r="AQ408" s="1"/>
      <c r="AR408" s="9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7"/>
      <c r="AK409" s="9"/>
      <c r="AL409" s="1"/>
      <c r="AM409" s="1"/>
      <c r="AN409" s="1"/>
      <c r="AO409" s="9"/>
      <c r="AP409" s="9"/>
      <c r="AQ409" s="1"/>
      <c r="AR409" s="9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7"/>
      <c r="AK410" s="9"/>
      <c r="AL410" s="1"/>
      <c r="AM410" s="1"/>
      <c r="AN410" s="1"/>
      <c r="AO410" s="9"/>
      <c r="AP410" s="9"/>
      <c r="AQ410" s="1"/>
      <c r="AR410" s="9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7"/>
      <c r="AK411" s="9"/>
      <c r="AL411" s="1"/>
      <c r="AM411" s="1"/>
      <c r="AN411" s="1"/>
      <c r="AO411" s="9"/>
      <c r="AP411" s="9"/>
      <c r="AQ411" s="1"/>
      <c r="AR411" s="9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7"/>
      <c r="AK412" s="9"/>
      <c r="AL412" s="1"/>
      <c r="AM412" s="1"/>
      <c r="AN412" s="1"/>
      <c r="AO412" s="9"/>
      <c r="AP412" s="9"/>
      <c r="AQ412" s="1"/>
      <c r="AR412" s="9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7"/>
      <c r="AK413" s="9"/>
      <c r="AL413" s="1"/>
      <c r="AM413" s="1"/>
      <c r="AN413" s="1"/>
      <c r="AO413" s="9"/>
      <c r="AP413" s="9"/>
      <c r="AQ413" s="1"/>
      <c r="AR413" s="9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7"/>
      <c r="AK414" s="9"/>
      <c r="AL414" s="1"/>
      <c r="AM414" s="1"/>
      <c r="AN414" s="1"/>
      <c r="AO414" s="9"/>
      <c r="AP414" s="9"/>
      <c r="AQ414" s="1"/>
      <c r="AR414" s="9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7"/>
      <c r="AK415" s="9"/>
      <c r="AL415" s="1"/>
      <c r="AM415" s="1"/>
      <c r="AN415" s="1"/>
      <c r="AO415" s="9"/>
      <c r="AP415" s="9"/>
      <c r="AQ415" s="1"/>
      <c r="AR415" s="9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7"/>
      <c r="AK416" s="9"/>
      <c r="AL416" s="1"/>
      <c r="AM416" s="1"/>
      <c r="AN416" s="1"/>
      <c r="AO416" s="9"/>
      <c r="AP416" s="9"/>
      <c r="AQ416" s="1"/>
      <c r="AR416" s="9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7"/>
      <c r="AK417" s="9"/>
      <c r="AL417" s="1"/>
      <c r="AM417" s="1"/>
      <c r="AN417" s="1"/>
      <c r="AO417" s="9"/>
      <c r="AP417" s="9"/>
      <c r="AQ417" s="1"/>
      <c r="AR417" s="9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7"/>
      <c r="AK418" s="9"/>
      <c r="AL418" s="1"/>
      <c r="AM418" s="1"/>
      <c r="AN418" s="1"/>
      <c r="AO418" s="9"/>
      <c r="AP418" s="9"/>
      <c r="AQ418" s="1"/>
      <c r="AR418" s="9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7"/>
      <c r="AK419" s="9"/>
      <c r="AL419" s="1"/>
      <c r="AM419" s="1"/>
      <c r="AN419" s="1"/>
      <c r="AO419" s="9"/>
      <c r="AP419" s="9"/>
      <c r="AQ419" s="1"/>
      <c r="AR419" s="9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7"/>
      <c r="AK420" s="9"/>
      <c r="AL420" s="1"/>
      <c r="AM420" s="1"/>
      <c r="AN420" s="1"/>
      <c r="AO420" s="9"/>
      <c r="AP420" s="9"/>
      <c r="AQ420" s="1"/>
      <c r="AR420" s="9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7"/>
      <c r="AK421" s="9"/>
      <c r="AL421" s="1"/>
      <c r="AM421" s="1"/>
      <c r="AN421" s="1"/>
      <c r="AO421" s="9"/>
      <c r="AP421" s="9"/>
      <c r="AQ421" s="1"/>
      <c r="AR421" s="9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7"/>
      <c r="AK422" s="9"/>
      <c r="AL422" s="1"/>
      <c r="AM422" s="1"/>
      <c r="AN422" s="1"/>
      <c r="AO422" s="9"/>
      <c r="AP422" s="9"/>
      <c r="AQ422" s="1"/>
      <c r="AR422" s="9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7"/>
      <c r="AK423" s="9"/>
      <c r="AL423" s="1"/>
      <c r="AM423" s="1"/>
      <c r="AN423" s="1"/>
      <c r="AO423" s="9"/>
      <c r="AP423" s="9"/>
      <c r="AQ423" s="1"/>
      <c r="AR423" s="9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7"/>
      <c r="AK424" s="9"/>
      <c r="AL424" s="1"/>
      <c r="AM424" s="1"/>
      <c r="AN424" s="1"/>
      <c r="AO424" s="9"/>
      <c r="AP424" s="9"/>
      <c r="AQ424" s="1"/>
      <c r="AR424" s="9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7"/>
      <c r="AK425" s="9"/>
      <c r="AL425" s="1"/>
      <c r="AM425" s="1"/>
      <c r="AN425" s="1"/>
      <c r="AO425" s="9"/>
      <c r="AP425" s="9"/>
      <c r="AQ425" s="1"/>
      <c r="AR425" s="9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7"/>
      <c r="AK426" s="9"/>
      <c r="AL426" s="1"/>
      <c r="AM426" s="1"/>
      <c r="AN426" s="1"/>
      <c r="AO426" s="9"/>
      <c r="AP426" s="9"/>
      <c r="AQ426" s="1"/>
      <c r="AR426" s="9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7"/>
      <c r="AK427" s="9"/>
      <c r="AL427" s="1"/>
      <c r="AM427" s="1"/>
      <c r="AN427" s="1"/>
      <c r="AO427" s="9"/>
      <c r="AP427" s="9"/>
      <c r="AQ427" s="1"/>
      <c r="AR427" s="9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7"/>
      <c r="AK428" s="9"/>
      <c r="AL428" s="1"/>
      <c r="AM428" s="1"/>
      <c r="AN428" s="1"/>
      <c r="AO428" s="9"/>
      <c r="AP428" s="9"/>
      <c r="AQ428" s="1"/>
      <c r="AR428" s="9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7"/>
      <c r="AK429" s="9"/>
      <c r="AL429" s="1"/>
      <c r="AM429" s="1"/>
      <c r="AN429" s="1"/>
      <c r="AO429" s="9"/>
      <c r="AP429" s="9"/>
      <c r="AQ429" s="1"/>
      <c r="AR429" s="9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7"/>
      <c r="AK430" s="9"/>
      <c r="AL430" s="1"/>
      <c r="AM430" s="1"/>
      <c r="AN430" s="1"/>
      <c r="AO430" s="9"/>
      <c r="AP430" s="9"/>
      <c r="AQ430" s="1"/>
      <c r="AR430" s="9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7"/>
      <c r="AK431" s="9"/>
      <c r="AL431" s="1"/>
      <c r="AM431" s="1"/>
      <c r="AN431" s="1"/>
      <c r="AO431" s="9"/>
      <c r="AP431" s="9"/>
      <c r="AQ431" s="1"/>
      <c r="AR431" s="9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7"/>
      <c r="AK432" s="9"/>
      <c r="AL432" s="1"/>
      <c r="AM432" s="1"/>
      <c r="AN432" s="1"/>
      <c r="AO432" s="9"/>
      <c r="AP432" s="9"/>
      <c r="AQ432" s="1"/>
      <c r="AR432" s="9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7"/>
      <c r="AK433" s="9"/>
      <c r="AL433" s="1"/>
      <c r="AM433" s="1"/>
      <c r="AN433" s="1"/>
      <c r="AO433" s="9"/>
      <c r="AP433" s="9"/>
      <c r="AQ433" s="1"/>
      <c r="AR433" s="9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7"/>
      <c r="AK434" s="9"/>
      <c r="AL434" s="1"/>
      <c r="AM434" s="1"/>
      <c r="AN434" s="1"/>
      <c r="AO434" s="9"/>
      <c r="AP434" s="9"/>
      <c r="AQ434" s="1"/>
      <c r="AR434" s="9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7"/>
      <c r="AK435" s="9"/>
      <c r="AL435" s="1"/>
      <c r="AM435" s="1"/>
      <c r="AN435" s="1"/>
      <c r="AO435" s="9"/>
      <c r="AP435" s="9"/>
      <c r="AQ435" s="1"/>
      <c r="AR435" s="9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7"/>
      <c r="AK436" s="9"/>
      <c r="AL436" s="1"/>
      <c r="AM436" s="1"/>
      <c r="AN436" s="1"/>
      <c r="AO436" s="9"/>
      <c r="AP436" s="9"/>
      <c r="AQ436" s="1"/>
      <c r="AR436" s="9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7"/>
      <c r="AK437" s="9"/>
      <c r="AL437" s="1"/>
      <c r="AM437" s="1"/>
      <c r="AN437" s="1"/>
      <c r="AO437" s="9"/>
      <c r="AP437" s="9"/>
      <c r="AQ437" s="1"/>
      <c r="AR437" s="9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7"/>
      <c r="AK438" s="9"/>
      <c r="AL438" s="1"/>
      <c r="AM438" s="1"/>
      <c r="AN438" s="1"/>
      <c r="AO438" s="9"/>
      <c r="AP438" s="9"/>
      <c r="AQ438" s="1"/>
      <c r="AR438" s="9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7"/>
      <c r="AK439" s="9"/>
      <c r="AL439" s="1"/>
      <c r="AM439" s="1"/>
      <c r="AN439" s="1"/>
      <c r="AO439" s="9"/>
      <c r="AP439" s="9"/>
      <c r="AQ439" s="1"/>
      <c r="AR439" s="9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7"/>
      <c r="AK440" s="9"/>
      <c r="AL440" s="1"/>
      <c r="AM440" s="1"/>
      <c r="AN440" s="1"/>
      <c r="AO440" s="9"/>
      <c r="AP440" s="9"/>
      <c r="AQ440" s="1"/>
      <c r="AR440" s="9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7"/>
      <c r="AK441" s="9"/>
      <c r="AL441" s="1"/>
      <c r="AM441" s="1"/>
      <c r="AN441" s="1"/>
      <c r="AO441" s="9"/>
      <c r="AP441" s="9"/>
      <c r="AQ441" s="1"/>
      <c r="AR441" s="9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7"/>
      <c r="AK442" s="9"/>
      <c r="AL442" s="1"/>
      <c r="AM442" s="1"/>
      <c r="AN442" s="1"/>
      <c r="AO442" s="9"/>
      <c r="AP442" s="9"/>
      <c r="AQ442" s="1"/>
      <c r="AR442" s="9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7"/>
      <c r="AK443" s="9"/>
      <c r="AL443" s="1"/>
      <c r="AM443" s="1"/>
      <c r="AN443" s="1"/>
      <c r="AO443" s="9"/>
      <c r="AP443" s="9"/>
      <c r="AQ443" s="1"/>
      <c r="AR443" s="9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7"/>
      <c r="AK444" s="9"/>
      <c r="AL444" s="1"/>
      <c r="AM444" s="1"/>
      <c r="AN444" s="1"/>
      <c r="AO444" s="9"/>
      <c r="AP444" s="9"/>
      <c r="AQ444" s="1"/>
      <c r="AR444" s="9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7"/>
      <c r="AK445" s="9"/>
      <c r="AL445" s="1"/>
      <c r="AM445" s="1"/>
      <c r="AN445" s="1"/>
      <c r="AO445" s="9"/>
      <c r="AP445" s="9"/>
      <c r="AQ445" s="1"/>
      <c r="AR445" s="9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7"/>
      <c r="AK446" s="9"/>
      <c r="AL446" s="1"/>
      <c r="AM446" s="1"/>
      <c r="AN446" s="1"/>
      <c r="AO446" s="9"/>
      <c r="AP446" s="9"/>
      <c r="AQ446" s="1"/>
      <c r="AR446" s="9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7"/>
      <c r="AK447" s="9"/>
      <c r="AL447" s="1"/>
      <c r="AM447" s="1"/>
      <c r="AN447" s="1"/>
      <c r="AO447" s="9"/>
      <c r="AP447" s="9"/>
      <c r="AQ447" s="1"/>
      <c r="AR447" s="9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7"/>
      <c r="AK448" s="9"/>
      <c r="AL448" s="1"/>
      <c r="AM448" s="1"/>
      <c r="AN448" s="1"/>
      <c r="AO448" s="9"/>
      <c r="AP448" s="9"/>
      <c r="AQ448" s="1"/>
      <c r="AR448" s="9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7"/>
      <c r="AK449" s="9"/>
      <c r="AL449" s="1"/>
      <c r="AM449" s="1"/>
      <c r="AN449" s="1"/>
      <c r="AO449" s="9"/>
      <c r="AP449" s="9"/>
      <c r="AQ449" s="1"/>
      <c r="AR449" s="9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7"/>
      <c r="AK450" s="9"/>
      <c r="AL450" s="1"/>
      <c r="AM450" s="1"/>
      <c r="AN450" s="1"/>
      <c r="AO450" s="9"/>
      <c r="AP450" s="9"/>
      <c r="AQ450" s="1"/>
      <c r="AR450" s="9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7"/>
      <c r="AK451" s="9"/>
      <c r="AL451" s="1"/>
      <c r="AM451" s="1"/>
      <c r="AN451" s="1"/>
      <c r="AO451" s="9"/>
      <c r="AP451" s="9"/>
      <c r="AQ451" s="1"/>
      <c r="AR451" s="9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7"/>
      <c r="AK452" s="9"/>
      <c r="AL452" s="1"/>
      <c r="AM452" s="1"/>
      <c r="AN452" s="1"/>
      <c r="AO452" s="9"/>
      <c r="AP452" s="9"/>
      <c r="AQ452" s="1"/>
      <c r="AR452" s="9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7"/>
      <c r="AK453" s="9"/>
      <c r="AL453" s="1"/>
      <c r="AM453" s="1"/>
      <c r="AN453" s="1"/>
      <c r="AO453" s="9"/>
      <c r="AP453" s="9"/>
      <c r="AQ453" s="1"/>
      <c r="AR453" s="9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7"/>
      <c r="AK454" s="9"/>
      <c r="AL454" s="1"/>
      <c r="AM454" s="1"/>
      <c r="AN454" s="1"/>
      <c r="AO454" s="9"/>
      <c r="AP454" s="9"/>
      <c r="AQ454" s="1"/>
      <c r="AR454" s="9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7"/>
      <c r="AK455" s="9"/>
      <c r="AL455" s="1"/>
      <c r="AM455" s="1"/>
      <c r="AN455" s="1"/>
      <c r="AO455" s="9"/>
      <c r="AP455" s="9"/>
      <c r="AQ455" s="1"/>
      <c r="AR455" s="9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7"/>
      <c r="AK456" s="9"/>
      <c r="AL456" s="1"/>
      <c r="AM456" s="1"/>
      <c r="AN456" s="1"/>
      <c r="AO456" s="9"/>
      <c r="AP456" s="9"/>
      <c r="AQ456" s="1"/>
      <c r="AR456" s="9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7"/>
      <c r="AK457" s="9"/>
      <c r="AL457" s="1"/>
      <c r="AM457" s="1"/>
      <c r="AN457" s="1"/>
      <c r="AO457" s="9"/>
      <c r="AP457" s="9"/>
      <c r="AQ457" s="1"/>
      <c r="AR457" s="9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7"/>
      <c r="AK458" s="9"/>
      <c r="AL458" s="1"/>
      <c r="AM458" s="1"/>
      <c r="AN458" s="1"/>
      <c r="AO458" s="9"/>
      <c r="AP458" s="9"/>
      <c r="AQ458" s="1"/>
      <c r="AR458" s="9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7"/>
      <c r="AK459" s="9"/>
      <c r="AL459" s="1"/>
      <c r="AM459" s="1"/>
      <c r="AN459" s="1"/>
      <c r="AO459" s="9"/>
      <c r="AP459" s="9"/>
      <c r="AQ459" s="1"/>
      <c r="AR459" s="9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7"/>
      <c r="AK460" s="9"/>
      <c r="AL460" s="1"/>
      <c r="AM460" s="1"/>
      <c r="AN460" s="1"/>
      <c r="AO460" s="9"/>
      <c r="AP460" s="9"/>
      <c r="AQ460" s="1"/>
      <c r="AR460" s="9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7"/>
      <c r="AK461" s="9"/>
      <c r="AL461" s="1"/>
      <c r="AM461" s="1"/>
      <c r="AN461" s="1"/>
      <c r="AO461" s="9"/>
      <c r="AP461" s="9"/>
      <c r="AQ461" s="1"/>
      <c r="AR461" s="9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7"/>
      <c r="AK462" s="9"/>
      <c r="AL462" s="1"/>
      <c r="AM462" s="1"/>
      <c r="AN462" s="1"/>
      <c r="AO462" s="9"/>
      <c r="AP462" s="9"/>
      <c r="AQ462" s="1"/>
      <c r="AR462" s="9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7"/>
      <c r="AK463" s="9"/>
      <c r="AL463" s="1"/>
      <c r="AM463" s="1"/>
      <c r="AN463" s="1"/>
      <c r="AO463" s="9"/>
      <c r="AP463" s="9"/>
      <c r="AQ463" s="1"/>
      <c r="AR463" s="9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7"/>
      <c r="AK464" s="9"/>
      <c r="AL464" s="1"/>
      <c r="AM464" s="1"/>
      <c r="AN464" s="1"/>
      <c r="AO464" s="9"/>
      <c r="AP464" s="9"/>
      <c r="AQ464" s="1"/>
      <c r="AR464" s="9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7"/>
      <c r="AK465" s="9"/>
      <c r="AL465" s="1"/>
      <c r="AM465" s="1"/>
      <c r="AN465" s="1"/>
      <c r="AO465" s="9"/>
      <c r="AP465" s="9"/>
      <c r="AQ465" s="1"/>
      <c r="AR465" s="9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7"/>
      <c r="AK466" s="9"/>
      <c r="AL466" s="1"/>
      <c r="AM466" s="1"/>
      <c r="AN466" s="1"/>
      <c r="AO466" s="9"/>
      <c r="AP466" s="9"/>
      <c r="AQ466" s="1"/>
      <c r="AR466" s="9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7"/>
      <c r="AK467" s="9"/>
      <c r="AL467" s="1"/>
      <c r="AM467" s="1"/>
      <c r="AN467" s="1"/>
      <c r="AO467" s="9"/>
      <c r="AP467" s="9"/>
      <c r="AQ467" s="1"/>
      <c r="AR467" s="9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7"/>
      <c r="AK468" s="9"/>
      <c r="AL468" s="1"/>
      <c r="AM468" s="1"/>
      <c r="AN468" s="1"/>
      <c r="AO468" s="9"/>
      <c r="AP468" s="9"/>
      <c r="AQ468" s="1"/>
      <c r="AR468" s="9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7"/>
      <c r="AK469" s="9"/>
      <c r="AL469" s="1"/>
      <c r="AM469" s="1"/>
      <c r="AN469" s="1"/>
      <c r="AO469" s="9"/>
      <c r="AP469" s="9"/>
      <c r="AQ469" s="1"/>
      <c r="AR469" s="9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7"/>
      <c r="AK470" s="9"/>
      <c r="AL470" s="1"/>
      <c r="AM470" s="1"/>
      <c r="AN470" s="1"/>
      <c r="AO470" s="9"/>
      <c r="AP470" s="9"/>
      <c r="AQ470" s="1"/>
      <c r="AR470" s="9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7"/>
      <c r="AK471" s="9"/>
      <c r="AL471" s="1"/>
      <c r="AM471" s="1"/>
      <c r="AN471" s="1"/>
      <c r="AO471" s="9"/>
      <c r="AP471" s="9"/>
      <c r="AQ471" s="1"/>
      <c r="AR471" s="9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7"/>
      <c r="AK472" s="9"/>
      <c r="AL472" s="1"/>
      <c r="AM472" s="1"/>
      <c r="AN472" s="1"/>
      <c r="AO472" s="9"/>
      <c r="AP472" s="9"/>
      <c r="AQ472" s="1"/>
      <c r="AR472" s="9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7"/>
      <c r="AK473" s="9"/>
      <c r="AL473" s="1"/>
      <c r="AM473" s="1"/>
      <c r="AN473" s="1"/>
      <c r="AO473" s="9"/>
      <c r="AP473" s="9"/>
      <c r="AQ473" s="1"/>
      <c r="AR473" s="9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7"/>
      <c r="AK474" s="9"/>
      <c r="AL474" s="1"/>
      <c r="AM474" s="1"/>
      <c r="AN474" s="1"/>
      <c r="AO474" s="9"/>
      <c r="AP474" s="9"/>
      <c r="AQ474" s="1"/>
      <c r="AR474" s="9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7"/>
      <c r="AK475" s="9"/>
      <c r="AL475" s="1"/>
      <c r="AM475" s="1"/>
      <c r="AN475" s="1"/>
      <c r="AO475" s="9"/>
      <c r="AP475" s="9"/>
      <c r="AQ475" s="1"/>
      <c r="AR475" s="9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7"/>
      <c r="AK476" s="9"/>
      <c r="AL476" s="1"/>
      <c r="AM476" s="1"/>
      <c r="AN476" s="1"/>
      <c r="AO476" s="9"/>
      <c r="AP476" s="9"/>
      <c r="AQ476" s="1"/>
      <c r="AR476" s="9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7"/>
      <c r="AK477" s="9"/>
      <c r="AL477" s="1"/>
      <c r="AM477" s="1"/>
      <c r="AN477" s="1"/>
      <c r="AO477" s="9"/>
      <c r="AP477" s="9"/>
      <c r="AQ477" s="1"/>
      <c r="AR477" s="9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7"/>
      <c r="AK478" s="9"/>
      <c r="AL478" s="1"/>
      <c r="AM478" s="1"/>
      <c r="AN478" s="1"/>
      <c r="AO478" s="9"/>
      <c r="AP478" s="9"/>
      <c r="AQ478" s="1"/>
      <c r="AR478" s="9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7"/>
      <c r="AK479" s="9"/>
      <c r="AL479" s="1"/>
      <c r="AM479" s="1"/>
      <c r="AN479" s="1"/>
      <c r="AO479" s="9"/>
      <c r="AP479" s="9"/>
      <c r="AQ479" s="1"/>
      <c r="AR479" s="9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7"/>
      <c r="AK480" s="9"/>
      <c r="AL480" s="1"/>
      <c r="AM480" s="1"/>
      <c r="AN480" s="1"/>
      <c r="AO480" s="9"/>
      <c r="AP480" s="9"/>
      <c r="AQ480" s="1"/>
      <c r="AR480" s="9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7"/>
      <c r="AK481" s="9"/>
      <c r="AL481" s="1"/>
      <c r="AM481" s="1"/>
      <c r="AN481" s="1"/>
      <c r="AO481" s="9"/>
      <c r="AP481" s="9"/>
      <c r="AQ481" s="1"/>
      <c r="AR481" s="9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7"/>
      <c r="AK482" s="9"/>
      <c r="AL482" s="1"/>
      <c r="AM482" s="1"/>
      <c r="AN482" s="1"/>
      <c r="AO482" s="9"/>
      <c r="AP482" s="9"/>
      <c r="AQ482" s="1"/>
      <c r="AR482" s="9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7"/>
      <c r="AK483" s="9"/>
      <c r="AL483" s="1"/>
      <c r="AM483" s="1"/>
      <c r="AN483" s="1"/>
      <c r="AO483" s="9"/>
      <c r="AP483" s="9"/>
      <c r="AQ483" s="1"/>
      <c r="AR483" s="9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7"/>
      <c r="AK484" s="9"/>
      <c r="AL484" s="1"/>
      <c r="AM484" s="1"/>
      <c r="AN484" s="1"/>
      <c r="AO484" s="9"/>
      <c r="AP484" s="9"/>
      <c r="AQ484" s="1"/>
      <c r="AR484" s="9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7"/>
      <c r="AK485" s="9"/>
      <c r="AL485" s="1"/>
      <c r="AM485" s="1"/>
      <c r="AN485" s="1"/>
      <c r="AO485" s="9"/>
      <c r="AP485" s="9"/>
      <c r="AQ485" s="1"/>
      <c r="AR485" s="9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7"/>
      <c r="AK486" s="9"/>
      <c r="AL486" s="1"/>
      <c r="AM486" s="1"/>
      <c r="AN486" s="1"/>
      <c r="AO486" s="9"/>
      <c r="AP486" s="9"/>
      <c r="AQ486" s="1"/>
      <c r="AR486" s="9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7"/>
      <c r="AK487" s="9"/>
      <c r="AL487" s="1"/>
      <c r="AM487" s="1"/>
      <c r="AN487" s="1"/>
      <c r="AO487" s="9"/>
      <c r="AP487" s="9"/>
      <c r="AQ487" s="1"/>
      <c r="AR487" s="9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7"/>
      <c r="AK488" s="9"/>
      <c r="AL488" s="1"/>
      <c r="AM488" s="1"/>
      <c r="AN488" s="1"/>
      <c r="AO488" s="9"/>
      <c r="AP488" s="9"/>
      <c r="AQ488" s="1"/>
      <c r="AR488" s="9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7"/>
      <c r="AK489" s="9"/>
      <c r="AL489" s="1"/>
      <c r="AM489" s="1"/>
      <c r="AN489" s="1"/>
      <c r="AO489" s="9"/>
      <c r="AP489" s="9"/>
      <c r="AQ489" s="1"/>
      <c r="AR489" s="9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7"/>
      <c r="AK490" s="9"/>
      <c r="AL490" s="1"/>
      <c r="AM490" s="1"/>
      <c r="AN490" s="1"/>
      <c r="AO490" s="9"/>
      <c r="AP490" s="9"/>
      <c r="AQ490" s="1"/>
      <c r="AR490" s="9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7"/>
      <c r="AK491" s="9"/>
      <c r="AL491" s="1"/>
      <c r="AM491" s="1"/>
      <c r="AN491" s="1"/>
      <c r="AO491" s="9"/>
      <c r="AP491" s="9"/>
      <c r="AQ491" s="1"/>
      <c r="AR491" s="9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7"/>
      <c r="AK492" s="9"/>
      <c r="AL492" s="1"/>
      <c r="AM492" s="1"/>
      <c r="AN492" s="1"/>
      <c r="AO492" s="9"/>
      <c r="AP492" s="9"/>
      <c r="AQ492" s="1"/>
      <c r="AR492" s="9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7"/>
      <c r="AK493" s="9"/>
      <c r="AL493" s="1"/>
      <c r="AM493" s="1"/>
      <c r="AN493" s="1"/>
      <c r="AO493" s="9"/>
      <c r="AP493" s="9"/>
      <c r="AQ493" s="1"/>
      <c r="AR493" s="9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7"/>
      <c r="AK494" s="9"/>
      <c r="AL494" s="1"/>
      <c r="AM494" s="1"/>
      <c r="AN494" s="1"/>
      <c r="AO494" s="9"/>
      <c r="AP494" s="9"/>
      <c r="AQ494" s="1"/>
      <c r="AR494" s="9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7"/>
      <c r="AK495" s="9"/>
      <c r="AL495" s="1"/>
      <c r="AM495" s="1"/>
      <c r="AN495" s="1"/>
      <c r="AO495" s="9"/>
      <c r="AP495" s="9"/>
      <c r="AQ495" s="1"/>
      <c r="AR495" s="9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7"/>
      <c r="AK496" s="9"/>
      <c r="AL496" s="1"/>
      <c r="AM496" s="1"/>
      <c r="AN496" s="1"/>
      <c r="AO496" s="9"/>
      <c r="AP496" s="9"/>
      <c r="AQ496" s="1"/>
      <c r="AR496" s="9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7"/>
      <c r="AK497" s="9"/>
      <c r="AL497" s="1"/>
      <c r="AM497" s="1"/>
      <c r="AN497" s="1"/>
      <c r="AO497" s="9"/>
      <c r="AP497" s="9"/>
      <c r="AQ497" s="1"/>
      <c r="AR497" s="9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7"/>
      <c r="AK498" s="9"/>
      <c r="AL498" s="1"/>
      <c r="AM498" s="1"/>
      <c r="AN498" s="1"/>
      <c r="AO498" s="9"/>
      <c r="AP498" s="9"/>
      <c r="AQ498" s="1"/>
      <c r="AR498" s="9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7"/>
      <c r="AK499" s="9"/>
      <c r="AL499" s="1"/>
      <c r="AM499" s="1"/>
      <c r="AN499" s="1"/>
      <c r="AO499" s="9"/>
      <c r="AP499" s="9"/>
      <c r="AQ499" s="1"/>
      <c r="AR499" s="9"/>
      <c r="AS499" s="1"/>
      <c r="AT499" s="1"/>
      <c r="AU499" s="1"/>
      <c r="AV499" s="1"/>
      <c r="AW499" s="1"/>
      <c r="AX499" s="1"/>
    </row>
  </sheetData>
  <autoFilter ref="A3:AR86" xr:uid="{4166FE5D-3B2D-4E4F-AC39-96D992A1AC14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2026-10-15T11:29:58Z</dcterms:created>
  <dcterms:modified xsi:type="dcterms:W3CDTF">2026-10-16T12:14:59Z</dcterms:modified>
</cp:coreProperties>
</file>