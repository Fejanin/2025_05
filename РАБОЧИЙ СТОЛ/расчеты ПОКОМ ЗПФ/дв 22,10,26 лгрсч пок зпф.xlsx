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"/>
    </mc:Choice>
  </mc:AlternateContent>
  <xr:revisionPtr revIDLastSave="0" documentId="13_ncr:1_{09FB1815-604C-4056-BFC0-ABD8FC7E3D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Sheet!$A$3:$AL$89</definedName>
  </definedNames>
  <calcPr calcId="191029"/>
</workbook>
</file>

<file path=xl/calcChain.xml><?xml version="1.0" encoding="utf-8"?>
<calcChain xmlns="http://schemas.openxmlformats.org/spreadsheetml/2006/main">
  <c r="AF88" i="1" l="1"/>
  <c r="AF63" i="1"/>
  <c r="AH43" i="1"/>
  <c r="AL43" i="1" s="1"/>
  <c r="AF42" i="1"/>
  <c r="AH41" i="1"/>
  <c r="AL41" i="1" s="1"/>
  <c r="P89" i="1"/>
  <c r="T89" i="1" s="1"/>
  <c r="L89" i="1"/>
  <c r="AH88" i="1"/>
  <c r="AL88" i="1" s="1"/>
  <c r="P88" i="1"/>
  <c r="T88" i="1" s="1"/>
  <c r="L88" i="1"/>
  <c r="P87" i="1"/>
  <c r="T87" i="1" s="1"/>
  <c r="L87" i="1"/>
  <c r="P86" i="1"/>
  <c r="T86" i="1" s="1"/>
  <c r="L86" i="1"/>
  <c r="F85" i="1"/>
  <c r="E85" i="1"/>
  <c r="L85" i="1" s="1"/>
  <c r="P84" i="1"/>
  <c r="T84" i="1" s="1"/>
  <c r="L84" i="1"/>
  <c r="P83" i="1"/>
  <c r="T83" i="1" s="1"/>
  <c r="L83" i="1"/>
  <c r="F82" i="1"/>
  <c r="E82" i="1"/>
  <c r="P82" i="1" s="1"/>
  <c r="Q82" i="1" s="1"/>
  <c r="P81" i="1"/>
  <c r="T81" i="1" s="1"/>
  <c r="L81" i="1"/>
  <c r="P80" i="1"/>
  <c r="T80" i="1" s="1"/>
  <c r="L80" i="1"/>
  <c r="P79" i="1"/>
  <c r="T79" i="1" s="1"/>
  <c r="L79" i="1"/>
  <c r="P78" i="1"/>
  <c r="T78" i="1" s="1"/>
  <c r="L78" i="1"/>
  <c r="P77" i="1"/>
  <c r="T77" i="1" s="1"/>
  <c r="L77" i="1"/>
  <c r="F76" i="1"/>
  <c r="E76" i="1"/>
  <c r="L76" i="1" s="1"/>
  <c r="F75" i="1"/>
  <c r="E75" i="1"/>
  <c r="P75" i="1" s="1"/>
  <c r="P74" i="1"/>
  <c r="T74" i="1" s="1"/>
  <c r="L74" i="1"/>
  <c r="P73" i="1"/>
  <c r="T73" i="1" s="1"/>
  <c r="L73" i="1"/>
  <c r="P72" i="1"/>
  <c r="T72" i="1" s="1"/>
  <c r="L72" i="1"/>
  <c r="P71" i="1"/>
  <c r="T71" i="1" s="1"/>
  <c r="L71" i="1"/>
  <c r="P70" i="1"/>
  <c r="S70" i="1" s="1"/>
  <c r="L70" i="1"/>
  <c r="P69" i="1"/>
  <c r="S69" i="1" s="1"/>
  <c r="L69" i="1"/>
  <c r="P68" i="1"/>
  <c r="T68" i="1" s="1"/>
  <c r="L68" i="1"/>
  <c r="P67" i="1"/>
  <c r="T67" i="1" s="1"/>
  <c r="L67" i="1"/>
  <c r="F66" i="1"/>
  <c r="E66" i="1"/>
  <c r="P66" i="1" s="1"/>
  <c r="P65" i="1"/>
  <c r="T65" i="1" s="1"/>
  <c r="L65" i="1"/>
  <c r="F64" i="1"/>
  <c r="E64" i="1"/>
  <c r="P64" i="1" s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AH59" i="1"/>
  <c r="R59" i="1" s="1"/>
  <c r="AF59" i="1"/>
  <c r="P59" i="1"/>
  <c r="T59" i="1" s="1"/>
  <c r="L59" i="1"/>
  <c r="P58" i="1"/>
  <c r="Q58" i="1" s="1"/>
  <c r="L58" i="1"/>
  <c r="P57" i="1"/>
  <c r="Q57" i="1" s="1"/>
  <c r="L57" i="1"/>
  <c r="P56" i="1"/>
  <c r="T56" i="1" s="1"/>
  <c r="L56" i="1"/>
  <c r="P55" i="1"/>
  <c r="T55" i="1" s="1"/>
  <c r="L55" i="1"/>
  <c r="P54" i="1"/>
  <c r="T54" i="1" s="1"/>
  <c r="L54" i="1"/>
  <c r="AH53" i="1"/>
  <c r="AL53" i="1" s="1"/>
  <c r="AF53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F43" i="1"/>
  <c r="E43" i="1"/>
  <c r="P43" i="1" s="1"/>
  <c r="P42" i="1"/>
  <c r="T42" i="1" s="1"/>
  <c r="L42" i="1"/>
  <c r="P41" i="1"/>
  <c r="T41" i="1" s="1"/>
  <c r="L41" i="1"/>
  <c r="P40" i="1"/>
  <c r="T40" i="1" s="1"/>
  <c r="L40" i="1"/>
  <c r="P39" i="1"/>
  <c r="T39" i="1" s="1"/>
  <c r="L39" i="1"/>
  <c r="F38" i="1"/>
  <c r="E38" i="1"/>
  <c r="L38" i="1" s="1"/>
  <c r="P37" i="1"/>
  <c r="T37" i="1" s="1"/>
  <c r="L37" i="1"/>
  <c r="P36" i="1"/>
  <c r="T36" i="1" s="1"/>
  <c r="L36" i="1"/>
  <c r="P35" i="1"/>
  <c r="T35" i="1" s="1"/>
  <c r="L35" i="1"/>
  <c r="F34" i="1"/>
  <c r="E34" i="1"/>
  <c r="L34" i="1" s="1"/>
  <c r="P33" i="1"/>
  <c r="T33" i="1" s="1"/>
  <c r="L33" i="1"/>
  <c r="F32" i="1"/>
  <c r="E32" i="1"/>
  <c r="L32" i="1" s="1"/>
  <c r="P31" i="1"/>
  <c r="T31" i="1" s="1"/>
  <c r="L31" i="1"/>
  <c r="P30" i="1"/>
  <c r="Q30" i="1" s="1"/>
  <c r="L30" i="1"/>
  <c r="F29" i="1"/>
  <c r="E29" i="1"/>
  <c r="P29" i="1" s="1"/>
  <c r="P28" i="1"/>
  <c r="T28" i="1" s="1"/>
  <c r="L28" i="1"/>
  <c r="F27" i="1"/>
  <c r="E27" i="1"/>
  <c r="P27" i="1" s="1"/>
  <c r="P26" i="1"/>
  <c r="T26" i="1" s="1"/>
  <c r="L26" i="1"/>
  <c r="P25" i="1"/>
  <c r="T25" i="1" s="1"/>
  <c r="L25" i="1"/>
  <c r="F24" i="1"/>
  <c r="E24" i="1"/>
  <c r="F23" i="1"/>
  <c r="E23" i="1"/>
  <c r="P23" i="1" s="1"/>
  <c r="P22" i="1"/>
  <c r="T22" i="1" s="1"/>
  <c r="L22" i="1"/>
  <c r="P21" i="1"/>
  <c r="T21" i="1" s="1"/>
  <c r="L21" i="1"/>
  <c r="P20" i="1"/>
  <c r="T20" i="1" s="1"/>
  <c r="L20" i="1"/>
  <c r="F19" i="1"/>
  <c r="E19" i="1"/>
  <c r="L19" i="1" s="1"/>
  <c r="P18" i="1"/>
  <c r="T18" i="1" s="1"/>
  <c r="L18" i="1"/>
  <c r="P17" i="1"/>
  <c r="T17" i="1" s="1"/>
  <c r="L17" i="1"/>
  <c r="F16" i="1"/>
  <c r="E16" i="1"/>
  <c r="P16" i="1" s="1"/>
  <c r="P15" i="1"/>
  <c r="S15" i="1" s="1"/>
  <c r="L15" i="1"/>
  <c r="P14" i="1"/>
  <c r="T14" i="1" s="1"/>
  <c r="L14" i="1"/>
  <c r="P13" i="1"/>
  <c r="T13" i="1" s="1"/>
  <c r="L13" i="1"/>
  <c r="P12" i="1"/>
  <c r="T12" i="1" s="1"/>
  <c r="L12" i="1"/>
  <c r="F11" i="1"/>
  <c r="E11" i="1"/>
  <c r="L11" i="1" s="1"/>
  <c r="P10" i="1"/>
  <c r="S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64" i="1" l="1"/>
  <c r="Q27" i="1"/>
  <c r="Q66" i="1"/>
  <c r="AH66" i="1" s="1"/>
  <c r="R66" i="1" s="1"/>
  <c r="S66" i="1" s="1"/>
  <c r="Q39" i="1"/>
  <c r="Q16" i="1"/>
  <c r="AH16" i="1" s="1"/>
  <c r="AL16" i="1" s="1"/>
  <c r="T58" i="1"/>
  <c r="P32" i="1"/>
  <c r="T32" i="1" s="1"/>
  <c r="S37" i="1"/>
  <c r="AH82" i="1"/>
  <c r="AL82" i="1" s="1"/>
  <c r="AF82" i="1"/>
  <c r="L23" i="1"/>
  <c r="S77" i="1"/>
  <c r="S68" i="1"/>
  <c r="S6" i="1"/>
  <c r="S59" i="1"/>
  <c r="S18" i="1"/>
  <c r="Q17" i="1"/>
  <c r="AF17" i="1" s="1"/>
  <c r="Q29" i="1"/>
  <c r="AF29" i="1" s="1"/>
  <c r="P38" i="1"/>
  <c r="Q38" i="1" s="1"/>
  <c r="AH38" i="1" s="1"/>
  <c r="Q61" i="1"/>
  <c r="AH61" i="1" s="1"/>
  <c r="R61" i="1" s="1"/>
  <c r="S61" i="1" s="1"/>
  <c r="P11" i="1"/>
  <c r="T11" i="1" s="1"/>
  <c r="Q62" i="1"/>
  <c r="AH62" i="1" s="1"/>
  <c r="AI62" i="1" s="1"/>
  <c r="AH64" i="1"/>
  <c r="AI64" i="1" s="1"/>
  <c r="AF64" i="1"/>
  <c r="AH9" i="1"/>
  <c r="R9" i="1" s="1"/>
  <c r="S9" i="1" s="1"/>
  <c r="AF9" i="1"/>
  <c r="AF30" i="1"/>
  <c r="AH30" i="1"/>
  <c r="R30" i="1" s="1"/>
  <c r="S30" i="1" s="1"/>
  <c r="AH57" i="1"/>
  <c r="R57" i="1" s="1"/>
  <c r="S57" i="1" s="1"/>
  <c r="AF57" i="1"/>
  <c r="AH75" i="1"/>
  <c r="AL75" i="1" s="1"/>
  <c r="AF75" i="1"/>
  <c r="AH58" i="1"/>
  <c r="AI58" i="1" s="1"/>
  <c r="AF58" i="1"/>
  <c r="AH27" i="1"/>
  <c r="AI27" i="1" s="1"/>
  <c r="AF27" i="1"/>
  <c r="AH23" i="1"/>
  <c r="AI23" i="1" s="1"/>
  <c r="AF23" i="1"/>
  <c r="AF46" i="1"/>
  <c r="AH46" i="1"/>
  <c r="AI46" i="1" s="1"/>
  <c r="AH32" i="1"/>
  <c r="AF32" i="1"/>
  <c r="Q44" i="1"/>
  <c r="S14" i="1"/>
  <c r="L16" i="1"/>
  <c r="Q25" i="1"/>
  <c r="Q49" i="1"/>
  <c r="T23" i="1"/>
  <c r="T57" i="1"/>
  <c r="Q50" i="1"/>
  <c r="AH42" i="1"/>
  <c r="AL42" i="1" s="1"/>
  <c r="Q51" i="1"/>
  <c r="Q80" i="1"/>
  <c r="T30" i="1"/>
  <c r="T43" i="1"/>
  <c r="P76" i="1"/>
  <c r="T82" i="1"/>
  <c r="Q52" i="1"/>
  <c r="Q81" i="1"/>
  <c r="Q31" i="1"/>
  <c r="E5" i="1"/>
  <c r="AF43" i="1"/>
  <c r="AH83" i="1"/>
  <c r="R83" i="1" s="1"/>
  <c r="S83" i="1" s="1"/>
  <c r="Q55" i="1"/>
  <c r="AH55" i="1" s="1"/>
  <c r="AI55" i="1" s="1"/>
  <c r="Q84" i="1"/>
  <c r="AH63" i="1"/>
  <c r="AL63" i="1" s="1"/>
  <c r="P19" i="1"/>
  <c r="Q19" i="1" s="1"/>
  <c r="Q40" i="1"/>
  <c r="Q60" i="1"/>
  <c r="Q89" i="1"/>
  <c r="AF11" i="1"/>
  <c r="R53" i="1"/>
  <c r="S53" i="1" s="1"/>
  <c r="AH11" i="1"/>
  <c r="AL11" i="1" s="1"/>
  <c r="AF41" i="1"/>
  <c r="S13" i="1"/>
  <c r="S67" i="1"/>
  <c r="S28" i="1"/>
  <c r="T64" i="1"/>
  <c r="S22" i="1"/>
  <c r="L64" i="1"/>
  <c r="T15" i="1"/>
  <c r="F5" i="1"/>
  <c r="AI53" i="1"/>
  <c r="T69" i="1"/>
  <c r="T70" i="1"/>
  <c r="P85" i="1"/>
  <c r="Q85" i="1" s="1"/>
  <c r="AH85" i="1" s="1"/>
  <c r="R85" i="1" s="1"/>
  <c r="S85" i="1" s="1"/>
  <c r="T66" i="1"/>
  <c r="L27" i="1"/>
  <c r="L66" i="1"/>
  <c r="S72" i="1"/>
  <c r="P34" i="1"/>
  <c r="T29" i="1"/>
  <c r="T75" i="1"/>
  <c r="T27" i="1"/>
  <c r="AI59" i="1"/>
  <c r="T16" i="1"/>
  <c r="S71" i="1"/>
  <c r="S79" i="1"/>
  <c r="R88" i="1"/>
  <c r="S88" i="1" s="1"/>
  <c r="L24" i="1"/>
  <c r="P24" i="1"/>
  <c r="T24" i="1" s="1"/>
  <c r="S7" i="1"/>
  <c r="L29" i="1"/>
  <c r="S35" i="1"/>
  <c r="L82" i="1"/>
  <c r="T10" i="1"/>
  <c r="L75" i="1"/>
  <c r="AI88" i="1"/>
  <c r="L43" i="1"/>
  <c r="R41" i="1"/>
  <c r="S41" i="1" s="1"/>
  <c r="R43" i="1"/>
  <c r="S43" i="1" s="1"/>
  <c r="S65" i="1"/>
  <c r="S21" i="1"/>
  <c r="S12" i="1"/>
  <c r="AL59" i="1"/>
  <c r="AI41" i="1"/>
  <c r="AI43" i="1"/>
  <c r="AI66" i="1" l="1"/>
  <c r="AL66" i="1"/>
  <c r="AF66" i="1"/>
  <c r="AI16" i="1"/>
  <c r="R75" i="1"/>
  <c r="S75" i="1" s="1"/>
  <c r="R16" i="1"/>
  <c r="S16" i="1" s="1"/>
  <c r="AF16" i="1"/>
  <c r="AF61" i="1"/>
  <c r="AI63" i="1"/>
  <c r="AL57" i="1"/>
  <c r="AI57" i="1"/>
  <c r="AH29" i="1"/>
  <c r="R63" i="1"/>
  <c r="S63" i="1" s="1"/>
  <c r="R82" i="1"/>
  <c r="S82" i="1" s="1"/>
  <c r="AI82" i="1"/>
  <c r="AH17" i="1"/>
  <c r="AI17" i="1" s="1"/>
  <c r="AF62" i="1"/>
  <c r="AI61" i="1"/>
  <c r="R42" i="1"/>
  <c r="S42" i="1" s="1"/>
  <c r="AL61" i="1"/>
  <c r="AL62" i="1"/>
  <c r="T38" i="1"/>
  <c r="AL64" i="1"/>
  <c r="R64" i="1"/>
  <c r="S64" i="1" s="1"/>
  <c r="R62" i="1"/>
  <c r="S62" i="1" s="1"/>
  <c r="AF38" i="1"/>
  <c r="T19" i="1"/>
  <c r="AL30" i="1"/>
  <c r="AI42" i="1"/>
  <c r="AL9" i="1"/>
  <c r="AI9" i="1"/>
  <c r="AH49" i="1"/>
  <c r="AF49" i="1"/>
  <c r="AH33" i="1"/>
  <c r="AF33" i="1"/>
  <c r="P5" i="1"/>
  <c r="AF54" i="1"/>
  <c r="AH54" i="1"/>
  <c r="AH26" i="1"/>
  <c r="AF26" i="1"/>
  <c r="AL23" i="1"/>
  <c r="AL58" i="1"/>
  <c r="R58" i="1"/>
  <c r="S58" i="1" s="1"/>
  <c r="AH48" i="1"/>
  <c r="AF48" i="1"/>
  <c r="AF25" i="1"/>
  <c r="AH25" i="1"/>
  <c r="AH89" i="1"/>
  <c r="AF89" i="1"/>
  <c r="AF31" i="1"/>
  <c r="AH31" i="1"/>
  <c r="T34" i="1"/>
  <c r="Q34" i="1"/>
  <c r="AH60" i="1"/>
  <c r="AF60" i="1"/>
  <c r="AF81" i="1"/>
  <c r="AH81" i="1"/>
  <c r="AH74" i="1"/>
  <c r="AF74" i="1"/>
  <c r="AH40" i="1"/>
  <c r="AF40" i="1"/>
  <c r="AH52" i="1"/>
  <c r="AF52" i="1"/>
  <c r="AH47" i="1"/>
  <c r="AF47" i="1"/>
  <c r="AL55" i="1"/>
  <c r="AH19" i="1"/>
  <c r="AF19" i="1"/>
  <c r="AH73" i="1"/>
  <c r="AF73" i="1"/>
  <c r="AF39" i="1"/>
  <c r="AH39" i="1"/>
  <c r="T76" i="1"/>
  <c r="Q76" i="1"/>
  <c r="AF45" i="1"/>
  <c r="AH45" i="1"/>
  <c r="AH84" i="1"/>
  <c r="AF84" i="1"/>
  <c r="AL85" i="1"/>
  <c r="AF85" i="1"/>
  <c r="R55" i="1"/>
  <c r="S55" i="1" s="1"/>
  <c r="AH8" i="1"/>
  <c r="AF8" i="1"/>
  <c r="AF20" i="1"/>
  <c r="AH20" i="1"/>
  <c r="R38" i="1"/>
  <c r="S38" i="1" s="1"/>
  <c r="AL38" i="1"/>
  <c r="AI38" i="1"/>
  <c r="AF55" i="1"/>
  <c r="AI75" i="1"/>
  <c r="AI85" i="1"/>
  <c r="AH87" i="1"/>
  <c r="AF87" i="1"/>
  <c r="AH44" i="1"/>
  <c r="AF44" i="1"/>
  <c r="AH86" i="1"/>
  <c r="AF86" i="1"/>
  <c r="AH80" i="1"/>
  <c r="AF80" i="1"/>
  <c r="AI83" i="1"/>
  <c r="AH36" i="1"/>
  <c r="AF36" i="1"/>
  <c r="AH51" i="1"/>
  <c r="AF51" i="1"/>
  <c r="R32" i="1"/>
  <c r="S32" i="1" s="1"/>
  <c r="AL32" i="1"/>
  <c r="AI32" i="1"/>
  <c r="R27" i="1"/>
  <c r="S27" i="1" s="1"/>
  <c r="T85" i="1"/>
  <c r="AL27" i="1"/>
  <c r="AL83" i="1"/>
  <c r="AH56" i="1"/>
  <c r="AF56" i="1"/>
  <c r="AL46" i="1"/>
  <c r="R46" i="1"/>
  <c r="S46" i="1" s="1"/>
  <c r="AL29" i="1"/>
  <c r="AI29" i="1"/>
  <c r="R29" i="1"/>
  <c r="S29" i="1" s="1"/>
  <c r="AF50" i="1"/>
  <c r="AH50" i="1"/>
  <c r="R23" i="1"/>
  <c r="AI30" i="1"/>
  <c r="AF83" i="1"/>
  <c r="AF78" i="1"/>
  <c r="AH78" i="1"/>
  <c r="R11" i="1"/>
  <c r="S11" i="1" s="1"/>
  <c r="AI11" i="1"/>
  <c r="L5" i="1"/>
  <c r="R17" i="1" l="1"/>
  <c r="S17" i="1" s="1"/>
  <c r="AL17" i="1"/>
  <c r="R48" i="1"/>
  <c r="S48" i="1" s="1"/>
  <c r="AI48" i="1"/>
  <c r="AL48" i="1"/>
  <c r="AI25" i="1"/>
  <c r="AL25" i="1"/>
  <c r="R25" i="1"/>
  <c r="S25" i="1" s="1"/>
  <c r="AI73" i="1"/>
  <c r="AL73" i="1"/>
  <c r="R73" i="1"/>
  <c r="S73" i="1" s="1"/>
  <c r="AL78" i="1"/>
  <c r="AI78" i="1"/>
  <c r="R78" i="1"/>
  <c r="S78" i="1" s="1"/>
  <c r="AI8" i="1"/>
  <c r="R8" i="1"/>
  <c r="S8" i="1" s="1"/>
  <c r="AL8" i="1"/>
  <c r="AI40" i="1"/>
  <c r="R40" i="1"/>
  <c r="S40" i="1" s="1"/>
  <c r="AL40" i="1"/>
  <c r="AI19" i="1"/>
  <c r="R19" i="1"/>
  <c r="S19" i="1" s="1"/>
  <c r="AL19" i="1"/>
  <c r="AI52" i="1"/>
  <c r="R52" i="1"/>
  <c r="S52" i="1" s="1"/>
  <c r="AL52" i="1"/>
  <c r="AL26" i="1"/>
  <c r="AI26" i="1"/>
  <c r="R26" i="1"/>
  <c r="S26" i="1" s="1"/>
  <c r="AI74" i="1"/>
  <c r="R74" i="1"/>
  <c r="S74" i="1" s="1"/>
  <c r="AL74" i="1"/>
  <c r="AL54" i="1"/>
  <c r="AI54" i="1"/>
  <c r="R54" i="1"/>
  <c r="S54" i="1" s="1"/>
  <c r="AL80" i="1"/>
  <c r="AI80" i="1"/>
  <c r="R80" i="1"/>
  <c r="S80" i="1" s="1"/>
  <c r="AL84" i="1"/>
  <c r="R84" i="1"/>
  <c r="S84" i="1" s="1"/>
  <c r="AI84" i="1"/>
  <c r="R81" i="1"/>
  <c r="S81" i="1" s="1"/>
  <c r="AI81" i="1"/>
  <c r="AL81" i="1"/>
  <c r="AI36" i="1"/>
  <c r="AL36" i="1"/>
  <c r="R36" i="1"/>
  <c r="S36" i="1" s="1"/>
  <c r="AI45" i="1"/>
  <c r="AL45" i="1"/>
  <c r="R45" i="1"/>
  <c r="S45" i="1" s="1"/>
  <c r="AH24" i="1"/>
  <c r="AF24" i="1"/>
  <c r="Q5" i="1"/>
  <c r="AL89" i="1"/>
  <c r="R89" i="1"/>
  <c r="S89" i="1" s="1"/>
  <c r="AI89" i="1"/>
  <c r="AL47" i="1"/>
  <c r="AI47" i="1"/>
  <c r="R47" i="1"/>
  <c r="S47" i="1" s="1"/>
  <c r="AF5" i="1"/>
  <c r="AL51" i="1"/>
  <c r="AI51" i="1"/>
  <c r="R51" i="1"/>
  <c r="S51" i="1" s="1"/>
  <c r="R50" i="1"/>
  <c r="S50" i="1" s="1"/>
  <c r="AI50" i="1"/>
  <c r="AL50" i="1"/>
  <c r="AL86" i="1"/>
  <c r="AI86" i="1"/>
  <c r="R86" i="1"/>
  <c r="S86" i="1" s="1"/>
  <c r="AL44" i="1"/>
  <c r="R44" i="1"/>
  <c r="S44" i="1" s="1"/>
  <c r="AI44" i="1"/>
  <c r="AH76" i="1"/>
  <c r="AF76" i="1"/>
  <c r="AL60" i="1"/>
  <c r="R60" i="1"/>
  <c r="S60" i="1" s="1"/>
  <c r="AI60" i="1"/>
  <c r="AF34" i="1"/>
  <c r="AH34" i="1"/>
  <c r="AH5" i="1" s="1"/>
  <c r="R33" i="1"/>
  <c r="S33" i="1" s="1"/>
  <c r="AL33" i="1"/>
  <c r="AI33" i="1"/>
  <c r="R20" i="1"/>
  <c r="S20" i="1" s="1"/>
  <c r="AI20" i="1"/>
  <c r="AL20" i="1"/>
  <c r="AL56" i="1"/>
  <c r="AI56" i="1"/>
  <c r="R56" i="1"/>
  <c r="S56" i="1" s="1"/>
  <c r="AL87" i="1"/>
  <c r="R87" i="1"/>
  <c r="S87" i="1" s="1"/>
  <c r="AI87" i="1"/>
  <c r="R39" i="1"/>
  <c r="S39" i="1" s="1"/>
  <c r="AL39" i="1"/>
  <c r="AI39" i="1"/>
  <c r="S23" i="1"/>
  <c r="AL31" i="1"/>
  <c r="R31" i="1"/>
  <c r="S31" i="1" s="1"/>
  <c r="AI31" i="1"/>
  <c r="AL49" i="1"/>
  <c r="AI49" i="1"/>
  <c r="R49" i="1"/>
  <c r="S49" i="1" s="1"/>
  <c r="R34" i="1" l="1"/>
  <c r="S34" i="1" s="1"/>
  <c r="AL34" i="1"/>
  <c r="AI34" i="1"/>
  <c r="AL76" i="1"/>
  <c r="R76" i="1"/>
  <c r="S76" i="1" s="1"/>
  <c r="AI76" i="1"/>
  <c r="AL24" i="1"/>
  <c r="AL5" i="1" s="1"/>
  <c r="R24" i="1"/>
  <c r="S24" i="1" s="1"/>
  <c r="AI24" i="1"/>
  <c r="AI5" i="1" s="1"/>
  <c r="R5" i="1" l="1"/>
</calcChain>
</file>

<file path=xl/sharedStrings.xml><?xml version="1.0" encoding="utf-8"?>
<sst xmlns="http://schemas.openxmlformats.org/spreadsheetml/2006/main" count="334" uniqueCount="198">
  <si>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</si>
  <si>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</si>
  <si>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</si>
  <si>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</si>
  <si>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</si>
  <si>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</si>
  <si>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</si>
  <si>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</si>
  <si>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</si>
  <si>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</si>
  <si>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</si>
  <si>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</si>
  <si>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</si>
  <si>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</si>
  <si>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</si>
  <si>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</si>
  <si>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</si>
  <si>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</si>
  <si>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</si>
  <si>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</si>
  <si>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</si>
  <si>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</si>
  <si>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</si>
  <si>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</si>
  <si>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</si>
  <si>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</si>
  <si>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</si>
  <si>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</si>
  <si>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</si>
  <si>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19,10,</t>
  </si>
  <si>
    <t>22,10,</t>
  </si>
  <si>
    <t>15,10,</t>
  </si>
  <si>
    <t>13,10,</t>
  </si>
  <si>
    <t>08,10,</t>
  </si>
  <si>
    <t>01,10,</t>
  </si>
  <si>
    <t>24,09,</t>
  </si>
  <si>
    <t>15,09,</t>
  </si>
  <si>
    <t>10,09,</t>
  </si>
  <si>
    <t>08,09,</t>
  </si>
  <si>
    <t>03,09,</t>
  </si>
  <si>
    <t>27,08,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</si>
  <si>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</si>
  <si>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</si>
  <si>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</si>
  <si>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</si>
  <si>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</si>
  <si>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</si>
  <si>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</si>
  <si>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</si>
  <si>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Вареники Медвежье ушко Премиум с картофелем и лесными грибами клас. форма флоу-пак 0,6 кг  ПОКОМ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</si>
  <si>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</si>
  <si>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</si>
  <si>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</si>
  <si>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</si>
  <si>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</si>
  <si>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</si>
  <si>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</si>
  <si>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</si>
  <si>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</si>
  <si>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</si>
  <si>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</si>
  <si>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</si>
  <si>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</si>
  <si>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</si>
  <si>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</si>
  <si>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</si>
  <si>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</si>
  <si>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</si>
  <si>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</si>
  <si>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</si>
  <si>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</si>
  <si>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</si>
  <si>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</si>
  <si>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</si>
  <si>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</si>
  <si>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</si>
  <si>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</si>
  <si>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</si>
  <si>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</si>
  <si>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</si>
  <si>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</si>
  <si>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</si>
  <si>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</si>
  <si>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</si>
  <si>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</si>
  <si>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</si>
  <si>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нужно увеличить продажи</t>
  </si>
  <si>
    <t>Круггетсы сочные ТМ Горячая штучка ТС Круггетсы 0,25 кг зам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</si>
  <si>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</si>
  <si>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</si>
  <si>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</si>
  <si>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</si>
  <si>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</si>
  <si>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</si>
  <si>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</si>
  <si>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</si>
  <si>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Сливушки в темпуре ТМ Вязанка флоу-пак 0,23 кг  ПОКОМ</t>
  </si>
  <si>
    <t>SU004023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</si>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</sst>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1" fillId="4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5" sqref="AE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5" customWidth="1"/>
    <col min="21" max="30" width="6" customWidth="1"/>
    <col min="31" max="31" width="34.57031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SUM(E6:E494)</f>
        <v>26321</v>
      </c>
      <c r="F5" s="4">
        <f>SUM(F6:F494)</f>
        <v>51976.9</v>
      </c>
      <c r="G5" s="7"/>
      <c r="H5" s="1"/>
      <c r="I5" s="1"/>
      <c r="J5" s="1"/>
      <c r="K5" s="4">
        <f t="shared" ref="K5:R5" si="0">SUM(K6:K494)</f>
        <v>22754.899999999998</v>
      </c>
      <c r="L5" s="4">
        <f t="shared" si="0"/>
        <v>3566.0999999999995</v>
      </c>
      <c r="M5" s="4">
        <f t="shared" si="0"/>
        <v>0</v>
      </c>
      <c r="N5" s="4">
        <f t="shared" si="0"/>
        <v>0</v>
      </c>
      <c r="O5" s="4">
        <f t="shared" si="0"/>
        <v>12512.4</v>
      </c>
      <c r="P5" s="4">
        <f t="shared" si="0"/>
        <v>5264.1999999999989</v>
      </c>
      <c r="Q5" s="4">
        <f t="shared" si="0"/>
        <v>16072.3</v>
      </c>
      <c r="R5" s="4">
        <f t="shared" si="0"/>
        <v>16481.2</v>
      </c>
      <c r="S5" s="1"/>
      <c r="T5" s="1"/>
      <c r="U5" s="4">
        <f t="shared" ref="U5:AD5" si="1">SUM(U6:U494)</f>
        <v>5475.3200000000015</v>
      </c>
      <c r="V5" s="4">
        <f t="shared" si="1"/>
        <v>5785.56</v>
      </c>
      <c r="W5" s="4">
        <f t="shared" si="1"/>
        <v>5370.1799999999994</v>
      </c>
      <c r="X5" s="4">
        <f t="shared" si="1"/>
        <v>4773.3</v>
      </c>
      <c r="Y5" s="4">
        <f t="shared" si="1"/>
        <v>5515.4999999999991</v>
      </c>
      <c r="Z5" s="4">
        <f t="shared" si="1"/>
        <v>4977.2</v>
      </c>
      <c r="AA5" s="4">
        <f t="shared" si="1"/>
        <v>4438.5200000000004</v>
      </c>
      <c r="AB5" s="4">
        <f t="shared" si="1"/>
        <v>4423.74</v>
      </c>
      <c r="AC5" s="4">
        <f t="shared" si="1"/>
        <v>3764.58</v>
      </c>
      <c r="AD5" s="4">
        <f t="shared" si="1"/>
        <v>4526.4400000000005</v>
      </c>
      <c r="AE5" s="1"/>
      <c r="AF5" s="4">
        <f>SUM(AF6:AF494)</f>
        <v>7248.2099999999982</v>
      </c>
      <c r="AG5" s="7"/>
      <c r="AH5" s="11">
        <f>SUM(AH6:AH494)</f>
        <v>1936</v>
      </c>
      <c r="AI5" s="4">
        <f>SUM(AI6:AI494)</f>
        <v>7442.8399999999992</v>
      </c>
      <c r="AJ5" s="1"/>
      <c r="AK5" s="1"/>
      <c r="AL5" s="11">
        <f>SUM(AL6:AL494)</f>
        <v>22.592063492063495</v>
      </c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4" t="s">
        <v>41</v>
      </c>
      <c r="B6" s="14" t="s">
        <v>42</v>
      </c>
      <c r="C6" s="14">
        <v>5</v>
      </c>
      <c r="D6" s="14">
        <v>308</v>
      </c>
      <c r="E6" s="19">
        <v>191</v>
      </c>
      <c r="F6" s="19">
        <v>51</v>
      </c>
      <c r="G6" s="15">
        <v>0</v>
      </c>
      <c r="H6" s="14"/>
      <c r="I6" s="14" t="s">
        <v>43</v>
      </c>
      <c r="J6" s="14" t="s">
        <v>44</v>
      </c>
      <c r="K6" s="14">
        <v>271</v>
      </c>
      <c r="L6" s="14">
        <f t="shared" ref="L6:L37" si="2">E6-K6</f>
        <v>-80</v>
      </c>
      <c r="M6" s="14"/>
      <c r="N6" s="14"/>
      <c r="O6" s="14"/>
      <c r="P6" s="14">
        <f t="shared" ref="P6:P37" si="3">E6/5</f>
        <v>38.200000000000003</v>
      </c>
      <c r="Q6" s="16"/>
      <c r="R6" s="16"/>
      <c r="S6" s="14">
        <f t="shared" ref="S6:S37" si="4">(F6+O6+R6)/P6</f>
        <v>1.3350785340314135</v>
      </c>
      <c r="T6" s="14">
        <f t="shared" ref="T6:T37" si="5">(F6+O6)/P6</f>
        <v>1.3350785340314135</v>
      </c>
      <c r="U6" s="14">
        <v>58.8</v>
      </c>
      <c r="V6" s="14">
        <v>61.2</v>
      </c>
      <c r="W6" s="14">
        <v>55.4</v>
      </c>
      <c r="X6" s="14">
        <v>55.2</v>
      </c>
      <c r="Y6" s="14">
        <v>61.6</v>
      </c>
      <c r="Z6" s="14">
        <v>72.2</v>
      </c>
      <c r="AA6" s="14">
        <v>54.2</v>
      </c>
      <c r="AB6" s="14">
        <v>51.6</v>
      </c>
      <c r="AC6" s="14">
        <v>53.6</v>
      </c>
      <c r="AD6" s="14">
        <v>80.599999999999994</v>
      </c>
      <c r="AE6" s="14"/>
      <c r="AF6" s="14"/>
      <c r="AG6" s="15"/>
      <c r="AH6" s="17"/>
      <c r="AI6" s="14"/>
      <c r="AJ6" s="14"/>
      <c r="AK6" s="14"/>
      <c r="AL6" s="17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4" t="s">
        <v>45</v>
      </c>
      <c r="B7" s="14" t="s">
        <v>42</v>
      </c>
      <c r="C7" s="14">
        <v>78</v>
      </c>
      <c r="D7" s="14">
        <v>70</v>
      </c>
      <c r="E7" s="19">
        <v>120</v>
      </c>
      <c r="F7" s="19">
        <v>-14</v>
      </c>
      <c r="G7" s="15">
        <v>0</v>
      </c>
      <c r="H7" s="14"/>
      <c r="I7" s="14" t="s">
        <v>43</v>
      </c>
      <c r="J7" s="14" t="s">
        <v>46</v>
      </c>
      <c r="K7" s="14">
        <v>122</v>
      </c>
      <c r="L7" s="14">
        <f t="shared" si="2"/>
        <v>-2</v>
      </c>
      <c r="M7" s="14"/>
      <c r="N7" s="14"/>
      <c r="O7" s="14"/>
      <c r="P7" s="14">
        <f t="shared" si="3"/>
        <v>24</v>
      </c>
      <c r="Q7" s="16"/>
      <c r="R7" s="16"/>
      <c r="S7" s="14">
        <f t="shared" si="4"/>
        <v>-0.58333333333333337</v>
      </c>
      <c r="T7" s="14">
        <f t="shared" si="5"/>
        <v>-0.58333333333333337</v>
      </c>
      <c r="U7" s="14">
        <v>30.4</v>
      </c>
      <c r="V7" s="14">
        <v>32</v>
      </c>
      <c r="W7" s="14">
        <v>24.4</v>
      </c>
      <c r="X7" s="14">
        <v>28.2</v>
      </c>
      <c r="Y7" s="14">
        <v>27.4</v>
      </c>
      <c r="Z7" s="14">
        <v>23.2</v>
      </c>
      <c r="AA7" s="14">
        <v>29.2</v>
      </c>
      <c r="AB7" s="14">
        <v>24.2</v>
      </c>
      <c r="AC7" s="14">
        <v>3.4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47</v>
      </c>
      <c r="B8" s="1" t="s">
        <v>42</v>
      </c>
      <c r="C8" s="1">
        <v>44</v>
      </c>
      <c r="D8" s="1">
        <v>174</v>
      </c>
      <c r="E8" s="1">
        <v>52</v>
      </c>
      <c r="F8" s="1">
        <v>156</v>
      </c>
      <c r="G8" s="7">
        <v>0.22</v>
      </c>
      <c r="H8" s="1">
        <v>180</v>
      </c>
      <c r="I8" s="1" t="s">
        <v>48</v>
      </c>
      <c r="J8" s="1"/>
      <c r="K8" s="1">
        <v>59</v>
      </c>
      <c r="L8" s="1">
        <f t="shared" si="2"/>
        <v>-7</v>
      </c>
      <c r="M8" s="1"/>
      <c r="N8" s="1"/>
      <c r="O8" s="1">
        <v>168</v>
      </c>
      <c r="P8" s="1">
        <f t="shared" si="3"/>
        <v>10.4</v>
      </c>
      <c r="Q8" s="5"/>
      <c r="R8" s="5">
        <f>AG8*AH8</f>
        <v>0</v>
      </c>
      <c r="S8" s="1">
        <f t="shared" si="4"/>
        <v>31.153846153846153</v>
      </c>
      <c r="T8" s="1">
        <f t="shared" si="5"/>
        <v>31.153846153846153</v>
      </c>
      <c r="U8" s="1">
        <v>16.600000000000001</v>
      </c>
      <c r="V8" s="1">
        <v>14.4</v>
      </c>
      <c r="W8" s="1">
        <v>8.1999999999999993</v>
      </c>
      <c r="X8" s="1">
        <v>6</v>
      </c>
      <c r="Y8" s="1">
        <v>26.8</v>
      </c>
      <c r="Z8" s="1">
        <v>13</v>
      </c>
      <c r="AA8" s="1">
        <v>12.2</v>
      </c>
      <c r="AB8" s="1">
        <v>13.8</v>
      </c>
      <c r="AC8" s="1">
        <v>12.8</v>
      </c>
      <c r="AD8" s="1">
        <v>8.8000000000000007</v>
      </c>
      <c r="AE8" s="1"/>
      <c r="AF8" s="1">
        <f>G8*Q8</f>
        <v>0</v>
      </c>
      <c r="AG8" s="7">
        <v>12</v>
      </c>
      <c r="AH8" s="9">
        <f>MROUND(Q8, AG8*AJ8)/AG8</f>
        <v>0</v>
      </c>
      <c r="AI8" s="1">
        <f>AH8*AG8*G8</f>
        <v>0</v>
      </c>
      <c r="AJ8" s="1">
        <v>14</v>
      </c>
      <c r="AK8" s="1">
        <v>70</v>
      </c>
      <c r="AL8" s="9">
        <f>AH8/AK8</f>
        <v>0</v>
      </c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49</v>
      </c>
      <c r="B9" s="1" t="s">
        <v>42</v>
      </c>
      <c r="C9" s="1"/>
      <c r="D9" s="1">
        <v>360</v>
      </c>
      <c r="E9" s="1">
        <v>9</v>
      </c>
      <c r="F9" s="1">
        <v>300</v>
      </c>
      <c r="G9" s="7">
        <v>0.6</v>
      </c>
      <c r="H9" s="1">
        <v>180</v>
      </c>
      <c r="I9" s="1" t="s">
        <v>50</v>
      </c>
      <c r="J9" s="1"/>
      <c r="K9" s="1"/>
      <c r="L9" s="1">
        <f t="shared" si="2"/>
        <v>9</v>
      </c>
      <c r="M9" s="1"/>
      <c r="N9" s="1"/>
      <c r="O9" s="1">
        <v>0</v>
      </c>
      <c r="P9" s="1">
        <f t="shared" si="3"/>
        <v>1.8</v>
      </c>
      <c r="Q9" s="5"/>
      <c r="R9" s="5">
        <f>AG9*AH9</f>
        <v>0</v>
      </c>
      <c r="S9" s="1">
        <f t="shared" si="4"/>
        <v>166.66666666666666</v>
      </c>
      <c r="T9" s="1">
        <f t="shared" si="5"/>
        <v>166.66666666666666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 t="s">
        <v>51</v>
      </c>
      <c r="AF9" s="1">
        <f>G9*Q9</f>
        <v>0</v>
      </c>
      <c r="AG9" s="7">
        <v>10</v>
      </c>
      <c r="AH9" s="9">
        <f>MROUND(Q9, AG9*AJ9)/AG9</f>
        <v>0</v>
      </c>
      <c r="AI9" s="1">
        <f>AH9*AG9*G9</f>
        <v>0</v>
      </c>
      <c r="AJ9" s="1">
        <v>12</v>
      </c>
      <c r="AK9" s="1">
        <v>84</v>
      </c>
      <c r="AL9" s="9">
        <f>AH9/AK9</f>
        <v>0</v>
      </c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4" t="s">
        <v>52</v>
      </c>
      <c r="B10" s="14" t="s">
        <v>42</v>
      </c>
      <c r="C10" s="14">
        <v>643</v>
      </c>
      <c r="D10" s="14">
        <v>3071</v>
      </c>
      <c r="E10" s="19">
        <v>896</v>
      </c>
      <c r="F10" s="19">
        <v>2160</v>
      </c>
      <c r="G10" s="15">
        <v>0</v>
      </c>
      <c r="H10" s="14">
        <v>180</v>
      </c>
      <c r="I10" s="14" t="s">
        <v>53</v>
      </c>
      <c r="J10" s="14" t="s">
        <v>54</v>
      </c>
      <c r="K10" s="14">
        <v>972</v>
      </c>
      <c r="L10" s="14">
        <f t="shared" si="2"/>
        <v>-76</v>
      </c>
      <c r="M10" s="14"/>
      <c r="N10" s="14"/>
      <c r="O10" s="14"/>
      <c r="P10" s="14">
        <f t="shared" si="3"/>
        <v>179.2</v>
      </c>
      <c r="Q10" s="16"/>
      <c r="R10" s="16"/>
      <c r="S10" s="14">
        <f t="shared" si="4"/>
        <v>12.053571428571429</v>
      </c>
      <c r="T10" s="14">
        <f t="shared" si="5"/>
        <v>12.053571428571429</v>
      </c>
      <c r="U10" s="14">
        <v>57.2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/>
      <c r="AF10" s="14"/>
      <c r="AG10" s="15"/>
      <c r="AH10" s="17"/>
      <c r="AI10" s="14"/>
      <c r="AJ10" s="14"/>
      <c r="AK10" s="14"/>
      <c r="AL10" s="17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55</v>
      </c>
      <c r="B11" s="1" t="s">
        <v>42</v>
      </c>
      <c r="C11" s="1">
        <v>-41</v>
      </c>
      <c r="D11" s="1">
        <v>59</v>
      </c>
      <c r="E11" s="19">
        <f>18+E68</f>
        <v>179</v>
      </c>
      <c r="F11" s="19">
        <f>-12+F68</f>
        <v>549</v>
      </c>
      <c r="G11" s="7">
        <v>0.3</v>
      </c>
      <c r="H11" s="1">
        <v>180</v>
      </c>
      <c r="I11" s="1" t="s">
        <v>56</v>
      </c>
      <c r="J11" s="1"/>
      <c r="K11" s="1">
        <v>18</v>
      </c>
      <c r="L11" s="1">
        <f t="shared" si="2"/>
        <v>161</v>
      </c>
      <c r="M11" s="1"/>
      <c r="N11" s="1"/>
      <c r="O11" s="1">
        <v>0</v>
      </c>
      <c r="P11" s="1">
        <f t="shared" si="3"/>
        <v>35.799999999999997</v>
      </c>
      <c r="Q11" s="5"/>
      <c r="R11" s="5">
        <f>AG11*AH11</f>
        <v>0</v>
      </c>
      <c r="S11" s="1">
        <f t="shared" si="4"/>
        <v>15.335195530726258</v>
      </c>
      <c r="T11" s="1">
        <f t="shared" si="5"/>
        <v>15.335195530726258</v>
      </c>
      <c r="U11" s="1">
        <v>18.8</v>
      </c>
      <c r="V11" s="1">
        <v>25.6</v>
      </c>
      <c r="W11" s="1">
        <v>36.6</v>
      </c>
      <c r="X11" s="1">
        <v>49.8</v>
      </c>
      <c r="Y11" s="1">
        <v>26.4</v>
      </c>
      <c r="Z11" s="1">
        <v>45</v>
      </c>
      <c r="AA11" s="1">
        <v>17.8</v>
      </c>
      <c r="AB11" s="1">
        <v>13.4</v>
      </c>
      <c r="AC11" s="1">
        <v>22.4</v>
      </c>
      <c r="AD11" s="1">
        <v>41.8</v>
      </c>
      <c r="AE11" s="1"/>
      <c r="AF11" s="1">
        <f>G11*Q11</f>
        <v>0</v>
      </c>
      <c r="AG11" s="7">
        <v>12</v>
      </c>
      <c r="AH11" s="9">
        <f>MROUND(Q11, AG11*AJ11)/AG11</f>
        <v>0</v>
      </c>
      <c r="AI11" s="1">
        <f>AH11*AG11*G11</f>
        <v>0</v>
      </c>
      <c r="AJ11" s="1">
        <v>14</v>
      </c>
      <c r="AK11" s="1">
        <v>70</v>
      </c>
      <c r="AL11" s="9">
        <f>AH11/AK11</f>
        <v>0</v>
      </c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4" t="s">
        <v>57</v>
      </c>
      <c r="B12" s="14" t="s">
        <v>42</v>
      </c>
      <c r="C12" s="14">
        <v>91</v>
      </c>
      <c r="D12" s="14">
        <v>1512</v>
      </c>
      <c r="E12" s="19">
        <v>432</v>
      </c>
      <c r="F12" s="19">
        <v>1087</v>
      </c>
      <c r="G12" s="15">
        <v>0</v>
      </c>
      <c r="H12" s="14">
        <v>180</v>
      </c>
      <c r="I12" s="14" t="s">
        <v>53</v>
      </c>
      <c r="J12" s="14" t="s">
        <v>58</v>
      </c>
      <c r="K12" s="14">
        <v>458</v>
      </c>
      <c r="L12" s="14">
        <f t="shared" si="2"/>
        <v>-26</v>
      </c>
      <c r="M12" s="14"/>
      <c r="N12" s="14"/>
      <c r="O12" s="14"/>
      <c r="P12" s="14">
        <f t="shared" si="3"/>
        <v>86.4</v>
      </c>
      <c r="Q12" s="16"/>
      <c r="R12" s="16"/>
      <c r="S12" s="14">
        <f t="shared" si="4"/>
        <v>12.581018518518517</v>
      </c>
      <c r="T12" s="14">
        <f t="shared" si="5"/>
        <v>12.581018518518517</v>
      </c>
      <c r="U12" s="14">
        <v>76.8</v>
      </c>
      <c r="V12" s="14">
        <v>78.400000000000006</v>
      </c>
      <c r="W12" s="14">
        <v>50.2</v>
      </c>
      <c r="X12" s="14">
        <v>19</v>
      </c>
      <c r="Y12" s="14">
        <v>1.4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/>
      <c r="AF12" s="14"/>
      <c r="AG12" s="15"/>
      <c r="AH12" s="17"/>
      <c r="AI12" s="14"/>
      <c r="AJ12" s="14"/>
      <c r="AK12" s="14"/>
      <c r="AL12" s="17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4" t="s">
        <v>59</v>
      </c>
      <c r="B13" s="14" t="s">
        <v>42</v>
      </c>
      <c r="C13" s="14"/>
      <c r="D13" s="14">
        <v>672</v>
      </c>
      <c r="E13" s="19">
        <v>44</v>
      </c>
      <c r="F13" s="19">
        <v>595</v>
      </c>
      <c r="G13" s="15">
        <v>0</v>
      </c>
      <c r="H13" s="14">
        <v>180</v>
      </c>
      <c r="I13" s="14" t="s">
        <v>53</v>
      </c>
      <c r="J13" s="14" t="s">
        <v>60</v>
      </c>
      <c r="K13" s="14">
        <v>50</v>
      </c>
      <c r="L13" s="14">
        <f t="shared" si="2"/>
        <v>-6</v>
      </c>
      <c r="M13" s="14"/>
      <c r="N13" s="14"/>
      <c r="O13" s="14"/>
      <c r="P13" s="14">
        <f t="shared" si="3"/>
        <v>8.8000000000000007</v>
      </c>
      <c r="Q13" s="16"/>
      <c r="R13" s="16"/>
      <c r="S13" s="14">
        <f t="shared" si="4"/>
        <v>67.61363636363636</v>
      </c>
      <c r="T13" s="14">
        <f t="shared" si="5"/>
        <v>67.61363636363636</v>
      </c>
      <c r="U13" s="14">
        <v>23</v>
      </c>
      <c r="V13" s="14">
        <v>28.6</v>
      </c>
      <c r="W13" s="14">
        <v>7.8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/>
      <c r="AF13" s="14"/>
      <c r="AG13" s="15"/>
      <c r="AH13" s="17"/>
      <c r="AI13" s="14"/>
      <c r="AJ13" s="14"/>
      <c r="AK13" s="14"/>
      <c r="AL13" s="17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4" t="s">
        <v>61</v>
      </c>
      <c r="B14" s="14" t="s">
        <v>42</v>
      </c>
      <c r="C14" s="14">
        <v>23</v>
      </c>
      <c r="D14" s="14">
        <v>1516</v>
      </c>
      <c r="E14" s="19">
        <v>214</v>
      </c>
      <c r="F14" s="19">
        <v>1048</v>
      </c>
      <c r="G14" s="15">
        <v>0</v>
      </c>
      <c r="H14" s="14"/>
      <c r="I14" s="14" t="s">
        <v>53</v>
      </c>
      <c r="J14" s="14" t="s">
        <v>62</v>
      </c>
      <c r="K14" s="14">
        <v>310</v>
      </c>
      <c r="L14" s="14">
        <f t="shared" si="2"/>
        <v>-96</v>
      </c>
      <c r="M14" s="14"/>
      <c r="N14" s="14"/>
      <c r="O14" s="14"/>
      <c r="P14" s="14">
        <f t="shared" si="3"/>
        <v>42.8</v>
      </c>
      <c r="Q14" s="16"/>
      <c r="R14" s="16"/>
      <c r="S14" s="14">
        <f t="shared" si="4"/>
        <v>24.485981308411215</v>
      </c>
      <c r="T14" s="14">
        <f t="shared" si="5"/>
        <v>24.485981308411215</v>
      </c>
      <c r="U14" s="14">
        <v>106.8</v>
      </c>
      <c r="V14" s="14">
        <v>100.6</v>
      </c>
      <c r="W14" s="14">
        <v>78.400000000000006</v>
      </c>
      <c r="X14" s="14">
        <v>67.8</v>
      </c>
      <c r="Y14" s="14">
        <v>57.8</v>
      </c>
      <c r="Z14" s="14">
        <v>3</v>
      </c>
      <c r="AA14" s="14">
        <v>1.6</v>
      </c>
      <c r="AB14" s="14">
        <v>0</v>
      </c>
      <c r="AC14" s="14">
        <v>0</v>
      </c>
      <c r="AD14" s="14">
        <v>0</v>
      </c>
      <c r="AE14" s="14"/>
      <c r="AF14" s="14"/>
      <c r="AG14" s="15"/>
      <c r="AH14" s="17"/>
      <c r="AI14" s="14"/>
      <c r="AJ14" s="14"/>
      <c r="AK14" s="14"/>
      <c r="AL14" s="17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4" t="s">
        <v>63</v>
      </c>
      <c r="B15" s="14" t="s">
        <v>42</v>
      </c>
      <c r="C15" s="14">
        <v>217</v>
      </c>
      <c r="D15" s="14">
        <v>175</v>
      </c>
      <c r="E15" s="19">
        <v>339</v>
      </c>
      <c r="F15" s="19">
        <v>5</v>
      </c>
      <c r="G15" s="15">
        <v>0</v>
      </c>
      <c r="H15" s="14">
        <v>180</v>
      </c>
      <c r="I15" s="14" t="s">
        <v>53</v>
      </c>
      <c r="J15" s="14" t="s">
        <v>64</v>
      </c>
      <c r="K15" s="14">
        <v>344</v>
      </c>
      <c r="L15" s="14">
        <f t="shared" si="2"/>
        <v>-5</v>
      </c>
      <c r="M15" s="14"/>
      <c r="N15" s="14"/>
      <c r="O15" s="14"/>
      <c r="P15" s="14">
        <f t="shared" si="3"/>
        <v>67.8</v>
      </c>
      <c r="Q15" s="16"/>
      <c r="R15" s="16"/>
      <c r="S15" s="14">
        <f t="shared" si="4"/>
        <v>7.3746312684365781E-2</v>
      </c>
      <c r="T15" s="14">
        <f t="shared" si="5"/>
        <v>7.3746312684365781E-2</v>
      </c>
      <c r="U15" s="14">
        <v>55</v>
      </c>
      <c r="V15" s="14">
        <v>42.6</v>
      </c>
      <c r="W15" s="14">
        <v>57</v>
      </c>
      <c r="X15" s="14">
        <v>24.8</v>
      </c>
      <c r="Y15" s="14">
        <v>0.4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/>
      <c r="AF15" s="14"/>
      <c r="AG15" s="15"/>
      <c r="AH15" s="17"/>
      <c r="AI15" s="14"/>
      <c r="AJ15" s="14"/>
      <c r="AK15" s="14"/>
      <c r="AL15" s="17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65</v>
      </c>
      <c r="B16" s="1" t="s">
        <v>42</v>
      </c>
      <c r="C16" s="1"/>
      <c r="D16" s="1">
        <v>19</v>
      </c>
      <c r="E16" s="19">
        <f>19+E69</f>
        <v>825</v>
      </c>
      <c r="F16" s="19">
        <f>-6+F69</f>
        <v>622</v>
      </c>
      <c r="G16" s="7">
        <v>0.28000000000000003</v>
      </c>
      <c r="H16" s="1">
        <v>180</v>
      </c>
      <c r="I16" s="1" t="s">
        <v>66</v>
      </c>
      <c r="J16" s="1"/>
      <c r="K16" s="1">
        <v>19</v>
      </c>
      <c r="L16" s="1">
        <f t="shared" si="2"/>
        <v>806</v>
      </c>
      <c r="M16" s="1"/>
      <c r="N16" s="1"/>
      <c r="O16" s="1">
        <v>0</v>
      </c>
      <c r="P16" s="1">
        <f t="shared" si="3"/>
        <v>165</v>
      </c>
      <c r="Q16" s="5">
        <f t="shared" ref="Q16:Q17" si="6">14*P16-O16-F16</f>
        <v>1688</v>
      </c>
      <c r="R16" s="5">
        <f>AG16*AH16</f>
        <v>1680</v>
      </c>
      <c r="S16" s="1">
        <f t="shared" si="4"/>
        <v>13.951515151515151</v>
      </c>
      <c r="T16" s="1">
        <f t="shared" si="5"/>
        <v>3.7696969696969695</v>
      </c>
      <c r="U16" s="1">
        <v>67.400000000000006</v>
      </c>
      <c r="V16" s="1">
        <v>83.6</v>
      </c>
      <c r="W16" s="1">
        <v>153.19999999999999</v>
      </c>
      <c r="X16" s="1">
        <v>179.8</v>
      </c>
      <c r="Y16" s="1">
        <v>123.6</v>
      </c>
      <c r="Z16" s="1">
        <v>169.8</v>
      </c>
      <c r="AA16" s="1">
        <v>104.8</v>
      </c>
      <c r="AB16" s="1">
        <v>125.8</v>
      </c>
      <c r="AC16" s="1">
        <v>114</v>
      </c>
      <c r="AD16" s="1">
        <v>140</v>
      </c>
      <c r="AE16" s="1"/>
      <c r="AF16" s="1">
        <f>G16*Q16</f>
        <v>472.64000000000004</v>
      </c>
      <c r="AG16" s="7">
        <v>6</v>
      </c>
      <c r="AH16" s="9">
        <f>MROUND(Q16, AG16*AJ16)/AG16</f>
        <v>280</v>
      </c>
      <c r="AI16" s="1">
        <f>AH16*AG16*G16</f>
        <v>470.40000000000003</v>
      </c>
      <c r="AJ16" s="1">
        <v>14</v>
      </c>
      <c r="AK16" s="1">
        <v>140</v>
      </c>
      <c r="AL16" s="9">
        <f>AH16/AK16</f>
        <v>2</v>
      </c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67</v>
      </c>
      <c r="B17" s="1" t="s">
        <v>42</v>
      </c>
      <c r="C17" s="1">
        <v>636</v>
      </c>
      <c r="D17" s="1">
        <v>856</v>
      </c>
      <c r="E17" s="1">
        <v>544</v>
      </c>
      <c r="F17" s="1">
        <v>866</v>
      </c>
      <c r="G17" s="7">
        <v>0.24</v>
      </c>
      <c r="H17" s="1">
        <v>180</v>
      </c>
      <c r="I17" s="1" t="s">
        <v>68</v>
      </c>
      <c r="J17" s="1"/>
      <c r="K17" s="1">
        <v>544</v>
      </c>
      <c r="L17" s="1">
        <f t="shared" si="2"/>
        <v>0</v>
      </c>
      <c r="M17" s="1"/>
      <c r="N17" s="1"/>
      <c r="O17" s="1">
        <v>0</v>
      </c>
      <c r="P17" s="1">
        <f t="shared" si="3"/>
        <v>108.8</v>
      </c>
      <c r="Q17" s="5">
        <f t="shared" si="6"/>
        <v>657.2</v>
      </c>
      <c r="R17" s="5">
        <f>AG17*AH17</f>
        <v>672</v>
      </c>
      <c r="S17" s="1">
        <f t="shared" si="4"/>
        <v>14.136029411764707</v>
      </c>
      <c r="T17" s="1">
        <f t="shared" si="5"/>
        <v>7.9595588235294121</v>
      </c>
      <c r="U17" s="1">
        <v>105.6</v>
      </c>
      <c r="V17" s="1">
        <v>117.8</v>
      </c>
      <c r="W17" s="1">
        <v>106.6</v>
      </c>
      <c r="X17" s="1">
        <v>125.2</v>
      </c>
      <c r="Y17" s="1">
        <v>142.6</v>
      </c>
      <c r="Z17" s="1">
        <v>105.2</v>
      </c>
      <c r="AA17" s="1">
        <v>84.6</v>
      </c>
      <c r="AB17" s="1">
        <v>97.2</v>
      </c>
      <c r="AC17" s="1">
        <v>81.8</v>
      </c>
      <c r="AD17" s="1">
        <v>102.8</v>
      </c>
      <c r="AE17" s="1"/>
      <c r="AF17" s="1">
        <f>G17*Q17</f>
        <v>157.72800000000001</v>
      </c>
      <c r="AG17" s="7">
        <v>12</v>
      </c>
      <c r="AH17" s="9">
        <f>MROUND(Q17, AG17*AJ17)/AG17</f>
        <v>56</v>
      </c>
      <c r="AI17" s="1">
        <f>AH17*AG17*G17</f>
        <v>161.28</v>
      </c>
      <c r="AJ17" s="1">
        <v>14</v>
      </c>
      <c r="AK17" s="1">
        <v>70</v>
      </c>
      <c r="AL17" s="9">
        <f>AH17/AK17</f>
        <v>0.8</v>
      </c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4" t="s">
        <v>69</v>
      </c>
      <c r="B18" s="14" t="s">
        <v>42</v>
      </c>
      <c r="C18" s="14">
        <v>371</v>
      </c>
      <c r="D18" s="14">
        <v>2028</v>
      </c>
      <c r="E18" s="19">
        <v>761</v>
      </c>
      <c r="F18" s="19">
        <v>1438</v>
      </c>
      <c r="G18" s="15">
        <v>0</v>
      </c>
      <c r="H18" s="14"/>
      <c r="I18" s="14" t="s">
        <v>53</v>
      </c>
      <c r="J18" s="14" t="s">
        <v>70</v>
      </c>
      <c r="K18" s="14">
        <v>797</v>
      </c>
      <c r="L18" s="14">
        <f t="shared" si="2"/>
        <v>-36</v>
      </c>
      <c r="M18" s="14"/>
      <c r="N18" s="14"/>
      <c r="O18" s="14"/>
      <c r="P18" s="14">
        <f t="shared" si="3"/>
        <v>152.19999999999999</v>
      </c>
      <c r="Q18" s="16"/>
      <c r="R18" s="16"/>
      <c r="S18" s="14">
        <f t="shared" si="4"/>
        <v>9.4480946123521683</v>
      </c>
      <c r="T18" s="14">
        <f t="shared" si="5"/>
        <v>9.4480946123521683</v>
      </c>
      <c r="U18" s="14">
        <v>115.4</v>
      </c>
      <c r="V18" s="14">
        <v>97.4</v>
      </c>
      <c r="W18" s="14">
        <v>93.6</v>
      </c>
      <c r="X18" s="14">
        <v>107.4</v>
      </c>
      <c r="Y18" s="14">
        <v>99</v>
      </c>
      <c r="Z18" s="14">
        <v>13.2</v>
      </c>
      <c r="AA18" s="14">
        <v>9.4</v>
      </c>
      <c r="AB18" s="14">
        <v>0</v>
      </c>
      <c r="AC18" s="14">
        <v>0</v>
      </c>
      <c r="AD18" s="14">
        <v>0</v>
      </c>
      <c r="AE18" s="14"/>
      <c r="AF18" s="14"/>
      <c r="AG18" s="15"/>
      <c r="AH18" s="17"/>
      <c r="AI18" s="14"/>
      <c r="AJ18" s="14"/>
      <c r="AK18" s="14"/>
      <c r="AL18" s="17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70</v>
      </c>
      <c r="B19" s="1" t="s">
        <v>42</v>
      </c>
      <c r="C19" s="1"/>
      <c r="D19" s="1">
        <v>28</v>
      </c>
      <c r="E19" s="19">
        <f>28+E18</f>
        <v>789</v>
      </c>
      <c r="F19" s="19">
        <f>0+F18</f>
        <v>1438</v>
      </c>
      <c r="G19" s="7">
        <v>0.24</v>
      </c>
      <c r="H19" s="1">
        <v>180</v>
      </c>
      <c r="I19" s="1" t="s">
        <v>71</v>
      </c>
      <c r="J19" s="1"/>
      <c r="K19" s="1">
        <v>29</v>
      </c>
      <c r="L19" s="1">
        <f t="shared" si="2"/>
        <v>760</v>
      </c>
      <c r="M19" s="1"/>
      <c r="N19" s="1"/>
      <c r="O19" s="1">
        <v>0</v>
      </c>
      <c r="P19" s="1">
        <f t="shared" si="3"/>
        <v>157.80000000000001</v>
      </c>
      <c r="Q19" s="5">
        <f t="shared" ref="Q19:Q20" si="7">14*P19-O19-F19</f>
        <v>771.20000000000027</v>
      </c>
      <c r="R19" s="5">
        <f>AG19*AH19</f>
        <v>840</v>
      </c>
      <c r="S19" s="1">
        <f t="shared" si="4"/>
        <v>14.435994930291507</v>
      </c>
      <c r="T19" s="1">
        <f t="shared" si="5"/>
        <v>9.1128010139416968</v>
      </c>
      <c r="U19" s="1">
        <v>161.4</v>
      </c>
      <c r="V19" s="1">
        <v>195.8</v>
      </c>
      <c r="W19" s="1">
        <v>176.2</v>
      </c>
      <c r="X19" s="1">
        <v>162.6</v>
      </c>
      <c r="Y19" s="1">
        <v>218.2</v>
      </c>
      <c r="Z19" s="1">
        <v>201.4</v>
      </c>
      <c r="AA19" s="1">
        <v>172</v>
      </c>
      <c r="AB19" s="1">
        <v>197</v>
      </c>
      <c r="AC19" s="1">
        <v>175.4</v>
      </c>
      <c r="AD19" s="1">
        <v>194.2</v>
      </c>
      <c r="AE19" s="1"/>
      <c r="AF19" s="1">
        <f>G19*Q19</f>
        <v>185.08800000000005</v>
      </c>
      <c r="AG19" s="7">
        <v>12</v>
      </c>
      <c r="AH19" s="9">
        <f>MROUND(Q19, AG19*AJ19)/AG19</f>
        <v>70</v>
      </c>
      <c r="AI19" s="1">
        <f>AH19*AG19*G19</f>
        <v>201.6</v>
      </c>
      <c r="AJ19" s="1">
        <v>14</v>
      </c>
      <c r="AK19" s="1">
        <v>70</v>
      </c>
      <c r="AL19" s="9">
        <f>AH19/AK19</f>
        <v>1</v>
      </c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72</v>
      </c>
      <c r="B20" s="1" t="s">
        <v>42</v>
      </c>
      <c r="C20" s="1">
        <v>125</v>
      </c>
      <c r="D20" s="1">
        <v>1853</v>
      </c>
      <c r="E20" s="1">
        <v>386</v>
      </c>
      <c r="F20" s="1">
        <v>1498</v>
      </c>
      <c r="G20" s="7">
        <v>0.24</v>
      </c>
      <c r="H20" s="1">
        <v>180</v>
      </c>
      <c r="I20" s="1" t="s">
        <v>73</v>
      </c>
      <c r="J20" s="1"/>
      <c r="K20" s="1">
        <v>445</v>
      </c>
      <c r="L20" s="1">
        <f t="shared" si="2"/>
        <v>-59</v>
      </c>
      <c r="M20" s="1"/>
      <c r="N20" s="1"/>
      <c r="O20" s="1">
        <v>168</v>
      </c>
      <c r="P20" s="1">
        <f t="shared" si="3"/>
        <v>77.2</v>
      </c>
      <c r="Q20" s="5"/>
      <c r="R20" s="5">
        <f>AG20*AH20</f>
        <v>0</v>
      </c>
      <c r="S20" s="1">
        <f t="shared" si="4"/>
        <v>21.580310880829014</v>
      </c>
      <c r="T20" s="1">
        <f t="shared" si="5"/>
        <v>21.580310880829014</v>
      </c>
      <c r="U20" s="1">
        <v>144.19999999999999</v>
      </c>
      <c r="V20" s="1">
        <v>158.6</v>
      </c>
      <c r="W20" s="1">
        <v>124.8</v>
      </c>
      <c r="X20" s="1">
        <v>118</v>
      </c>
      <c r="Y20" s="1">
        <v>131.6</v>
      </c>
      <c r="Z20" s="1">
        <v>144.80000000000001</v>
      </c>
      <c r="AA20" s="1">
        <v>113</v>
      </c>
      <c r="AB20" s="1">
        <v>111.2</v>
      </c>
      <c r="AC20" s="1">
        <v>91</v>
      </c>
      <c r="AD20" s="1">
        <v>114.2</v>
      </c>
      <c r="AE20" s="1"/>
      <c r="AF20" s="1">
        <f>G20*Q20</f>
        <v>0</v>
      </c>
      <c r="AG20" s="7">
        <v>12</v>
      </c>
      <c r="AH20" s="9">
        <f>MROUND(Q20, AG20*AJ20)/AG20</f>
        <v>0</v>
      </c>
      <c r="AI20" s="1">
        <f>AH20*AG20*G20</f>
        <v>0</v>
      </c>
      <c r="AJ20" s="1">
        <v>14</v>
      </c>
      <c r="AK20" s="1">
        <v>70</v>
      </c>
      <c r="AL20" s="9">
        <f>AH20/AK20</f>
        <v>0</v>
      </c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4" t="s">
        <v>74</v>
      </c>
      <c r="B21" s="14" t="s">
        <v>42</v>
      </c>
      <c r="C21" s="14">
        <v>21</v>
      </c>
      <c r="D21" s="14">
        <v>2688</v>
      </c>
      <c r="E21" s="19">
        <v>385</v>
      </c>
      <c r="F21" s="19">
        <v>1868</v>
      </c>
      <c r="G21" s="15">
        <v>0</v>
      </c>
      <c r="H21" s="14"/>
      <c r="I21" s="14" t="s">
        <v>53</v>
      </c>
      <c r="J21" s="14" t="s">
        <v>44</v>
      </c>
      <c r="K21" s="14">
        <v>638</v>
      </c>
      <c r="L21" s="14">
        <f t="shared" si="2"/>
        <v>-253</v>
      </c>
      <c r="M21" s="14"/>
      <c r="N21" s="14"/>
      <c r="O21" s="14"/>
      <c r="P21" s="14">
        <f t="shared" si="3"/>
        <v>77</v>
      </c>
      <c r="Q21" s="16"/>
      <c r="R21" s="16"/>
      <c r="S21" s="14">
        <f t="shared" si="4"/>
        <v>24.259740259740258</v>
      </c>
      <c r="T21" s="14">
        <f t="shared" si="5"/>
        <v>24.259740259740258</v>
      </c>
      <c r="U21" s="14">
        <v>105.6</v>
      </c>
      <c r="V21" s="14">
        <v>102.6</v>
      </c>
      <c r="W21" s="14">
        <v>80</v>
      </c>
      <c r="X21" s="14">
        <v>64.2</v>
      </c>
      <c r="Y21" s="14">
        <v>83</v>
      </c>
      <c r="Z21" s="14">
        <v>6</v>
      </c>
      <c r="AA21" s="14">
        <v>0</v>
      </c>
      <c r="AB21" s="14">
        <v>0</v>
      </c>
      <c r="AC21" s="14">
        <v>0</v>
      </c>
      <c r="AD21" s="14">
        <v>0</v>
      </c>
      <c r="AE21" s="14"/>
      <c r="AF21" s="14"/>
      <c r="AG21" s="15"/>
      <c r="AH21" s="17"/>
      <c r="AI21" s="14"/>
      <c r="AJ21" s="14"/>
      <c r="AK21" s="14"/>
      <c r="AL21" s="17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4" t="s">
        <v>75</v>
      </c>
      <c r="B22" s="14" t="s">
        <v>42</v>
      </c>
      <c r="C22" s="14">
        <v>14</v>
      </c>
      <c r="D22" s="14">
        <v>449</v>
      </c>
      <c r="E22" s="19">
        <v>129</v>
      </c>
      <c r="F22" s="19">
        <v>312</v>
      </c>
      <c r="G22" s="15">
        <v>0</v>
      </c>
      <c r="H22" s="14"/>
      <c r="I22" s="14" t="s">
        <v>53</v>
      </c>
      <c r="J22" s="14" t="s">
        <v>76</v>
      </c>
      <c r="K22" s="14">
        <v>125</v>
      </c>
      <c r="L22" s="14">
        <f t="shared" si="2"/>
        <v>4</v>
      </c>
      <c r="M22" s="14"/>
      <c r="N22" s="14"/>
      <c r="O22" s="14"/>
      <c r="P22" s="14">
        <f t="shared" si="3"/>
        <v>25.8</v>
      </c>
      <c r="Q22" s="16"/>
      <c r="R22" s="16"/>
      <c r="S22" s="14">
        <f t="shared" si="4"/>
        <v>12.093023255813954</v>
      </c>
      <c r="T22" s="14">
        <f t="shared" si="5"/>
        <v>12.093023255813954</v>
      </c>
      <c r="U22" s="14">
        <v>33.200000000000003</v>
      </c>
      <c r="V22" s="14">
        <v>31.6</v>
      </c>
      <c r="W22" s="14">
        <v>23.2</v>
      </c>
      <c r="X22" s="14">
        <v>24.6</v>
      </c>
      <c r="Y22" s="14">
        <v>18.8</v>
      </c>
      <c r="Z22" s="14">
        <v>7</v>
      </c>
      <c r="AA22" s="14">
        <v>0</v>
      </c>
      <c r="AB22" s="14">
        <v>0</v>
      </c>
      <c r="AC22" s="14">
        <v>0</v>
      </c>
      <c r="AD22" s="14">
        <v>0</v>
      </c>
      <c r="AE22" s="14"/>
      <c r="AF22" s="14"/>
      <c r="AG22" s="15"/>
      <c r="AH22" s="17"/>
      <c r="AI22" s="14"/>
      <c r="AJ22" s="14"/>
      <c r="AK22" s="14"/>
      <c r="AL22" s="17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20" t="s">
        <v>44</v>
      </c>
      <c r="B23" s="1" t="s">
        <v>42</v>
      </c>
      <c r="C23" s="1"/>
      <c r="D23" s="1"/>
      <c r="E23" s="19">
        <f>0+E6+E21</f>
        <v>576</v>
      </c>
      <c r="F23" s="19">
        <f>0+F6+F21</f>
        <v>1919</v>
      </c>
      <c r="G23" s="7">
        <v>0.24</v>
      </c>
      <c r="H23" s="1">
        <v>180</v>
      </c>
      <c r="I23" s="1" t="s">
        <v>77</v>
      </c>
      <c r="J23" s="1"/>
      <c r="K23" s="1"/>
      <c r="L23" s="1">
        <f t="shared" si="2"/>
        <v>576</v>
      </c>
      <c r="M23" s="1"/>
      <c r="N23" s="1"/>
      <c r="O23" s="1">
        <v>336</v>
      </c>
      <c r="P23" s="1">
        <f t="shared" si="3"/>
        <v>115.2</v>
      </c>
      <c r="Q23" s="5"/>
      <c r="R23" s="5">
        <f>AG23*AH23</f>
        <v>0</v>
      </c>
      <c r="S23" s="1">
        <f t="shared" si="4"/>
        <v>19.574652777777779</v>
      </c>
      <c r="T23" s="1">
        <f t="shared" si="5"/>
        <v>19.574652777777779</v>
      </c>
      <c r="U23" s="1">
        <v>222</v>
      </c>
      <c r="V23" s="1">
        <v>238.2</v>
      </c>
      <c r="W23" s="1">
        <v>209.8</v>
      </c>
      <c r="X23" s="1">
        <v>162.6</v>
      </c>
      <c r="Y23" s="1">
        <v>234.4</v>
      </c>
      <c r="Z23" s="1">
        <v>214.8</v>
      </c>
      <c r="AA23" s="1">
        <v>169</v>
      </c>
      <c r="AB23" s="1">
        <v>156.80000000000001</v>
      </c>
      <c r="AC23" s="1">
        <v>177.6</v>
      </c>
      <c r="AD23" s="1">
        <v>215</v>
      </c>
      <c r="AE23" s="1"/>
      <c r="AF23" s="1">
        <f>G23*Q23</f>
        <v>0</v>
      </c>
      <c r="AG23" s="7">
        <v>12</v>
      </c>
      <c r="AH23" s="9">
        <f>MROUND(Q23, AG23*AJ23)/AG23</f>
        <v>0</v>
      </c>
      <c r="AI23" s="1">
        <f>AH23*AG23*G23</f>
        <v>0</v>
      </c>
      <c r="AJ23" s="1">
        <v>14</v>
      </c>
      <c r="AK23" s="1">
        <v>70</v>
      </c>
      <c r="AL23" s="9">
        <f>AH23/AK23</f>
        <v>0</v>
      </c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20" t="s">
        <v>76</v>
      </c>
      <c r="B24" s="1" t="s">
        <v>42</v>
      </c>
      <c r="C24" s="1"/>
      <c r="D24" s="1"/>
      <c r="E24" s="19">
        <f>0+E22</f>
        <v>129</v>
      </c>
      <c r="F24" s="19">
        <f>0+F22</f>
        <v>312</v>
      </c>
      <c r="G24" s="7">
        <v>0.48</v>
      </c>
      <c r="H24" s="1">
        <v>180</v>
      </c>
      <c r="I24" s="1" t="s">
        <v>78</v>
      </c>
      <c r="J24" s="1"/>
      <c r="K24" s="1"/>
      <c r="L24" s="1">
        <f t="shared" si="2"/>
        <v>129</v>
      </c>
      <c r="M24" s="1"/>
      <c r="N24" s="1"/>
      <c r="O24" s="1">
        <v>112</v>
      </c>
      <c r="P24" s="1">
        <f t="shared" si="3"/>
        <v>25.8</v>
      </c>
      <c r="Q24" s="5"/>
      <c r="R24" s="5">
        <f>AG24*AH24</f>
        <v>0</v>
      </c>
      <c r="S24" s="1">
        <f t="shared" si="4"/>
        <v>16.434108527131784</v>
      </c>
      <c r="T24" s="1">
        <f t="shared" si="5"/>
        <v>16.434108527131784</v>
      </c>
      <c r="U24" s="1">
        <v>36</v>
      </c>
      <c r="V24" s="1">
        <v>36.4</v>
      </c>
      <c r="W24" s="1">
        <v>27.2</v>
      </c>
      <c r="X24" s="1">
        <v>26.2</v>
      </c>
      <c r="Y24" s="1">
        <v>21.4</v>
      </c>
      <c r="Z24" s="1">
        <v>24</v>
      </c>
      <c r="AA24" s="1">
        <v>32.4</v>
      </c>
      <c r="AB24" s="1">
        <v>31.6</v>
      </c>
      <c r="AC24" s="1">
        <v>34.799999999999997</v>
      </c>
      <c r="AD24" s="1">
        <v>27.2</v>
      </c>
      <c r="AE24" s="1"/>
      <c r="AF24" s="1">
        <f>G24*Q24</f>
        <v>0</v>
      </c>
      <c r="AG24" s="7">
        <v>8</v>
      </c>
      <c r="AH24" s="9">
        <f>MROUND(Q24, AG24*AJ24)/AG24</f>
        <v>0</v>
      </c>
      <c r="AI24" s="1">
        <f>AH24*AG24*G24</f>
        <v>0</v>
      </c>
      <c r="AJ24" s="1">
        <v>14</v>
      </c>
      <c r="AK24" s="1">
        <v>70</v>
      </c>
      <c r="AL24" s="9">
        <f>AH24/AK24</f>
        <v>0</v>
      </c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20" t="s">
        <v>79</v>
      </c>
      <c r="B25" s="1" t="s">
        <v>42</v>
      </c>
      <c r="C25" s="1">
        <v>651</v>
      </c>
      <c r="D25" s="1">
        <v>1369</v>
      </c>
      <c r="E25" s="1">
        <v>718</v>
      </c>
      <c r="F25" s="1">
        <v>1013</v>
      </c>
      <c r="G25" s="7">
        <v>0.09</v>
      </c>
      <c r="H25" s="1">
        <v>180</v>
      </c>
      <c r="I25" s="1" t="s">
        <v>80</v>
      </c>
      <c r="J25" s="1"/>
      <c r="K25" s="1">
        <v>742</v>
      </c>
      <c r="L25" s="1">
        <f t="shared" si="2"/>
        <v>-24</v>
      </c>
      <c r="M25" s="1"/>
      <c r="N25" s="1"/>
      <c r="O25" s="1">
        <v>0</v>
      </c>
      <c r="P25" s="1">
        <f t="shared" si="3"/>
        <v>143.6</v>
      </c>
      <c r="Q25" s="5">
        <f t="shared" ref="Q23:Q27" si="8">14*P25-O25-F25</f>
        <v>997.39999999999986</v>
      </c>
      <c r="R25" s="5">
        <f>AG25*AH25</f>
        <v>1008</v>
      </c>
      <c r="S25" s="1">
        <f t="shared" si="4"/>
        <v>14.073816155988858</v>
      </c>
      <c r="T25" s="1">
        <f t="shared" si="5"/>
        <v>7.0543175487465186</v>
      </c>
      <c r="U25" s="1">
        <v>145.19999999999999</v>
      </c>
      <c r="V25" s="1">
        <v>154.4</v>
      </c>
      <c r="W25" s="1">
        <v>135.6</v>
      </c>
      <c r="X25" s="1">
        <v>163</v>
      </c>
      <c r="Y25" s="1">
        <v>143</v>
      </c>
      <c r="Z25" s="1">
        <v>161</v>
      </c>
      <c r="AA25" s="1">
        <v>128.80000000000001</v>
      </c>
      <c r="AB25" s="1">
        <v>135.4</v>
      </c>
      <c r="AC25" s="1">
        <v>89.8</v>
      </c>
      <c r="AD25" s="1">
        <v>154.4</v>
      </c>
      <c r="AE25" s="1"/>
      <c r="AF25" s="1">
        <f>G25*Q25</f>
        <v>89.765999999999991</v>
      </c>
      <c r="AG25" s="7">
        <v>24</v>
      </c>
      <c r="AH25" s="9">
        <f>MROUND(Q25, AG25*AJ25)/AG25</f>
        <v>42</v>
      </c>
      <c r="AI25" s="1">
        <f>AH25*AG25*G25</f>
        <v>90.72</v>
      </c>
      <c r="AJ25" s="1">
        <v>14</v>
      </c>
      <c r="AK25" s="1">
        <v>126</v>
      </c>
      <c r="AL25" s="9">
        <f>AH25/AK25</f>
        <v>0.33333333333333331</v>
      </c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20" t="s">
        <v>81</v>
      </c>
      <c r="B26" s="1" t="s">
        <v>42</v>
      </c>
      <c r="C26" s="1"/>
      <c r="D26" s="1"/>
      <c r="E26" s="1"/>
      <c r="F26" s="1"/>
      <c r="G26" s="7">
        <v>0.36</v>
      </c>
      <c r="H26" s="1">
        <v>180</v>
      </c>
      <c r="I26" s="1" t="s">
        <v>82</v>
      </c>
      <c r="J26" s="1"/>
      <c r="K26" s="1"/>
      <c r="L26" s="1">
        <f t="shared" si="2"/>
        <v>0</v>
      </c>
      <c r="M26" s="1"/>
      <c r="N26" s="1"/>
      <c r="O26" s="1">
        <v>0</v>
      </c>
      <c r="P26" s="1">
        <f t="shared" si="3"/>
        <v>0</v>
      </c>
      <c r="Q26" s="23">
        <v>0</v>
      </c>
      <c r="R26" s="23">
        <f>AG26*AH26</f>
        <v>0</v>
      </c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96</v>
      </c>
      <c r="AA26" s="1">
        <v>33.799999999999997</v>
      </c>
      <c r="AB26" s="1">
        <v>89.8</v>
      </c>
      <c r="AC26" s="1">
        <v>99.4</v>
      </c>
      <c r="AD26" s="1">
        <v>109</v>
      </c>
      <c r="AE26" s="21" t="s">
        <v>83</v>
      </c>
      <c r="AF26" s="1">
        <f>G26*Q26</f>
        <v>0</v>
      </c>
      <c r="AG26" s="7">
        <v>10</v>
      </c>
      <c r="AH26" s="9">
        <f>MROUND(Q26, AG26*AJ26)/AG26</f>
        <v>0</v>
      </c>
      <c r="AI26" s="1">
        <f>AH26*AG26*G26</f>
        <v>0</v>
      </c>
      <c r="AJ26" s="1">
        <v>14</v>
      </c>
      <c r="AK26" s="1">
        <v>70</v>
      </c>
      <c r="AL26" s="9">
        <f>AH26/AK26</f>
        <v>0</v>
      </c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84</v>
      </c>
      <c r="B27" s="1" t="s">
        <v>42</v>
      </c>
      <c r="C27" s="1">
        <v>-12</v>
      </c>
      <c r="D27" s="1">
        <v>68</v>
      </c>
      <c r="E27" s="19">
        <f>56+E72</f>
        <v>339</v>
      </c>
      <c r="F27" s="19">
        <f>-24+F72</f>
        <v>317</v>
      </c>
      <c r="G27" s="7">
        <v>0.2</v>
      </c>
      <c r="H27" s="1">
        <v>180</v>
      </c>
      <c r="I27" s="13" t="s">
        <v>85</v>
      </c>
      <c r="J27" s="1"/>
      <c r="K27" s="1">
        <v>56</v>
      </c>
      <c r="L27" s="1">
        <f t="shared" si="2"/>
        <v>283</v>
      </c>
      <c r="M27" s="1"/>
      <c r="N27" s="1"/>
      <c r="O27" s="1">
        <v>0</v>
      </c>
      <c r="P27" s="1">
        <f t="shared" si="3"/>
        <v>67.8</v>
      </c>
      <c r="Q27" s="5">
        <f t="shared" si="8"/>
        <v>632.19999999999993</v>
      </c>
      <c r="R27" s="5">
        <f>AG27*AH27</f>
        <v>672</v>
      </c>
      <c r="S27" s="1">
        <f t="shared" si="4"/>
        <v>14.587020648967552</v>
      </c>
      <c r="T27" s="1">
        <f t="shared" si="5"/>
        <v>4.6755162241887911</v>
      </c>
      <c r="U27" s="1">
        <v>28.4</v>
      </c>
      <c r="V27" s="1">
        <v>5.4</v>
      </c>
      <c r="W27" s="1">
        <v>21.2</v>
      </c>
      <c r="X27" s="1">
        <v>72.599999999999994</v>
      </c>
      <c r="Y27" s="1">
        <v>38.4</v>
      </c>
      <c r="Z27" s="1">
        <v>57.2</v>
      </c>
      <c r="AA27" s="1">
        <v>52.4</v>
      </c>
      <c r="AB27" s="1">
        <v>47</v>
      </c>
      <c r="AC27" s="1">
        <v>46.8</v>
      </c>
      <c r="AD27" s="1">
        <v>36.6</v>
      </c>
      <c r="AE27" s="1"/>
      <c r="AF27" s="1">
        <f>G27*Q27</f>
        <v>126.44</v>
      </c>
      <c r="AG27" s="7">
        <v>12</v>
      </c>
      <c r="AH27" s="9">
        <f>MROUND(Q27, AG27*AJ27)/AG27</f>
        <v>56</v>
      </c>
      <c r="AI27" s="1">
        <f>AH27*AG27*G27</f>
        <v>134.4</v>
      </c>
      <c r="AJ27" s="1">
        <v>14</v>
      </c>
      <c r="AK27" s="1">
        <v>70</v>
      </c>
      <c r="AL27" s="9">
        <f>AH27/AK27</f>
        <v>0.8</v>
      </c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4" t="s">
        <v>87</v>
      </c>
      <c r="B28" s="14" t="s">
        <v>42</v>
      </c>
      <c r="C28" s="14"/>
      <c r="D28" s="14"/>
      <c r="E28" s="14"/>
      <c r="F28" s="14"/>
      <c r="G28" s="15">
        <v>0</v>
      </c>
      <c r="H28" s="14"/>
      <c r="I28" s="14" t="s">
        <v>53</v>
      </c>
      <c r="J28" s="14" t="s">
        <v>58</v>
      </c>
      <c r="K28" s="14"/>
      <c r="L28" s="14">
        <f t="shared" si="2"/>
        <v>0</v>
      </c>
      <c r="M28" s="14"/>
      <c r="N28" s="14"/>
      <c r="O28" s="14"/>
      <c r="P28" s="14">
        <f t="shared" si="3"/>
        <v>0</v>
      </c>
      <c r="Q28" s="16"/>
      <c r="R28" s="16"/>
      <c r="S28" s="14" t="e">
        <f t="shared" si="4"/>
        <v>#DIV/0!</v>
      </c>
      <c r="T28" s="14" t="e">
        <f t="shared" si="5"/>
        <v>#DIV/0!</v>
      </c>
      <c r="U28" s="14">
        <v>0</v>
      </c>
      <c r="V28" s="14">
        <v>2.4</v>
      </c>
      <c r="W28" s="14">
        <v>2.4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/>
      <c r="AF28" s="14"/>
      <c r="AG28" s="15"/>
      <c r="AH28" s="17"/>
      <c r="AI28" s="14"/>
      <c r="AJ28" s="14"/>
      <c r="AK28" s="14"/>
      <c r="AL28" s="17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58</v>
      </c>
      <c r="B29" s="1" t="s">
        <v>42</v>
      </c>
      <c r="C29" s="1"/>
      <c r="D29" s="1">
        <v>18</v>
      </c>
      <c r="E29" s="19">
        <f>18+E12</f>
        <v>450</v>
      </c>
      <c r="F29" s="19">
        <f>-24+F12</f>
        <v>1063</v>
      </c>
      <c r="G29" s="7">
        <v>0.2</v>
      </c>
      <c r="H29" s="1">
        <v>180</v>
      </c>
      <c r="I29" s="1" t="s">
        <v>88</v>
      </c>
      <c r="J29" s="1"/>
      <c r="K29" s="1">
        <v>18</v>
      </c>
      <c r="L29" s="1">
        <f t="shared" si="2"/>
        <v>432</v>
      </c>
      <c r="M29" s="1"/>
      <c r="N29" s="1"/>
      <c r="O29" s="1">
        <v>0</v>
      </c>
      <c r="P29" s="1">
        <f t="shared" si="3"/>
        <v>90</v>
      </c>
      <c r="Q29" s="5">
        <f t="shared" ref="Q29:Q34" si="9">14*P29-O29-F29</f>
        <v>197</v>
      </c>
      <c r="R29" s="5">
        <f t="shared" ref="R29:R34" si="10">AG29*AH29</f>
        <v>168</v>
      </c>
      <c r="S29" s="1">
        <f t="shared" si="4"/>
        <v>13.677777777777777</v>
      </c>
      <c r="T29" s="1">
        <f t="shared" si="5"/>
        <v>11.811111111111112</v>
      </c>
      <c r="U29" s="1">
        <v>116.4</v>
      </c>
      <c r="V29" s="1">
        <v>142.4</v>
      </c>
      <c r="W29" s="1">
        <v>116</v>
      </c>
      <c r="X29" s="1">
        <v>98.2</v>
      </c>
      <c r="Y29" s="1">
        <v>137.6</v>
      </c>
      <c r="Z29" s="1">
        <v>106.8</v>
      </c>
      <c r="AA29" s="1">
        <v>61.2</v>
      </c>
      <c r="AB29" s="1">
        <v>101.2</v>
      </c>
      <c r="AC29" s="1">
        <v>104</v>
      </c>
      <c r="AD29" s="1">
        <v>101.6</v>
      </c>
      <c r="AE29" s="1"/>
      <c r="AF29" s="1">
        <f t="shared" ref="AF29:AF34" si="11">G29*Q29</f>
        <v>39.400000000000006</v>
      </c>
      <c r="AG29" s="7">
        <v>12</v>
      </c>
      <c r="AH29" s="9">
        <f t="shared" ref="AH29:AH34" si="12">MROUND(Q29, AG29*AJ29)/AG29</f>
        <v>14</v>
      </c>
      <c r="AI29" s="1">
        <f t="shared" ref="AI29:AI34" si="13">AH29*AG29*G29</f>
        <v>33.6</v>
      </c>
      <c r="AJ29" s="1">
        <v>14</v>
      </c>
      <c r="AK29" s="1">
        <v>70</v>
      </c>
      <c r="AL29" s="9">
        <f t="shared" ref="AL29:AL34" si="14">AH29/AK29</f>
        <v>0.2</v>
      </c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89</v>
      </c>
      <c r="B30" s="1" t="s">
        <v>90</v>
      </c>
      <c r="C30" s="1">
        <v>99.9</v>
      </c>
      <c r="D30" s="1">
        <v>373.7</v>
      </c>
      <c r="E30" s="1">
        <v>188.7</v>
      </c>
      <c r="F30" s="1">
        <v>173.9</v>
      </c>
      <c r="G30" s="7">
        <v>1</v>
      </c>
      <c r="H30" s="1">
        <v>180</v>
      </c>
      <c r="I30" s="1" t="s">
        <v>91</v>
      </c>
      <c r="J30" s="1"/>
      <c r="K30" s="1">
        <v>208.5</v>
      </c>
      <c r="L30" s="1">
        <f t="shared" si="2"/>
        <v>-19.800000000000011</v>
      </c>
      <c r="M30" s="1"/>
      <c r="N30" s="1"/>
      <c r="O30" s="1">
        <v>259</v>
      </c>
      <c r="P30" s="1">
        <f t="shared" si="3"/>
        <v>37.739999999999995</v>
      </c>
      <c r="Q30" s="5">
        <f t="shared" si="9"/>
        <v>95.459999999999894</v>
      </c>
      <c r="R30" s="5">
        <f t="shared" si="10"/>
        <v>103.60000000000001</v>
      </c>
      <c r="S30" s="1">
        <f t="shared" si="4"/>
        <v>14.215686274509807</v>
      </c>
      <c r="T30" s="1">
        <f t="shared" si="5"/>
        <v>11.470588235294118</v>
      </c>
      <c r="U30" s="1">
        <v>51.06</v>
      </c>
      <c r="V30" s="1">
        <v>42.18</v>
      </c>
      <c r="W30" s="1">
        <v>57.720000000000013</v>
      </c>
      <c r="X30" s="1">
        <v>50.88</v>
      </c>
      <c r="Y30" s="1">
        <v>54.759999999999991</v>
      </c>
      <c r="Z30" s="1">
        <v>55.5</v>
      </c>
      <c r="AA30" s="1">
        <v>57.720000000000013</v>
      </c>
      <c r="AB30" s="1">
        <v>42.18</v>
      </c>
      <c r="AC30" s="1">
        <v>17.02</v>
      </c>
      <c r="AD30" s="1">
        <v>38.479999999999997</v>
      </c>
      <c r="AE30" s="1"/>
      <c r="AF30" s="1">
        <f t="shared" si="11"/>
        <v>95.459999999999894</v>
      </c>
      <c r="AG30" s="7">
        <v>3.7</v>
      </c>
      <c r="AH30" s="9">
        <f t="shared" si="12"/>
        <v>28</v>
      </c>
      <c r="AI30" s="1">
        <f t="shared" si="13"/>
        <v>103.60000000000001</v>
      </c>
      <c r="AJ30" s="1">
        <v>14</v>
      </c>
      <c r="AK30" s="1">
        <v>126</v>
      </c>
      <c r="AL30" s="9">
        <f t="shared" si="14"/>
        <v>0.22222222222222221</v>
      </c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92</v>
      </c>
      <c r="B31" s="1" t="s">
        <v>90</v>
      </c>
      <c r="C31" s="1">
        <v>138</v>
      </c>
      <c r="D31" s="1">
        <v>330</v>
      </c>
      <c r="E31" s="1">
        <v>181.5</v>
      </c>
      <c r="F31" s="1">
        <v>242.5</v>
      </c>
      <c r="G31" s="7">
        <v>1</v>
      </c>
      <c r="H31" s="1">
        <v>180</v>
      </c>
      <c r="I31" s="1" t="s">
        <v>93</v>
      </c>
      <c r="J31" s="1"/>
      <c r="K31" s="1">
        <v>182</v>
      </c>
      <c r="L31" s="1">
        <f t="shared" si="2"/>
        <v>-0.5</v>
      </c>
      <c r="M31" s="1"/>
      <c r="N31" s="1"/>
      <c r="O31" s="1">
        <v>66</v>
      </c>
      <c r="P31" s="1">
        <f t="shared" si="3"/>
        <v>36.299999999999997</v>
      </c>
      <c r="Q31" s="5">
        <f t="shared" si="9"/>
        <v>199.69999999999993</v>
      </c>
      <c r="R31" s="5">
        <f t="shared" si="10"/>
        <v>198</v>
      </c>
      <c r="S31" s="1">
        <f t="shared" si="4"/>
        <v>13.953168044077136</v>
      </c>
      <c r="T31" s="1">
        <f t="shared" si="5"/>
        <v>8.4986225895316814</v>
      </c>
      <c r="U31" s="1">
        <v>37.299999999999997</v>
      </c>
      <c r="V31" s="1">
        <v>41.8</v>
      </c>
      <c r="W31" s="1">
        <v>36.299999999999997</v>
      </c>
      <c r="X31" s="1">
        <v>36.299999999999997</v>
      </c>
      <c r="Y31" s="1">
        <v>41.5</v>
      </c>
      <c r="Z31" s="1">
        <v>39.4</v>
      </c>
      <c r="AA31" s="1">
        <v>19.5</v>
      </c>
      <c r="AB31" s="1">
        <v>9.8000000000000007</v>
      </c>
      <c r="AC31" s="1">
        <v>24.2</v>
      </c>
      <c r="AD31" s="1">
        <v>45.1</v>
      </c>
      <c r="AE31" s="1"/>
      <c r="AF31" s="1">
        <f t="shared" si="11"/>
        <v>199.69999999999993</v>
      </c>
      <c r="AG31" s="7">
        <v>5.5</v>
      </c>
      <c r="AH31" s="9">
        <f t="shared" si="12"/>
        <v>36</v>
      </c>
      <c r="AI31" s="1">
        <f t="shared" si="13"/>
        <v>198</v>
      </c>
      <c r="AJ31" s="1">
        <v>12</v>
      </c>
      <c r="AK31" s="1">
        <v>84</v>
      </c>
      <c r="AL31" s="9">
        <f t="shared" si="14"/>
        <v>0.42857142857142855</v>
      </c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94</v>
      </c>
      <c r="B32" s="1" t="s">
        <v>90</v>
      </c>
      <c r="C32" s="1">
        <v>-3</v>
      </c>
      <c r="D32" s="1">
        <v>6</v>
      </c>
      <c r="E32" s="19">
        <f>3+E71</f>
        <v>93.5</v>
      </c>
      <c r="F32" s="19">
        <f>0+F71</f>
        <v>523.1</v>
      </c>
      <c r="G32" s="7">
        <v>1</v>
      </c>
      <c r="H32" s="1">
        <v>180</v>
      </c>
      <c r="I32" s="1" t="s">
        <v>95</v>
      </c>
      <c r="J32" s="1"/>
      <c r="K32" s="1">
        <v>12</v>
      </c>
      <c r="L32" s="1">
        <f t="shared" si="2"/>
        <v>81.5</v>
      </c>
      <c r="M32" s="1"/>
      <c r="N32" s="1"/>
      <c r="O32" s="1">
        <v>0</v>
      </c>
      <c r="P32" s="1">
        <f t="shared" si="3"/>
        <v>18.7</v>
      </c>
      <c r="Q32" s="5"/>
      <c r="R32" s="5">
        <f t="shared" si="10"/>
        <v>0</v>
      </c>
      <c r="S32" s="1">
        <f t="shared" si="4"/>
        <v>27.973262032085564</v>
      </c>
      <c r="T32" s="1">
        <f t="shared" si="5"/>
        <v>27.973262032085564</v>
      </c>
      <c r="U32" s="1">
        <v>49.6</v>
      </c>
      <c r="V32" s="1">
        <v>56.34</v>
      </c>
      <c r="W32" s="1">
        <v>51</v>
      </c>
      <c r="X32" s="1">
        <v>37.200000000000003</v>
      </c>
      <c r="Y32" s="1">
        <v>43.2</v>
      </c>
      <c r="Z32" s="1">
        <v>61.2</v>
      </c>
      <c r="AA32" s="1">
        <v>56.7</v>
      </c>
      <c r="AB32" s="1">
        <v>53.7</v>
      </c>
      <c r="AC32" s="1">
        <v>39</v>
      </c>
      <c r="AD32" s="1">
        <v>45</v>
      </c>
      <c r="AE32" s="1"/>
      <c r="AF32" s="1">
        <f t="shared" si="11"/>
        <v>0</v>
      </c>
      <c r="AG32" s="7">
        <v>3</v>
      </c>
      <c r="AH32" s="9">
        <f t="shared" si="12"/>
        <v>0</v>
      </c>
      <c r="AI32" s="1">
        <f t="shared" si="13"/>
        <v>0</v>
      </c>
      <c r="AJ32" s="1">
        <v>14</v>
      </c>
      <c r="AK32" s="1">
        <v>126</v>
      </c>
      <c r="AL32" s="9">
        <f t="shared" si="14"/>
        <v>0</v>
      </c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96</v>
      </c>
      <c r="B33" s="1" t="s">
        <v>42</v>
      </c>
      <c r="C33" s="1"/>
      <c r="D33" s="1">
        <v>672</v>
      </c>
      <c r="E33" s="1"/>
      <c r="F33" s="1">
        <v>635</v>
      </c>
      <c r="G33" s="7">
        <v>0.23</v>
      </c>
      <c r="H33" s="1">
        <v>180</v>
      </c>
      <c r="I33" s="1" t="s">
        <v>97</v>
      </c>
      <c r="J33" s="1"/>
      <c r="K33" s="1"/>
      <c r="L33" s="1">
        <f t="shared" si="2"/>
        <v>0</v>
      </c>
      <c r="M33" s="1"/>
      <c r="N33" s="1"/>
      <c r="O33" s="1">
        <v>0</v>
      </c>
      <c r="P33" s="1">
        <f t="shared" si="3"/>
        <v>0</v>
      </c>
      <c r="Q33" s="5"/>
      <c r="R33" s="5">
        <f t="shared" si="10"/>
        <v>0</v>
      </c>
      <c r="S33" s="1" t="e">
        <f t="shared" si="4"/>
        <v>#DIV/0!</v>
      </c>
      <c r="T33" s="1" t="e">
        <f t="shared" si="5"/>
        <v>#DIV/0!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 t="s">
        <v>51</v>
      </c>
      <c r="AF33" s="1">
        <f t="shared" si="11"/>
        <v>0</v>
      </c>
      <c r="AG33" s="7">
        <v>12</v>
      </c>
      <c r="AH33" s="9">
        <f t="shared" si="12"/>
        <v>0</v>
      </c>
      <c r="AI33" s="1">
        <f t="shared" si="13"/>
        <v>0</v>
      </c>
      <c r="AJ33" s="1">
        <v>14</v>
      </c>
      <c r="AK33" s="1">
        <v>70</v>
      </c>
      <c r="AL33" s="9">
        <f t="shared" si="14"/>
        <v>0</v>
      </c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46</v>
      </c>
      <c r="B34" s="1" t="s">
        <v>42</v>
      </c>
      <c r="C34" s="1">
        <v>224</v>
      </c>
      <c r="D34" s="1">
        <v>905</v>
      </c>
      <c r="E34" s="19">
        <f>282+E7</f>
        <v>402</v>
      </c>
      <c r="F34" s="19">
        <f>650+F7</f>
        <v>636</v>
      </c>
      <c r="G34" s="7">
        <v>0.25</v>
      </c>
      <c r="H34" s="1">
        <v>365</v>
      </c>
      <c r="I34" s="1" t="s">
        <v>98</v>
      </c>
      <c r="J34" s="1"/>
      <c r="K34" s="1">
        <v>289</v>
      </c>
      <c r="L34" s="1">
        <f t="shared" si="2"/>
        <v>113</v>
      </c>
      <c r="M34" s="1"/>
      <c r="N34" s="1"/>
      <c r="O34" s="1">
        <v>84</v>
      </c>
      <c r="P34" s="1">
        <f t="shared" si="3"/>
        <v>80.400000000000006</v>
      </c>
      <c r="Q34" s="5">
        <f t="shared" si="9"/>
        <v>405.60000000000014</v>
      </c>
      <c r="R34" s="5">
        <f t="shared" si="10"/>
        <v>420</v>
      </c>
      <c r="S34" s="1">
        <f t="shared" si="4"/>
        <v>14.17910447761194</v>
      </c>
      <c r="T34" s="1">
        <f t="shared" si="5"/>
        <v>8.9552238805970141</v>
      </c>
      <c r="U34" s="1">
        <v>82.8</v>
      </c>
      <c r="V34" s="1">
        <v>113.6</v>
      </c>
      <c r="W34" s="1">
        <v>92.4</v>
      </c>
      <c r="X34" s="1">
        <v>86.2</v>
      </c>
      <c r="Y34" s="1">
        <v>117</v>
      </c>
      <c r="Z34" s="1">
        <v>48.4</v>
      </c>
      <c r="AA34" s="1">
        <v>74.599999999999994</v>
      </c>
      <c r="AB34" s="1">
        <v>86.2</v>
      </c>
      <c r="AC34" s="1">
        <v>53.2</v>
      </c>
      <c r="AD34" s="1">
        <v>35.6</v>
      </c>
      <c r="AE34" s="1"/>
      <c r="AF34" s="1">
        <f t="shared" si="11"/>
        <v>101.40000000000003</v>
      </c>
      <c r="AG34" s="7">
        <v>6</v>
      </c>
      <c r="AH34" s="9">
        <f t="shared" si="12"/>
        <v>70</v>
      </c>
      <c r="AI34" s="1">
        <f t="shared" si="13"/>
        <v>105</v>
      </c>
      <c r="AJ34" s="1">
        <v>14</v>
      </c>
      <c r="AK34" s="1">
        <v>140</v>
      </c>
      <c r="AL34" s="9">
        <f t="shared" si="14"/>
        <v>0.5</v>
      </c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4" t="s">
        <v>99</v>
      </c>
      <c r="B35" s="14" t="s">
        <v>42</v>
      </c>
      <c r="C35" s="14"/>
      <c r="D35" s="14"/>
      <c r="E35" s="14"/>
      <c r="F35" s="14"/>
      <c r="G35" s="15">
        <v>0</v>
      </c>
      <c r="H35" s="14"/>
      <c r="I35" s="14" t="s">
        <v>53</v>
      </c>
      <c r="J35" s="14" t="s">
        <v>46</v>
      </c>
      <c r="K35" s="14"/>
      <c r="L35" s="14">
        <f t="shared" si="2"/>
        <v>0</v>
      </c>
      <c r="M35" s="14"/>
      <c r="N35" s="14"/>
      <c r="O35" s="14"/>
      <c r="P35" s="14">
        <f t="shared" si="3"/>
        <v>0</v>
      </c>
      <c r="Q35" s="16"/>
      <c r="R35" s="16"/>
      <c r="S35" s="14" t="e">
        <f t="shared" si="4"/>
        <v>#DIV/0!</v>
      </c>
      <c r="T35" s="14" t="e">
        <f t="shared" si="5"/>
        <v>#DIV/0!</v>
      </c>
      <c r="U35" s="14">
        <v>0</v>
      </c>
      <c r="V35" s="14">
        <v>2.4</v>
      </c>
      <c r="W35" s="14">
        <v>2.4</v>
      </c>
      <c r="X35" s="14">
        <v>0</v>
      </c>
      <c r="Y35" s="14">
        <v>0.2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/>
      <c r="AF35" s="14"/>
      <c r="AG35" s="15"/>
      <c r="AH35" s="17"/>
      <c r="AI35" s="14"/>
      <c r="AJ35" s="14"/>
      <c r="AK35" s="14"/>
      <c r="AL35" s="17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100</v>
      </c>
      <c r="B36" s="1" t="s">
        <v>42</v>
      </c>
      <c r="C36" s="1">
        <v>28</v>
      </c>
      <c r="D36" s="1">
        <v>685</v>
      </c>
      <c r="E36" s="1">
        <v>101</v>
      </c>
      <c r="F36" s="1">
        <v>558</v>
      </c>
      <c r="G36" s="7">
        <v>0.25</v>
      </c>
      <c r="H36" s="1">
        <v>365</v>
      </c>
      <c r="I36" s="1" t="s">
        <v>101</v>
      </c>
      <c r="J36" s="1"/>
      <c r="K36" s="1">
        <v>124</v>
      </c>
      <c r="L36" s="1">
        <f t="shared" si="2"/>
        <v>-23</v>
      </c>
      <c r="M36" s="1"/>
      <c r="N36" s="1"/>
      <c r="O36" s="1">
        <v>84</v>
      </c>
      <c r="P36" s="1">
        <f t="shared" si="3"/>
        <v>20.2</v>
      </c>
      <c r="Q36" s="5"/>
      <c r="R36" s="5">
        <f>AG36*AH36</f>
        <v>0</v>
      </c>
      <c r="S36" s="1">
        <f t="shared" si="4"/>
        <v>31.782178217821784</v>
      </c>
      <c r="T36" s="1">
        <f t="shared" si="5"/>
        <v>31.782178217821784</v>
      </c>
      <c r="U36" s="1">
        <v>52.8</v>
      </c>
      <c r="V36" s="1">
        <v>60.4</v>
      </c>
      <c r="W36" s="1">
        <v>42.2</v>
      </c>
      <c r="X36" s="1">
        <v>35.799999999999997</v>
      </c>
      <c r="Y36" s="1">
        <v>53.6</v>
      </c>
      <c r="Z36" s="1">
        <v>37.799999999999997</v>
      </c>
      <c r="AA36" s="1">
        <v>39.4</v>
      </c>
      <c r="AB36" s="1">
        <v>48.6</v>
      </c>
      <c r="AC36" s="1">
        <v>39.799999999999997</v>
      </c>
      <c r="AD36" s="1">
        <v>57.6</v>
      </c>
      <c r="AE36" s="1"/>
      <c r="AF36" s="1">
        <f>G36*Q36</f>
        <v>0</v>
      </c>
      <c r="AG36" s="7">
        <v>6</v>
      </c>
      <c r="AH36" s="9">
        <f>MROUND(Q36, AG36*AJ36)/AG36</f>
        <v>0</v>
      </c>
      <c r="AI36" s="1">
        <f>AH36*AG36*G36</f>
        <v>0</v>
      </c>
      <c r="AJ36" s="1">
        <v>14</v>
      </c>
      <c r="AK36" s="1">
        <v>140</v>
      </c>
      <c r="AL36" s="9">
        <f>AH36/AK36</f>
        <v>0</v>
      </c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4" t="s">
        <v>102</v>
      </c>
      <c r="B37" s="14" t="s">
        <v>90</v>
      </c>
      <c r="C37" s="14">
        <v>252</v>
      </c>
      <c r="D37" s="14">
        <v>1068</v>
      </c>
      <c r="E37" s="19">
        <v>408</v>
      </c>
      <c r="F37" s="19">
        <v>637</v>
      </c>
      <c r="G37" s="15">
        <v>0</v>
      </c>
      <c r="H37" s="14">
        <v>180</v>
      </c>
      <c r="I37" s="14" t="s">
        <v>53</v>
      </c>
      <c r="J37" s="14" t="s">
        <v>103</v>
      </c>
      <c r="K37" s="14">
        <v>443</v>
      </c>
      <c r="L37" s="14">
        <f t="shared" si="2"/>
        <v>-35</v>
      </c>
      <c r="M37" s="14"/>
      <c r="N37" s="14"/>
      <c r="O37" s="14"/>
      <c r="P37" s="14">
        <f t="shared" si="3"/>
        <v>81.599999999999994</v>
      </c>
      <c r="Q37" s="16"/>
      <c r="R37" s="16"/>
      <c r="S37" s="14">
        <f t="shared" si="4"/>
        <v>7.8063725490196081</v>
      </c>
      <c r="T37" s="14">
        <f t="shared" si="5"/>
        <v>7.8063725490196081</v>
      </c>
      <c r="U37" s="14">
        <v>7.2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/>
      <c r="AF37" s="14"/>
      <c r="AG37" s="15"/>
      <c r="AH37" s="17"/>
      <c r="AI37" s="14"/>
      <c r="AJ37" s="14"/>
      <c r="AK37" s="14"/>
      <c r="AL37" s="17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103</v>
      </c>
      <c r="B38" s="1" t="s">
        <v>90</v>
      </c>
      <c r="C38" s="1">
        <v>54</v>
      </c>
      <c r="D38" s="1">
        <v>138</v>
      </c>
      <c r="E38" s="19">
        <f>180+E37</f>
        <v>588</v>
      </c>
      <c r="F38" s="19">
        <f>0+F37</f>
        <v>637</v>
      </c>
      <c r="G38" s="7">
        <v>1</v>
      </c>
      <c r="H38" s="1">
        <v>180</v>
      </c>
      <c r="I38" s="1" t="s">
        <v>104</v>
      </c>
      <c r="J38" s="1"/>
      <c r="K38" s="1">
        <v>192</v>
      </c>
      <c r="L38" s="1">
        <f t="shared" ref="L38:L69" si="15">E38-K38</f>
        <v>396</v>
      </c>
      <c r="M38" s="1"/>
      <c r="N38" s="1"/>
      <c r="O38" s="1">
        <v>504</v>
      </c>
      <c r="P38" s="1">
        <f t="shared" ref="P38:P69" si="16">E38/5</f>
        <v>117.6</v>
      </c>
      <c r="Q38" s="5">
        <f t="shared" ref="Q38:Q64" si="17">14*P38-O38-F38</f>
        <v>505.39999999999986</v>
      </c>
      <c r="R38" s="5">
        <f t="shared" ref="R38:R64" si="18">AG38*AH38</f>
        <v>504</v>
      </c>
      <c r="S38" s="1">
        <f t="shared" ref="S38:S69" si="19">(F38+O38+R38)/P38</f>
        <v>13.988095238095239</v>
      </c>
      <c r="T38" s="1">
        <f t="shared" ref="T38:T69" si="20">(F38+O38)/P38</f>
        <v>9.7023809523809526</v>
      </c>
      <c r="U38" s="1">
        <v>124.8</v>
      </c>
      <c r="V38" s="1">
        <v>116.2</v>
      </c>
      <c r="W38" s="1">
        <v>124.6</v>
      </c>
      <c r="X38" s="1">
        <v>117.4</v>
      </c>
      <c r="Y38" s="1">
        <v>147.6</v>
      </c>
      <c r="Z38" s="1">
        <v>123.2</v>
      </c>
      <c r="AA38" s="1">
        <v>181.4</v>
      </c>
      <c r="AB38" s="1">
        <v>137</v>
      </c>
      <c r="AC38" s="1">
        <v>59.6</v>
      </c>
      <c r="AD38" s="1">
        <v>79.2</v>
      </c>
      <c r="AE38" s="1"/>
      <c r="AF38" s="1">
        <f t="shared" ref="AF38:AF64" si="21">G38*Q38</f>
        <v>505.39999999999986</v>
      </c>
      <c r="AG38" s="7">
        <v>6</v>
      </c>
      <c r="AH38" s="9">
        <f t="shared" ref="AH38:AH64" si="22">MROUND(Q38, AG38*AJ38)/AG38</f>
        <v>84</v>
      </c>
      <c r="AI38" s="1">
        <f t="shared" ref="AI38:AI64" si="23">AH38*AG38*G38</f>
        <v>504</v>
      </c>
      <c r="AJ38" s="1">
        <v>12</v>
      </c>
      <c r="AK38" s="1">
        <v>84</v>
      </c>
      <c r="AL38" s="9">
        <f t="shared" ref="AL38:AL64" si="24">AH38/AK38</f>
        <v>1</v>
      </c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105</v>
      </c>
      <c r="B39" s="1" t="s">
        <v>42</v>
      </c>
      <c r="C39" s="1">
        <v>328</v>
      </c>
      <c r="D39" s="1">
        <v>393</v>
      </c>
      <c r="E39" s="1">
        <v>486</v>
      </c>
      <c r="F39" s="1">
        <v>101</v>
      </c>
      <c r="G39" s="7">
        <v>0.23</v>
      </c>
      <c r="H39" s="1">
        <v>180</v>
      </c>
      <c r="I39" s="1" t="s">
        <v>106</v>
      </c>
      <c r="J39" s="1"/>
      <c r="K39" s="1">
        <v>547</v>
      </c>
      <c r="L39" s="1">
        <f t="shared" si="15"/>
        <v>-61</v>
      </c>
      <c r="M39" s="1"/>
      <c r="N39" s="1"/>
      <c r="O39" s="1">
        <v>168</v>
      </c>
      <c r="P39" s="1">
        <f t="shared" si="16"/>
        <v>97.2</v>
      </c>
      <c r="Q39" s="5">
        <f>13*P39-O39-F39</f>
        <v>994.60000000000014</v>
      </c>
      <c r="R39" s="5">
        <f t="shared" si="18"/>
        <v>1008</v>
      </c>
      <c r="S39" s="1">
        <f t="shared" si="19"/>
        <v>13.137860082304526</v>
      </c>
      <c r="T39" s="1">
        <f t="shared" si="20"/>
        <v>2.7674897119341564</v>
      </c>
      <c r="U39" s="1">
        <v>56.6</v>
      </c>
      <c r="V39" s="1">
        <v>53</v>
      </c>
      <c r="W39" s="1">
        <v>64.400000000000006</v>
      </c>
      <c r="X39" s="1">
        <v>71</v>
      </c>
      <c r="Y39" s="1">
        <v>64.2</v>
      </c>
      <c r="Z39" s="1">
        <v>60.2</v>
      </c>
      <c r="AA39" s="1">
        <v>59</v>
      </c>
      <c r="AB39" s="1">
        <v>52.2</v>
      </c>
      <c r="AC39" s="1">
        <v>47.2</v>
      </c>
      <c r="AD39" s="1">
        <v>52.4</v>
      </c>
      <c r="AE39" s="1"/>
      <c r="AF39" s="1">
        <f t="shared" si="21"/>
        <v>228.75800000000004</v>
      </c>
      <c r="AG39" s="7">
        <v>12</v>
      </c>
      <c r="AH39" s="9">
        <f t="shared" si="22"/>
        <v>84</v>
      </c>
      <c r="AI39" s="1">
        <f t="shared" si="23"/>
        <v>231.84</v>
      </c>
      <c r="AJ39" s="1">
        <v>14</v>
      </c>
      <c r="AK39" s="1">
        <v>70</v>
      </c>
      <c r="AL39" s="9">
        <f t="shared" si="24"/>
        <v>1.2</v>
      </c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107</v>
      </c>
      <c r="B40" s="1" t="s">
        <v>42</v>
      </c>
      <c r="C40" s="1">
        <v>290</v>
      </c>
      <c r="D40" s="1">
        <v>859</v>
      </c>
      <c r="E40" s="1">
        <v>463</v>
      </c>
      <c r="F40" s="1">
        <v>591</v>
      </c>
      <c r="G40" s="7">
        <v>0.25</v>
      </c>
      <c r="H40" s="1">
        <v>365</v>
      </c>
      <c r="I40" s="1" t="s">
        <v>108</v>
      </c>
      <c r="J40" s="1"/>
      <c r="K40" s="1">
        <v>536</v>
      </c>
      <c r="L40" s="1">
        <f t="shared" si="15"/>
        <v>-73</v>
      </c>
      <c r="M40" s="1"/>
      <c r="N40" s="1"/>
      <c r="O40" s="1">
        <v>336</v>
      </c>
      <c r="P40" s="1">
        <f t="shared" si="16"/>
        <v>92.6</v>
      </c>
      <c r="Q40" s="5">
        <f t="shared" si="17"/>
        <v>369.39999999999986</v>
      </c>
      <c r="R40" s="5">
        <f t="shared" si="18"/>
        <v>336</v>
      </c>
      <c r="S40" s="1">
        <f t="shared" si="19"/>
        <v>13.639308855291578</v>
      </c>
      <c r="T40" s="1">
        <f t="shared" si="20"/>
        <v>10.010799136069116</v>
      </c>
      <c r="U40" s="1">
        <v>107.8</v>
      </c>
      <c r="V40" s="1">
        <v>96</v>
      </c>
      <c r="W40" s="1">
        <v>90.8</v>
      </c>
      <c r="X40" s="1">
        <v>91</v>
      </c>
      <c r="Y40" s="1">
        <v>115.2</v>
      </c>
      <c r="Z40" s="1">
        <v>94</v>
      </c>
      <c r="AA40" s="1">
        <v>92.8</v>
      </c>
      <c r="AB40" s="1">
        <v>108.2</v>
      </c>
      <c r="AC40" s="1">
        <v>84.8</v>
      </c>
      <c r="AD40" s="1">
        <v>101.6</v>
      </c>
      <c r="AE40" s="1"/>
      <c r="AF40" s="1">
        <f t="shared" si="21"/>
        <v>92.349999999999966</v>
      </c>
      <c r="AG40" s="7">
        <v>12</v>
      </c>
      <c r="AH40" s="9">
        <f t="shared" si="22"/>
        <v>28</v>
      </c>
      <c r="AI40" s="1">
        <f t="shared" si="23"/>
        <v>84</v>
      </c>
      <c r="AJ40" s="1">
        <v>14</v>
      </c>
      <c r="AK40" s="1">
        <v>70</v>
      </c>
      <c r="AL40" s="9">
        <f t="shared" si="24"/>
        <v>0.4</v>
      </c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109</v>
      </c>
      <c r="B41" s="1" t="s">
        <v>42</v>
      </c>
      <c r="C41" s="1"/>
      <c r="D41" s="1">
        <v>1273</v>
      </c>
      <c r="E41" s="1">
        <v>167</v>
      </c>
      <c r="F41" s="1">
        <v>895</v>
      </c>
      <c r="G41" s="7">
        <v>0.25</v>
      </c>
      <c r="H41" s="1">
        <v>365</v>
      </c>
      <c r="I41" s="1" t="s">
        <v>110</v>
      </c>
      <c r="J41" s="1"/>
      <c r="K41" s="1">
        <v>208</v>
      </c>
      <c r="L41" s="1">
        <f t="shared" si="15"/>
        <v>-41</v>
      </c>
      <c r="M41" s="1"/>
      <c r="N41" s="1"/>
      <c r="O41" s="1">
        <v>0</v>
      </c>
      <c r="P41" s="1">
        <f t="shared" si="16"/>
        <v>33.4</v>
      </c>
      <c r="Q41" s="5"/>
      <c r="R41" s="5">
        <f t="shared" si="18"/>
        <v>0</v>
      </c>
      <c r="S41" s="1">
        <f t="shared" si="19"/>
        <v>26.796407185628745</v>
      </c>
      <c r="T41" s="1">
        <f t="shared" si="20"/>
        <v>26.796407185628745</v>
      </c>
      <c r="U41" s="1">
        <v>80.599999999999994</v>
      </c>
      <c r="V41" s="1">
        <v>103.2</v>
      </c>
      <c r="W41" s="1">
        <v>96.2</v>
      </c>
      <c r="X41" s="1">
        <v>75.8</v>
      </c>
      <c r="Y41" s="1">
        <v>92.2</v>
      </c>
      <c r="Z41" s="1">
        <v>90.8</v>
      </c>
      <c r="AA41" s="1">
        <v>63.2</v>
      </c>
      <c r="AB41" s="1">
        <v>64.8</v>
      </c>
      <c r="AC41" s="1">
        <v>63</v>
      </c>
      <c r="AD41" s="1">
        <v>77.400000000000006</v>
      </c>
      <c r="AE41" s="1"/>
      <c r="AF41" s="1">
        <f t="shared" si="21"/>
        <v>0</v>
      </c>
      <c r="AG41" s="7">
        <v>12</v>
      </c>
      <c r="AH41" s="9">
        <f t="shared" si="22"/>
        <v>0</v>
      </c>
      <c r="AI41" s="1">
        <f t="shared" si="23"/>
        <v>0</v>
      </c>
      <c r="AJ41" s="1">
        <v>14</v>
      </c>
      <c r="AK41" s="1">
        <v>70</v>
      </c>
      <c r="AL41" s="9">
        <f t="shared" si="24"/>
        <v>0</v>
      </c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111</v>
      </c>
      <c r="B42" s="1" t="s">
        <v>42</v>
      </c>
      <c r="C42" s="1">
        <v>56</v>
      </c>
      <c r="D42" s="1">
        <v>1035</v>
      </c>
      <c r="E42" s="1">
        <v>228</v>
      </c>
      <c r="F42" s="1">
        <v>764</v>
      </c>
      <c r="G42" s="7">
        <v>0.25</v>
      </c>
      <c r="H42" s="1">
        <v>180</v>
      </c>
      <c r="I42" s="1" t="s">
        <v>112</v>
      </c>
      <c r="J42" s="1"/>
      <c r="K42" s="1">
        <v>251</v>
      </c>
      <c r="L42" s="1">
        <f t="shared" si="15"/>
        <v>-23</v>
      </c>
      <c r="M42" s="1"/>
      <c r="N42" s="1"/>
      <c r="O42" s="1">
        <v>168</v>
      </c>
      <c r="P42" s="1">
        <f t="shared" si="16"/>
        <v>45.6</v>
      </c>
      <c r="Q42" s="5"/>
      <c r="R42" s="5">
        <f t="shared" si="18"/>
        <v>0</v>
      </c>
      <c r="S42" s="1">
        <f t="shared" si="19"/>
        <v>20.438596491228068</v>
      </c>
      <c r="T42" s="1">
        <f t="shared" si="20"/>
        <v>20.438596491228068</v>
      </c>
      <c r="U42" s="1">
        <v>83</v>
      </c>
      <c r="V42" s="1">
        <v>84.4</v>
      </c>
      <c r="W42" s="1">
        <v>74.599999999999994</v>
      </c>
      <c r="X42" s="1">
        <v>68.400000000000006</v>
      </c>
      <c r="Y42" s="1">
        <v>65.2</v>
      </c>
      <c r="Z42" s="1">
        <v>71.400000000000006</v>
      </c>
      <c r="AA42" s="1">
        <v>86.6</v>
      </c>
      <c r="AB42" s="1">
        <v>77.400000000000006</v>
      </c>
      <c r="AC42" s="1">
        <v>46</v>
      </c>
      <c r="AD42" s="1">
        <v>61.6</v>
      </c>
      <c r="AE42" s="1"/>
      <c r="AF42" s="1">
        <f t="shared" si="21"/>
        <v>0</v>
      </c>
      <c r="AG42" s="7">
        <v>12</v>
      </c>
      <c r="AH42" s="9">
        <f t="shared" si="22"/>
        <v>0</v>
      </c>
      <c r="AI42" s="1">
        <f t="shared" si="23"/>
        <v>0</v>
      </c>
      <c r="AJ42" s="1">
        <v>14</v>
      </c>
      <c r="AK42" s="1">
        <v>70</v>
      </c>
      <c r="AL42" s="9">
        <f t="shared" si="24"/>
        <v>0</v>
      </c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60</v>
      </c>
      <c r="B43" s="1" t="s">
        <v>42</v>
      </c>
      <c r="C43" s="1"/>
      <c r="D43" s="1">
        <v>18</v>
      </c>
      <c r="E43" s="19">
        <f>18+E13</f>
        <v>62</v>
      </c>
      <c r="F43" s="19">
        <f>-4+F13</f>
        <v>591</v>
      </c>
      <c r="G43" s="7">
        <v>0.25</v>
      </c>
      <c r="H43" s="1">
        <v>180</v>
      </c>
      <c r="I43" s="1" t="s">
        <v>113</v>
      </c>
      <c r="J43" s="1"/>
      <c r="K43" s="1">
        <v>26</v>
      </c>
      <c r="L43" s="1">
        <f t="shared" si="15"/>
        <v>36</v>
      </c>
      <c r="M43" s="1"/>
      <c r="N43" s="1"/>
      <c r="O43" s="1">
        <v>0</v>
      </c>
      <c r="P43" s="1">
        <f t="shared" si="16"/>
        <v>12.4</v>
      </c>
      <c r="Q43" s="5"/>
      <c r="R43" s="5">
        <f t="shared" si="18"/>
        <v>0</v>
      </c>
      <c r="S43" s="1">
        <f t="shared" si="19"/>
        <v>47.661290322580641</v>
      </c>
      <c r="T43" s="1">
        <f t="shared" si="20"/>
        <v>47.661290322580641</v>
      </c>
      <c r="U43" s="1">
        <v>26.4</v>
      </c>
      <c r="V43" s="1">
        <v>36.200000000000003</v>
      </c>
      <c r="W43" s="1">
        <v>24.8</v>
      </c>
      <c r="X43" s="1">
        <v>23.6</v>
      </c>
      <c r="Y43" s="1">
        <v>28.6</v>
      </c>
      <c r="Z43" s="1">
        <v>0</v>
      </c>
      <c r="AA43" s="1">
        <v>13.8</v>
      </c>
      <c r="AB43" s="1">
        <v>26.6</v>
      </c>
      <c r="AC43" s="1">
        <v>20.2</v>
      </c>
      <c r="AD43" s="1">
        <v>13.8</v>
      </c>
      <c r="AE43" s="1"/>
      <c r="AF43" s="1">
        <f t="shared" si="21"/>
        <v>0</v>
      </c>
      <c r="AG43" s="7">
        <v>12</v>
      </c>
      <c r="AH43" s="9">
        <f t="shared" si="22"/>
        <v>0</v>
      </c>
      <c r="AI43" s="1">
        <f t="shared" si="23"/>
        <v>0</v>
      </c>
      <c r="AJ43" s="1">
        <v>14</v>
      </c>
      <c r="AK43" s="1">
        <v>70</v>
      </c>
      <c r="AL43" s="9">
        <f t="shared" si="24"/>
        <v>0</v>
      </c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114</v>
      </c>
      <c r="B44" s="1" t="s">
        <v>42</v>
      </c>
      <c r="C44" s="1">
        <v>484</v>
      </c>
      <c r="D44" s="1">
        <v>7</v>
      </c>
      <c r="E44" s="1">
        <v>200</v>
      </c>
      <c r="F44" s="1">
        <v>252</v>
      </c>
      <c r="G44" s="7">
        <v>0.7</v>
      </c>
      <c r="H44" s="1">
        <v>180</v>
      </c>
      <c r="I44" s="1" t="s">
        <v>115</v>
      </c>
      <c r="J44" s="1"/>
      <c r="K44" s="1">
        <v>207</v>
      </c>
      <c r="L44" s="1">
        <f t="shared" si="15"/>
        <v>-7</v>
      </c>
      <c r="M44" s="1"/>
      <c r="N44" s="1"/>
      <c r="O44" s="1">
        <v>0</v>
      </c>
      <c r="P44" s="1">
        <f t="shared" si="16"/>
        <v>40</v>
      </c>
      <c r="Q44" s="5">
        <f t="shared" si="17"/>
        <v>308</v>
      </c>
      <c r="R44" s="5">
        <f t="shared" si="18"/>
        <v>288</v>
      </c>
      <c r="S44" s="1">
        <f t="shared" si="19"/>
        <v>13.5</v>
      </c>
      <c r="T44" s="1">
        <f t="shared" si="20"/>
        <v>6.3</v>
      </c>
      <c r="U44" s="1">
        <v>30.8</v>
      </c>
      <c r="V44" s="1">
        <v>31.4</v>
      </c>
      <c r="W44" s="1">
        <v>30.6</v>
      </c>
      <c r="X44" s="1">
        <v>47.6</v>
      </c>
      <c r="Y44" s="1">
        <v>41.8</v>
      </c>
      <c r="Z44" s="1">
        <v>54.6</v>
      </c>
      <c r="AA44" s="1">
        <v>27.4</v>
      </c>
      <c r="AB44" s="1">
        <v>27.2</v>
      </c>
      <c r="AC44" s="1">
        <v>40.799999999999997</v>
      </c>
      <c r="AD44" s="1">
        <v>42</v>
      </c>
      <c r="AE44" s="1"/>
      <c r="AF44" s="1">
        <f t="shared" si="21"/>
        <v>215.6</v>
      </c>
      <c r="AG44" s="7">
        <v>8</v>
      </c>
      <c r="AH44" s="9">
        <f t="shared" si="22"/>
        <v>36</v>
      </c>
      <c r="AI44" s="1">
        <f t="shared" si="23"/>
        <v>201.6</v>
      </c>
      <c r="AJ44" s="1">
        <v>12</v>
      </c>
      <c r="AK44" s="1">
        <v>84</v>
      </c>
      <c r="AL44" s="9">
        <f t="shared" si="24"/>
        <v>0.42857142857142855</v>
      </c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116</v>
      </c>
      <c r="B45" s="1" t="s">
        <v>42</v>
      </c>
      <c r="C45" s="1">
        <v>121</v>
      </c>
      <c r="D45" s="1">
        <v>294</v>
      </c>
      <c r="E45" s="1">
        <v>128</v>
      </c>
      <c r="F45" s="1">
        <v>264</v>
      </c>
      <c r="G45" s="7">
        <v>0.7</v>
      </c>
      <c r="H45" s="1">
        <v>180</v>
      </c>
      <c r="I45" s="1" t="s">
        <v>117</v>
      </c>
      <c r="J45" s="1"/>
      <c r="K45" s="1">
        <v>160</v>
      </c>
      <c r="L45" s="1">
        <f t="shared" si="15"/>
        <v>-32</v>
      </c>
      <c r="M45" s="1"/>
      <c r="N45" s="1"/>
      <c r="O45" s="1">
        <v>192</v>
      </c>
      <c r="P45" s="1">
        <f t="shared" si="16"/>
        <v>25.6</v>
      </c>
      <c r="Q45" s="5"/>
      <c r="R45" s="5">
        <f t="shared" si="18"/>
        <v>0</v>
      </c>
      <c r="S45" s="1">
        <f t="shared" si="19"/>
        <v>17.8125</v>
      </c>
      <c r="T45" s="1">
        <f t="shared" si="20"/>
        <v>17.8125</v>
      </c>
      <c r="U45" s="1">
        <v>42.6</v>
      </c>
      <c r="V45" s="1">
        <v>37.799999999999997</v>
      </c>
      <c r="W45" s="1">
        <v>33.200000000000003</v>
      </c>
      <c r="X45" s="1">
        <v>38.200000000000003</v>
      </c>
      <c r="Y45" s="1">
        <v>42.8</v>
      </c>
      <c r="Z45" s="1">
        <v>50</v>
      </c>
      <c r="AA45" s="1">
        <v>32.200000000000003</v>
      </c>
      <c r="AB45" s="1">
        <v>29.2</v>
      </c>
      <c r="AC45" s="1">
        <v>32.4</v>
      </c>
      <c r="AD45" s="1">
        <v>36.200000000000003</v>
      </c>
      <c r="AE45" s="1"/>
      <c r="AF45" s="1">
        <f t="shared" si="21"/>
        <v>0</v>
      </c>
      <c r="AG45" s="7">
        <v>8</v>
      </c>
      <c r="AH45" s="9">
        <f t="shared" si="22"/>
        <v>0</v>
      </c>
      <c r="AI45" s="1">
        <f t="shared" si="23"/>
        <v>0</v>
      </c>
      <c r="AJ45" s="1">
        <v>12</v>
      </c>
      <c r="AK45" s="1">
        <v>84</v>
      </c>
      <c r="AL45" s="9">
        <f t="shared" si="24"/>
        <v>0</v>
      </c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20" t="s">
        <v>118</v>
      </c>
      <c r="B46" s="1" t="s">
        <v>42</v>
      </c>
      <c r="C46" s="1"/>
      <c r="D46" s="1"/>
      <c r="E46" s="1"/>
      <c r="F46" s="1"/>
      <c r="G46" s="7">
        <v>0.7</v>
      </c>
      <c r="H46" s="1">
        <v>180</v>
      </c>
      <c r="I46" s="1" t="s">
        <v>119</v>
      </c>
      <c r="J46" s="1"/>
      <c r="K46" s="1"/>
      <c r="L46" s="1">
        <f t="shared" si="15"/>
        <v>0</v>
      </c>
      <c r="M46" s="1"/>
      <c r="N46" s="1"/>
      <c r="O46" s="1">
        <v>0</v>
      </c>
      <c r="P46" s="1">
        <f t="shared" si="16"/>
        <v>0</v>
      </c>
      <c r="Q46" s="23">
        <v>0</v>
      </c>
      <c r="R46" s="23">
        <f t="shared" si="18"/>
        <v>0</v>
      </c>
      <c r="S46" s="1" t="e">
        <f t="shared" si="19"/>
        <v>#DIV/0!</v>
      </c>
      <c r="T46" s="1" t="e">
        <f t="shared" si="20"/>
        <v>#DIV/0!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0.4</v>
      </c>
      <c r="AA46" s="1">
        <v>0.4</v>
      </c>
      <c r="AB46" s="1">
        <v>0</v>
      </c>
      <c r="AC46" s="1">
        <v>0</v>
      </c>
      <c r="AD46" s="1">
        <v>18.2</v>
      </c>
      <c r="AE46" s="21" t="s">
        <v>83</v>
      </c>
      <c r="AF46" s="1">
        <f t="shared" si="21"/>
        <v>0</v>
      </c>
      <c r="AG46" s="7">
        <v>8</v>
      </c>
      <c r="AH46" s="9">
        <f t="shared" si="22"/>
        <v>0</v>
      </c>
      <c r="AI46" s="1">
        <f t="shared" si="23"/>
        <v>0</v>
      </c>
      <c r="AJ46" s="1">
        <v>12</v>
      </c>
      <c r="AK46" s="1">
        <v>84</v>
      </c>
      <c r="AL46" s="9">
        <f t="shared" si="24"/>
        <v>0</v>
      </c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120</v>
      </c>
      <c r="B47" s="1" t="s">
        <v>42</v>
      </c>
      <c r="C47" s="1"/>
      <c r="D47" s="1">
        <v>192</v>
      </c>
      <c r="E47" s="1"/>
      <c r="F47" s="1">
        <v>183</v>
      </c>
      <c r="G47" s="7">
        <v>0.4</v>
      </c>
      <c r="H47" s="1">
        <v>180</v>
      </c>
      <c r="I47" s="1" t="s">
        <v>121</v>
      </c>
      <c r="J47" s="1"/>
      <c r="K47" s="1"/>
      <c r="L47" s="1">
        <f t="shared" si="15"/>
        <v>0</v>
      </c>
      <c r="M47" s="1"/>
      <c r="N47" s="1"/>
      <c r="O47" s="1">
        <v>192</v>
      </c>
      <c r="P47" s="1">
        <f t="shared" si="16"/>
        <v>0</v>
      </c>
      <c r="Q47" s="5"/>
      <c r="R47" s="5">
        <f t="shared" si="18"/>
        <v>0</v>
      </c>
      <c r="S47" s="1" t="e">
        <f t="shared" si="19"/>
        <v>#DIV/0!</v>
      </c>
      <c r="T47" s="1" t="e">
        <f t="shared" si="20"/>
        <v>#DIV/0!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 t="s">
        <v>51</v>
      </c>
      <c r="AF47" s="1">
        <f t="shared" si="21"/>
        <v>0</v>
      </c>
      <c r="AG47" s="7">
        <v>16</v>
      </c>
      <c r="AH47" s="9">
        <f t="shared" si="22"/>
        <v>0</v>
      </c>
      <c r="AI47" s="1">
        <f t="shared" si="23"/>
        <v>0</v>
      </c>
      <c r="AJ47" s="1">
        <v>12</v>
      </c>
      <c r="AK47" s="1">
        <v>84</v>
      </c>
      <c r="AL47" s="9">
        <f t="shared" si="24"/>
        <v>0</v>
      </c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3" t="s">
        <v>122</v>
      </c>
      <c r="B48" s="1" t="s">
        <v>42</v>
      </c>
      <c r="C48" s="1"/>
      <c r="D48" s="1">
        <v>96</v>
      </c>
      <c r="E48" s="1"/>
      <c r="F48" s="1">
        <v>74</v>
      </c>
      <c r="G48" s="7">
        <v>0.8</v>
      </c>
      <c r="H48" s="1">
        <v>180</v>
      </c>
      <c r="I48" s="1" t="s">
        <v>123</v>
      </c>
      <c r="J48" s="1"/>
      <c r="K48" s="1"/>
      <c r="L48" s="1">
        <f t="shared" si="15"/>
        <v>0</v>
      </c>
      <c r="M48" s="1"/>
      <c r="N48" s="1"/>
      <c r="O48" s="1">
        <v>192</v>
      </c>
      <c r="P48" s="1">
        <f t="shared" si="16"/>
        <v>0</v>
      </c>
      <c r="Q48" s="5"/>
      <c r="R48" s="5">
        <f t="shared" si="18"/>
        <v>0</v>
      </c>
      <c r="S48" s="1" t="e">
        <f t="shared" si="19"/>
        <v>#DIV/0!</v>
      </c>
      <c r="T48" s="1" t="e">
        <f t="shared" si="20"/>
        <v>#DIV/0!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 t="s">
        <v>51</v>
      </c>
      <c r="AF48" s="1">
        <f t="shared" si="21"/>
        <v>0</v>
      </c>
      <c r="AG48" s="7">
        <v>8</v>
      </c>
      <c r="AH48" s="9">
        <f t="shared" si="22"/>
        <v>0</v>
      </c>
      <c r="AI48" s="1">
        <f t="shared" si="23"/>
        <v>0</v>
      </c>
      <c r="AJ48" s="1">
        <v>12</v>
      </c>
      <c r="AK48" s="1">
        <v>84</v>
      </c>
      <c r="AL48" s="9">
        <f t="shared" si="24"/>
        <v>0</v>
      </c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124</v>
      </c>
      <c r="B49" s="1" t="s">
        <v>42</v>
      </c>
      <c r="C49" s="1">
        <v>52</v>
      </c>
      <c r="D49" s="1">
        <v>240</v>
      </c>
      <c r="E49" s="1">
        <v>101</v>
      </c>
      <c r="F49" s="1">
        <v>184</v>
      </c>
      <c r="G49" s="7">
        <v>0.7</v>
      </c>
      <c r="H49" s="1">
        <v>180</v>
      </c>
      <c r="I49" s="1" t="s">
        <v>125</v>
      </c>
      <c r="J49" s="1"/>
      <c r="K49" s="1">
        <v>210</v>
      </c>
      <c r="L49" s="1">
        <f t="shared" si="15"/>
        <v>-109</v>
      </c>
      <c r="M49" s="1"/>
      <c r="N49" s="1"/>
      <c r="O49" s="1">
        <v>0</v>
      </c>
      <c r="P49" s="1">
        <f t="shared" si="16"/>
        <v>20.2</v>
      </c>
      <c r="Q49" s="5">
        <f t="shared" si="17"/>
        <v>98.800000000000011</v>
      </c>
      <c r="R49" s="5">
        <f t="shared" si="18"/>
        <v>120</v>
      </c>
      <c r="S49" s="1">
        <f t="shared" si="19"/>
        <v>15.04950495049505</v>
      </c>
      <c r="T49" s="1">
        <f t="shared" si="20"/>
        <v>9.1089108910891099</v>
      </c>
      <c r="U49" s="1">
        <v>19.8</v>
      </c>
      <c r="V49" s="1">
        <v>18</v>
      </c>
      <c r="W49" s="1">
        <v>31.2</v>
      </c>
      <c r="X49" s="1">
        <v>20.399999999999999</v>
      </c>
      <c r="Y49" s="1">
        <v>27</v>
      </c>
      <c r="Z49" s="1">
        <v>32.4</v>
      </c>
      <c r="AA49" s="1">
        <v>26.4</v>
      </c>
      <c r="AB49" s="1">
        <v>22.6</v>
      </c>
      <c r="AC49" s="1">
        <v>18.600000000000001</v>
      </c>
      <c r="AD49" s="1">
        <v>29.4</v>
      </c>
      <c r="AE49" s="1"/>
      <c r="AF49" s="1">
        <f t="shared" si="21"/>
        <v>69.16</v>
      </c>
      <c r="AG49" s="7">
        <v>10</v>
      </c>
      <c r="AH49" s="9">
        <f t="shared" si="22"/>
        <v>12</v>
      </c>
      <c r="AI49" s="1">
        <f t="shared" si="23"/>
        <v>84</v>
      </c>
      <c r="AJ49" s="1">
        <v>12</v>
      </c>
      <c r="AK49" s="1">
        <v>84</v>
      </c>
      <c r="AL49" s="9">
        <f t="shared" si="24"/>
        <v>0.14285714285714285</v>
      </c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126</v>
      </c>
      <c r="B50" s="1" t="s">
        <v>42</v>
      </c>
      <c r="C50" s="1">
        <v>148</v>
      </c>
      <c r="D50" s="1">
        <v>5</v>
      </c>
      <c r="E50" s="1">
        <v>64</v>
      </c>
      <c r="F50" s="1">
        <v>82</v>
      </c>
      <c r="G50" s="7">
        <v>0.7</v>
      </c>
      <c r="H50" s="1">
        <v>180</v>
      </c>
      <c r="I50" s="1" t="s">
        <v>127</v>
      </c>
      <c r="J50" s="1"/>
      <c r="K50" s="1">
        <v>69</v>
      </c>
      <c r="L50" s="1">
        <f t="shared" si="15"/>
        <v>-5</v>
      </c>
      <c r="M50" s="1"/>
      <c r="N50" s="1"/>
      <c r="O50" s="1">
        <v>0</v>
      </c>
      <c r="P50" s="1">
        <f t="shared" si="16"/>
        <v>12.8</v>
      </c>
      <c r="Q50" s="5">
        <f t="shared" si="17"/>
        <v>97.200000000000017</v>
      </c>
      <c r="R50" s="5">
        <f t="shared" si="18"/>
        <v>120</v>
      </c>
      <c r="S50" s="1">
        <f t="shared" si="19"/>
        <v>15.78125</v>
      </c>
      <c r="T50" s="1">
        <f t="shared" si="20"/>
        <v>6.40625</v>
      </c>
      <c r="U50" s="1">
        <v>10.8</v>
      </c>
      <c r="V50" s="1">
        <v>8</v>
      </c>
      <c r="W50" s="1">
        <v>10.199999999999999</v>
      </c>
      <c r="X50" s="1">
        <v>18.8</v>
      </c>
      <c r="Y50" s="1">
        <v>29</v>
      </c>
      <c r="Z50" s="1">
        <v>0</v>
      </c>
      <c r="AA50" s="1">
        <v>0</v>
      </c>
      <c r="AB50" s="1">
        <v>0</v>
      </c>
      <c r="AC50" s="1">
        <v>8.6</v>
      </c>
      <c r="AD50" s="1">
        <v>15.4</v>
      </c>
      <c r="AE50" s="1" t="s">
        <v>128</v>
      </c>
      <c r="AF50" s="1">
        <f t="shared" si="21"/>
        <v>68.040000000000006</v>
      </c>
      <c r="AG50" s="7">
        <v>10</v>
      </c>
      <c r="AH50" s="9">
        <f t="shared" si="22"/>
        <v>12</v>
      </c>
      <c r="AI50" s="1">
        <f t="shared" si="23"/>
        <v>84</v>
      </c>
      <c r="AJ50" s="1">
        <v>12</v>
      </c>
      <c r="AK50" s="1">
        <v>84</v>
      </c>
      <c r="AL50" s="9">
        <f t="shared" si="24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129</v>
      </c>
      <c r="B51" s="1" t="s">
        <v>42</v>
      </c>
      <c r="C51" s="1">
        <v>46</v>
      </c>
      <c r="D51" s="1">
        <v>367</v>
      </c>
      <c r="E51" s="1">
        <v>113</v>
      </c>
      <c r="F51" s="1">
        <v>259</v>
      </c>
      <c r="G51" s="7">
        <v>0.7</v>
      </c>
      <c r="H51" s="1">
        <v>180</v>
      </c>
      <c r="I51" s="1" t="s">
        <v>130</v>
      </c>
      <c r="J51" s="1"/>
      <c r="K51" s="1">
        <v>130</v>
      </c>
      <c r="L51" s="1">
        <f t="shared" si="15"/>
        <v>-17</v>
      </c>
      <c r="M51" s="1"/>
      <c r="N51" s="1"/>
      <c r="O51" s="1">
        <v>0</v>
      </c>
      <c r="P51" s="1">
        <f t="shared" si="16"/>
        <v>22.6</v>
      </c>
      <c r="Q51" s="5">
        <f t="shared" si="17"/>
        <v>57.400000000000034</v>
      </c>
      <c r="R51" s="5">
        <f t="shared" si="18"/>
        <v>0</v>
      </c>
      <c r="S51" s="1">
        <f t="shared" si="19"/>
        <v>11.460176991150442</v>
      </c>
      <c r="T51" s="1">
        <f t="shared" si="20"/>
        <v>11.460176991150442</v>
      </c>
      <c r="U51" s="1">
        <v>24.4</v>
      </c>
      <c r="V51" s="1">
        <v>34.799999999999997</v>
      </c>
      <c r="W51" s="1">
        <v>33.6</v>
      </c>
      <c r="X51" s="1">
        <v>24.4</v>
      </c>
      <c r="Y51" s="1">
        <v>32</v>
      </c>
      <c r="Z51" s="1">
        <v>39.200000000000003</v>
      </c>
      <c r="AA51" s="1">
        <v>42.4</v>
      </c>
      <c r="AB51" s="1">
        <v>39</v>
      </c>
      <c r="AC51" s="1">
        <v>26</v>
      </c>
      <c r="AD51" s="1">
        <v>31.8</v>
      </c>
      <c r="AE51" s="1"/>
      <c r="AF51" s="1">
        <f t="shared" si="21"/>
        <v>40.180000000000021</v>
      </c>
      <c r="AG51" s="7">
        <v>10</v>
      </c>
      <c r="AH51" s="9">
        <f t="shared" si="22"/>
        <v>0</v>
      </c>
      <c r="AI51" s="1">
        <f t="shared" si="23"/>
        <v>0</v>
      </c>
      <c r="AJ51" s="1">
        <v>12</v>
      </c>
      <c r="AK51" s="1">
        <v>84</v>
      </c>
      <c r="AL51" s="9">
        <f t="shared" si="24"/>
        <v>0</v>
      </c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131</v>
      </c>
      <c r="B52" s="1" t="s">
        <v>42</v>
      </c>
      <c r="C52" s="1">
        <v>57</v>
      </c>
      <c r="D52" s="1">
        <v>120</v>
      </c>
      <c r="E52" s="1">
        <v>66</v>
      </c>
      <c r="F52" s="1">
        <v>109</v>
      </c>
      <c r="G52" s="7">
        <v>0.7</v>
      </c>
      <c r="H52" s="1">
        <v>180</v>
      </c>
      <c r="I52" s="1" t="s">
        <v>132</v>
      </c>
      <c r="J52" s="1"/>
      <c r="K52" s="1">
        <v>72</v>
      </c>
      <c r="L52" s="1">
        <f t="shared" si="15"/>
        <v>-6</v>
      </c>
      <c r="M52" s="1"/>
      <c r="N52" s="1"/>
      <c r="O52" s="1">
        <v>0</v>
      </c>
      <c r="P52" s="1">
        <f t="shared" si="16"/>
        <v>13.2</v>
      </c>
      <c r="Q52" s="5">
        <f t="shared" si="17"/>
        <v>75.799999999999983</v>
      </c>
      <c r="R52" s="5">
        <f t="shared" si="18"/>
        <v>120</v>
      </c>
      <c r="S52" s="1">
        <f t="shared" si="19"/>
        <v>17.348484848484848</v>
      </c>
      <c r="T52" s="1">
        <f t="shared" si="20"/>
        <v>8.2575757575757578</v>
      </c>
      <c r="U52" s="1">
        <v>12.8</v>
      </c>
      <c r="V52" s="1">
        <v>9.8000000000000007</v>
      </c>
      <c r="W52" s="1">
        <v>14</v>
      </c>
      <c r="X52" s="1">
        <v>14</v>
      </c>
      <c r="Y52" s="1">
        <v>19.8</v>
      </c>
      <c r="Z52" s="1">
        <v>8.6</v>
      </c>
      <c r="AA52" s="1">
        <v>23.2</v>
      </c>
      <c r="AB52" s="1">
        <v>21.2</v>
      </c>
      <c r="AC52" s="1">
        <v>10.199999999999999</v>
      </c>
      <c r="AD52" s="1">
        <v>12.8</v>
      </c>
      <c r="AE52" s="1"/>
      <c r="AF52" s="1">
        <f t="shared" si="21"/>
        <v>53.059999999999988</v>
      </c>
      <c r="AG52" s="7">
        <v>10</v>
      </c>
      <c r="AH52" s="9">
        <f t="shared" si="22"/>
        <v>12</v>
      </c>
      <c r="AI52" s="1">
        <f t="shared" si="23"/>
        <v>84</v>
      </c>
      <c r="AJ52" s="1">
        <v>12</v>
      </c>
      <c r="AK52" s="1">
        <v>84</v>
      </c>
      <c r="AL52" s="9">
        <f t="shared" si="24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133</v>
      </c>
      <c r="B53" s="1" t="s">
        <v>90</v>
      </c>
      <c r="C53" s="1">
        <v>90</v>
      </c>
      <c r="D53" s="1">
        <v>1455</v>
      </c>
      <c r="E53" s="1">
        <v>410</v>
      </c>
      <c r="F53" s="1">
        <v>910</v>
      </c>
      <c r="G53" s="7">
        <v>1</v>
      </c>
      <c r="H53" s="1">
        <v>180</v>
      </c>
      <c r="I53" s="1" t="s">
        <v>134</v>
      </c>
      <c r="J53" s="1"/>
      <c r="K53" s="1">
        <v>515</v>
      </c>
      <c r="L53" s="1">
        <f t="shared" si="15"/>
        <v>-105</v>
      </c>
      <c r="M53" s="1"/>
      <c r="N53" s="1"/>
      <c r="O53" s="1">
        <v>540</v>
      </c>
      <c r="P53" s="1">
        <f t="shared" si="16"/>
        <v>82</v>
      </c>
      <c r="Q53" s="5"/>
      <c r="R53" s="5">
        <f t="shared" si="18"/>
        <v>0</v>
      </c>
      <c r="S53" s="1">
        <f t="shared" si="19"/>
        <v>17.682926829268293</v>
      </c>
      <c r="T53" s="1">
        <f t="shared" si="20"/>
        <v>17.682926829268293</v>
      </c>
      <c r="U53" s="1">
        <v>138</v>
      </c>
      <c r="V53" s="1">
        <v>139</v>
      </c>
      <c r="W53" s="1">
        <v>121</v>
      </c>
      <c r="X53" s="1">
        <v>87</v>
      </c>
      <c r="Y53" s="1">
        <v>138</v>
      </c>
      <c r="Z53" s="1">
        <v>155.19999999999999</v>
      </c>
      <c r="AA53" s="1">
        <v>181</v>
      </c>
      <c r="AB53" s="1">
        <v>163</v>
      </c>
      <c r="AC53" s="1">
        <v>77</v>
      </c>
      <c r="AD53" s="1">
        <v>103</v>
      </c>
      <c r="AE53" s="1"/>
      <c r="AF53" s="1">
        <f t="shared" si="21"/>
        <v>0</v>
      </c>
      <c r="AG53" s="7">
        <v>5</v>
      </c>
      <c r="AH53" s="9">
        <f t="shared" si="22"/>
        <v>0</v>
      </c>
      <c r="AI53" s="1">
        <f t="shared" si="23"/>
        <v>0</v>
      </c>
      <c r="AJ53" s="1">
        <v>12</v>
      </c>
      <c r="AK53" s="1">
        <v>144</v>
      </c>
      <c r="AL53" s="9">
        <f t="shared" si="24"/>
        <v>0</v>
      </c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135</v>
      </c>
      <c r="B54" s="1" t="s">
        <v>42</v>
      </c>
      <c r="C54" s="1">
        <v>66</v>
      </c>
      <c r="D54" s="1">
        <v>392</v>
      </c>
      <c r="E54" s="1">
        <v>90</v>
      </c>
      <c r="F54" s="1">
        <v>291</v>
      </c>
      <c r="G54" s="7">
        <v>0.4</v>
      </c>
      <c r="H54" s="1">
        <v>180</v>
      </c>
      <c r="I54" s="1" t="s">
        <v>136</v>
      </c>
      <c r="J54" s="1"/>
      <c r="K54" s="1">
        <v>96</v>
      </c>
      <c r="L54" s="1">
        <f t="shared" si="15"/>
        <v>-6</v>
      </c>
      <c r="M54" s="1"/>
      <c r="N54" s="1"/>
      <c r="O54" s="1">
        <v>0</v>
      </c>
      <c r="P54" s="1">
        <f t="shared" si="16"/>
        <v>18</v>
      </c>
      <c r="Q54" s="5"/>
      <c r="R54" s="5">
        <f t="shared" si="18"/>
        <v>0</v>
      </c>
      <c r="S54" s="1">
        <f t="shared" si="19"/>
        <v>16.166666666666668</v>
      </c>
      <c r="T54" s="1">
        <f t="shared" si="20"/>
        <v>16.166666666666668</v>
      </c>
      <c r="U54" s="1">
        <v>26.8</v>
      </c>
      <c r="V54" s="1">
        <v>28.6</v>
      </c>
      <c r="W54" s="1">
        <v>23.8</v>
      </c>
      <c r="X54" s="1">
        <v>28.8</v>
      </c>
      <c r="Y54" s="1">
        <v>32.6</v>
      </c>
      <c r="Z54" s="1">
        <v>29.2</v>
      </c>
      <c r="AA54" s="1">
        <v>14.8</v>
      </c>
      <c r="AB54" s="1">
        <v>25.8</v>
      </c>
      <c r="AC54" s="1">
        <v>33.200000000000003</v>
      </c>
      <c r="AD54" s="1">
        <v>14.8</v>
      </c>
      <c r="AE54" s="1"/>
      <c r="AF54" s="1">
        <f t="shared" si="21"/>
        <v>0</v>
      </c>
      <c r="AG54" s="7">
        <v>16</v>
      </c>
      <c r="AH54" s="9">
        <f t="shared" si="22"/>
        <v>0</v>
      </c>
      <c r="AI54" s="1">
        <f t="shared" si="23"/>
        <v>0</v>
      </c>
      <c r="AJ54" s="1">
        <v>12</v>
      </c>
      <c r="AK54" s="1">
        <v>84</v>
      </c>
      <c r="AL54" s="9">
        <f t="shared" si="24"/>
        <v>0</v>
      </c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137</v>
      </c>
      <c r="B55" s="1" t="s">
        <v>42</v>
      </c>
      <c r="C55" s="1">
        <v>254</v>
      </c>
      <c r="D55" s="1">
        <v>367</v>
      </c>
      <c r="E55" s="1">
        <v>214</v>
      </c>
      <c r="F55" s="1">
        <v>290</v>
      </c>
      <c r="G55" s="7">
        <v>0.7</v>
      </c>
      <c r="H55" s="1">
        <v>180</v>
      </c>
      <c r="I55" s="1" t="s">
        <v>138</v>
      </c>
      <c r="J55" s="1"/>
      <c r="K55" s="1">
        <v>220</v>
      </c>
      <c r="L55" s="1">
        <f t="shared" si="15"/>
        <v>-6</v>
      </c>
      <c r="M55" s="1"/>
      <c r="N55" s="1"/>
      <c r="O55" s="1">
        <v>120</v>
      </c>
      <c r="P55" s="1">
        <f t="shared" si="16"/>
        <v>42.8</v>
      </c>
      <c r="Q55" s="5">
        <f t="shared" si="17"/>
        <v>189.19999999999993</v>
      </c>
      <c r="R55" s="5">
        <f t="shared" si="18"/>
        <v>240</v>
      </c>
      <c r="S55" s="1">
        <f t="shared" si="19"/>
        <v>15.186915887850468</v>
      </c>
      <c r="T55" s="1">
        <f t="shared" si="20"/>
        <v>9.5794392523364493</v>
      </c>
      <c r="U55" s="1">
        <v>45</v>
      </c>
      <c r="V55" s="1">
        <v>42</v>
      </c>
      <c r="W55" s="1">
        <v>69.8</v>
      </c>
      <c r="X55" s="1">
        <v>65.2</v>
      </c>
      <c r="Y55" s="1">
        <v>56.6</v>
      </c>
      <c r="Z55" s="1">
        <v>66</v>
      </c>
      <c r="AA55" s="1">
        <v>58</v>
      </c>
      <c r="AB55" s="1">
        <v>49.4</v>
      </c>
      <c r="AC55" s="1">
        <v>44.6</v>
      </c>
      <c r="AD55" s="1">
        <v>50</v>
      </c>
      <c r="AE55" s="1"/>
      <c r="AF55" s="1">
        <f t="shared" si="21"/>
        <v>132.43999999999994</v>
      </c>
      <c r="AG55" s="7">
        <v>10</v>
      </c>
      <c r="AH55" s="9">
        <f t="shared" si="22"/>
        <v>24</v>
      </c>
      <c r="AI55" s="1">
        <f t="shared" si="23"/>
        <v>168</v>
      </c>
      <c r="AJ55" s="1">
        <v>12</v>
      </c>
      <c r="AK55" s="1">
        <v>84</v>
      </c>
      <c r="AL55" s="9">
        <f t="shared" si="24"/>
        <v>0.2857142857142857</v>
      </c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139</v>
      </c>
      <c r="B56" s="1" t="s">
        <v>42</v>
      </c>
      <c r="C56" s="1">
        <v>91</v>
      </c>
      <c r="D56" s="1">
        <v>666</v>
      </c>
      <c r="E56" s="1">
        <v>106</v>
      </c>
      <c r="F56" s="1">
        <v>485</v>
      </c>
      <c r="G56" s="7">
        <v>0.4</v>
      </c>
      <c r="H56" s="1">
        <v>180</v>
      </c>
      <c r="I56" s="1" t="s">
        <v>140</v>
      </c>
      <c r="J56" s="1"/>
      <c r="K56" s="1">
        <v>111</v>
      </c>
      <c r="L56" s="1">
        <f t="shared" si="15"/>
        <v>-5</v>
      </c>
      <c r="M56" s="1"/>
      <c r="N56" s="1"/>
      <c r="O56" s="1">
        <v>0</v>
      </c>
      <c r="P56" s="1">
        <f t="shared" si="16"/>
        <v>21.2</v>
      </c>
      <c r="Q56" s="5"/>
      <c r="R56" s="5">
        <f t="shared" si="18"/>
        <v>0</v>
      </c>
      <c r="S56" s="1">
        <f t="shared" si="19"/>
        <v>22.877358490566039</v>
      </c>
      <c r="T56" s="1">
        <f t="shared" si="20"/>
        <v>22.877358490566039</v>
      </c>
      <c r="U56" s="1">
        <v>44.6</v>
      </c>
      <c r="V56" s="1">
        <v>48.2</v>
      </c>
      <c r="W56" s="1">
        <v>53</v>
      </c>
      <c r="X56" s="1">
        <v>41.6</v>
      </c>
      <c r="Y56" s="1">
        <v>46.8</v>
      </c>
      <c r="Z56" s="1">
        <v>33.200000000000003</v>
      </c>
      <c r="AA56" s="1">
        <v>24</v>
      </c>
      <c r="AB56" s="1">
        <v>36.4</v>
      </c>
      <c r="AC56" s="1">
        <v>40.6</v>
      </c>
      <c r="AD56" s="1">
        <v>48</v>
      </c>
      <c r="AE56" s="1"/>
      <c r="AF56" s="1">
        <f t="shared" si="21"/>
        <v>0</v>
      </c>
      <c r="AG56" s="7">
        <v>16</v>
      </c>
      <c r="AH56" s="9">
        <f t="shared" si="22"/>
        <v>0</v>
      </c>
      <c r="AI56" s="1">
        <f t="shared" si="23"/>
        <v>0</v>
      </c>
      <c r="AJ56" s="1">
        <v>12</v>
      </c>
      <c r="AK56" s="1">
        <v>84</v>
      </c>
      <c r="AL56" s="9">
        <f t="shared" si="24"/>
        <v>0</v>
      </c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141</v>
      </c>
      <c r="B57" s="1" t="s">
        <v>42</v>
      </c>
      <c r="C57" s="1">
        <v>273</v>
      </c>
      <c r="D57" s="1">
        <v>730</v>
      </c>
      <c r="E57" s="1">
        <v>352</v>
      </c>
      <c r="F57" s="1">
        <v>536</v>
      </c>
      <c r="G57" s="7">
        <v>0.7</v>
      </c>
      <c r="H57" s="1">
        <v>180</v>
      </c>
      <c r="I57" s="1" t="s">
        <v>142</v>
      </c>
      <c r="J57" s="1"/>
      <c r="K57" s="1">
        <v>358</v>
      </c>
      <c r="L57" s="1">
        <f t="shared" si="15"/>
        <v>-6</v>
      </c>
      <c r="M57" s="1"/>
      <c r="N57" s="1"/>
      <c r="O57" s="1">
        <v>120</v>
      </c>
      <c r="P57" s="1">
        <f t="shared" si="16"/>
        <v>70.400000000000006</v>
      </c>
      <c r="Q57" s="5">
        <f t="shared" si="17"/>
        <v>329.60000000000014</v>
      </c>
      <c r="R57" s="5">
        <f t="shared" si="18"/>
        <v>360</v>
      </c>
      <c r="S57" s="1">
        <f t="shared" si="19"/>
        <v>14.43181818181818</v>
      </c>
      <c r="T57" s="1">
        <f t="shared" si="20"/>
        <v>9.3181818181818166</v>
      </c>
      <c r="U57" s="1">
        <v>79</v>
      </c>
      <c r="V57" s="1">
        <v>82.4</v>
      </c>
      <c r="W57" s="1">
        <v>84.2</v>
      </c>
      <c r="X57" s="1">
        <v>81.599999999999994</v>
      </c>
      <c r="Y57" s="1">
        <v>101.2</v>
      </c>
      <c r="Z57" s="1">
        <v>93.6</v>
      </c>
      <c r="AA57" s="1">
        <v>78.8</v>
      </c>
      <c r="AB57" s="1">
        <v>85.6</v>
      </c>
      <c r="AC57" s="1">
        <v>70.400000000000006</v>
      </c>
      <c r="AD57" s="1">
        <v>102.8</v>
      </c>
      <c r="AE57" s="1"/>
      <c r="AF57" s="1">
        <f t="shared" si="21"/>
        <v>230.72000000000008</v>
      </c>
      <c r="AG57" s="7">
        <v>10</v>
      </c>
      <c r="AH57" s="9">
        <f t="shared" si="22"/>
        <v>36</v>
      </c>
      <c r="AI57" s="1">
        <f t="shared" si="23"/>
        <v>251.99999999999997</v>
      </c>
      <c r="AJ57" s="1">
        <v>12</v>
      </c>
      <c r="AK57" s="1">
        <v>84</v>
      </c>
      <c r="AL57" s="9">
        <f t="shared" si="24"/>
        <v>0.42857142857142855</v>
      </c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143</v>
      </c>
      <c r="B58" s="1" t="s">
        <v>42</v>
      </c>
      <c r="C58" s="1">
        <v>113</v>
      </c>
      <c r="D58" s="1">
        <v>240</v>
      </c>
      <c r="E58" s="1">
        <v>173</v>
      </c>
      <c r="F58" s="1">
        <v>165</v>
      </c>
      <c r="G58" s="7">
        <v>0.7</v>
      </c>
      <c r="H58" s="1">
        <v>180</v>
      </c>
      <c r="I58" s="1" t="s">
        <v>144</v>
      </c>
      <c r="J58" s="1"/>
      <c r="K58" s="1">
        <v>173</v>
      </c>
      <c r="L58" s="1">
        <f t="shared" si="15"/>
        <v>0</v>
      </c>
      <c r="M58" s="1"/>
      <c r="N58" s="1"/>
      <c r="O58" s="1">
        <v>120</v>
      </c>
      <c r="P58" s="1">
        <f t="shared" si="16"/>
        <v>34.6</v>
      </c>
      <c r="Q58" s="5">
        <f t="shared" si="17"/>
        <v>199.40000000000003</v>
      </c>
      <c r="R58" s="5">
        <f t="shared" si="18"/>
        <v>240</v>
      </c>
      <c r="S58" s="1">
        <f t="shared" si="19"/>
        <v>15.173410404624278</v>
      </c>
      <c r="T58" s="1">
        <f t="shared" si="20"/>
        <v>8.2369942196531785</v>
      </c>
      <c r="U58" s="1">
        <v>32.799999999999997</v>
      </c>
      <c r="V58" s="1">
        <v>27.4</v>
      </c>
      <c r="W58" s="1">
        <v>29.4</v>
      </c>
      <c r="X58" s="1">
        <v>28.4</v>
      </c>
      <c r="Y58" s="1">
        <v>28.4</v>
      </c>
      <c r="Z58" s="1">
        <v>33.4</v>
      </c>
      <c r="AA58" s="1">
        <v>34.200000000000003</v>
      </c>
      <c r="AB58" s="1">
        <v>30.6</v>
      </c>
      <c r="AC58" s="1">
        <v>18.2</v>
      </c>
      <c r="AD58" s="1">
        <v>38.799999999999997</v>
      </c>
      <c r="AE58" s="1"/>
      <c r="AF58" s="1">
        <f t="shared" si="21"/>
        <v>139.58000000000001</v>
      </c>
      <c r="AG58" s="7">
        <v>10</v>
      </c>
      <c r="AH58" s="9">
        <f t="shared" si="22"/>
        <v>24</v>
      </c>
      <c r="AI58" s="1">
        <f t="shared" si="23"/>
        <v>168</v>
      </c>
      <c r="AJ58" s="1">
        <v>12</v>
      </c>
      <c r="AK58" s="1">
        <v>84</v>
      </c>
      <c r="AL58" s="9">
        <f t="shared" si="24"/>
        <v>0.2857142857142857</v>
      </c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145</v>
      </c>
      <c r="B59" s="1" t="s">
        <v>42</v>
      </c>
      <c r="C59" s="1">
        <v>-1</v>
      </c>
      <c r="D59" s="1">
        <v>720</v>
      </c>
      <c r="E59" s="1">
        <v>149</v>
      </c>
      <c r="F59" s="1">
        <v>463</v>
      </c>
      <c r="G59" s="7">
        <v>0.8</v>
      </c>
      <c r="H59" s="1">
        <v>180</v>
      </c>
      <c r="I59" s="1" t="s">
        <v>146</v>
      </c>
      <c r="J59" s="1"/>
      <c r="K59" s="1">
        <v>179</v>
      </c>
      <c r="L59" s="1">
        <f t="shared" si="15"/>
        <v>-30</v>
      </c>
      <c r="M59" s="1"/>
      <c r="N59" s="1"/>
      <c r="O59" s="1">
        <v>480</v>
      </c>
      <c r="P59" s="1">
        <f t="shared" si="16"/>
        <v>29.8</v>
      </c>
      <c r="Q59" s="5"/>
      <c r="R59" s="5">
        <f t="shared" si="18"/>
        <v>0</v>
      </c>
      <c r="S59" s="1">
        <f t="shared" si="19"/>
        <v>31.644295302013422</v>
      </c>
      <c r="T59" s="1">
        <f t="shared" si="20"/>
        <v>31.644295302013422</v>
      </c>
      <c r="U59" s="1">
        <v>54.4</v>
      </c>
      <c r="V59" s="1">
        <v>57.4</v>
      </c>
      <c r="W59" s="1">
        <v>63.4</v>
      </c>
      <c r="X59" s="1">
        <v>44.6</v>
      </c>
      <c r="Y59" s="1">
        <v>69</v>
      </c>
      <c r="Z59" s="1">
        <v>80.8</v>
      </c>
      <c r="AA59" s="1">
        <v>73.8</v>
      </c>
      <c r="AB59" s="1">
        <v>48.6</v>
      </c>
      <c r="AC59" s="1">
        <v>20.399999999999999</v>
      </c>
      <c r="AD59" s="1">
        <v>37.4</v>
      </c>
      <c r="AE59" s="1"/>
      <c r="AF59" s="1">
        <f t="shared" si="21"/>
        <v>0</v>
      </c>
      <c r="AG59" s="7">
        <v>8</v>
      </c>
      <c r="AH59" s="9">
        <f t="shared" si="22"/>
        <v>0</v>
      </c>
      <c r="AI59" s="1">
        <f t="shared" si="23"/>
        <v>0</v>
      </c>
      <c r="AJ59" s="1">
        <v>12</v>
      </c>
      <c r="AK59" s="1">
        <v>84</v>
      </c>
      <c r="AL59" s="9">
        <f t="shared" si="24"/>
        <v>0</v>
      </c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147</v>
      </c>
      <c r="B60" s="1" t="s">
        <v>42</v>
      </c>
      <c r="C60" s="1">
        <v>571</v>
      </c>
      <c r="D60" s="1">
        <v>928</v>
      </c>
      <c r="E60" s="1">
        <v>811</v>
      </c>
      <c r="F60" s="1">
        <v>498</v>
      </c>
      <c r="G60" s="7">
        <v>1</v>
      </c>
      <c r="H60" s="1">
        <v>180</v>
      </c>
      <c r="I60" s="1" t="s">
        <v>148</v>
      </c>
      <c r="J60" s="1"/>
      <c r="K60" s="1">
        <v>875</v>
      </c>
      <c r="L60" s="1">
        <f t="shared" si="15"/>
        <v>-64</v>
      </c>
      <c r="M60" s="1"/>
      <c r="N60" s="1"/>
      <c r="O60" s="1">
        <v>180</v>
      </c>
      <c r="P60" s="1">
        <f t="shared" si="16"/>
        <v>162.19999999999999</v>
      </c>
      <c r="Q60" s="5">
        <f t="shared" si="17"/>
        <v>1592.7999999999997</v>
      </c>
      <c r="R60" s="5">
        <f t="shared" si="18"/>
        <v>1620</v>
      </c>
      <c r="S60" s="1">
        <f t="shared" si="19"/>
        <v>14.167694204685574</v>
      </c>
      <c r="T60" s="1">
        <f t="shared" si="20"/>
        <v>4.1800246609124541</v>
      </c>
      <c r="U60" s="1">
        <v>117.8</v>
      </c>
      <c r="V60" s="1">
        <v>125.2</v>
      </c>
      <c r="W60" s="1">
        <v>134.4</v>
      </c>
      <c r="X60" s="1">
        <v>140.4</v>
      </c>
      <c r="Y60" s="1">
        <v>135.19999999999999</v>
      </c>
      <c r="Z60" s="1">
        <v>143</v>
      </c>
      <c r="AA60" s="1">
        <v>145.19999999999999</v>
      </c>
      <c r="AB60" s="1">
        <v>135.19999999999999</v>
      </c>
      <c r="AC60" s="1">
        <v>97.8</v>
      </c>
      <c r="AD60" s="1">
        <v>121.2</v>
      </c>
      <c r="AE60" s="1"/>
      <c r="AF60" s="1">
        <f t="shared" si="21"/>
        <v>1592.7999999999997</v>
      </c>
      <c r="AG60" s="7">
        <v>5</v>
      </c>
      <c r="AH60" s="9">
        <f t="shared" si="22"/>
        <v>324</v>
      </c>
      <c r="AI60" s="1">
        <f t="shared" si="23"/>
        <v>1620</v>
      </c>
      <c r="AJ60" s="1">
        <v>12</v>
      </c>
      <c r="AK60" s="1">
        <v>84</v>
      </c>
      <c r="AL60" s="9">
        <f t="shared" si="24"/>
        <v>3.8571428571428572</v>
      </c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149</v>
      </c>
      <c r="B61" s="1" t="s">
        <v>42</v>
      </c>
      <c r="C61" s="1">
        <v>84</v>
      </c>
      <c r="D61" s="1">
        <v>201</v>
      </c>
      <c r="E61" s="1">
        <v>129</v>
      </c>
      <c r="F61" s="1">
        <v>143</v>
      </c>
      <c r="G61" s="7">
        <v>0.9</v>
      </c>
      <c r="H61" s="1">
        <v>180</v>
      </c>
      <c r="I61" s="1" t="s">
        <v>150</v>
      </c>
      <c r="J61" s="1"/>
      <c r="K61" s="1">
        <v>136</v>
      </c>
      <c r="L61" s="1">
        <f t="shared" si="15"/>
        <v>-7</v>
      </c>
      <c r="M61" s="1"/>
      <c r="N61" s="1"/>
      <c r="O61" s="1">
        <v>96</v>
      </c>
      <c r="P61" s="1">
        <f t="shared" si="16"/>
        <v>25.8</v>
      </c>
      <c r="Q61" s="5">
        <f t="shared" si="17"/>
        <v>122.19999999999999</v>
      </c>
      <c r="R61" s="5">
        <f t="shared" si="18"/>
        <v>96</v>
      </c>
      <c r="S61" s="1">
        <f t="shared" si="19"/>
        <v>12.984496124031008</v>
      </c>
      <c r="T61" s="1">
        <f t="shared" si="20"/>
        <v>9.2635658914728687</v>
      </c>
      <c r="U61" s="1">
        <v>26</v>
      </c>
      <c r="V61" s="1">
        <v>20.2</v>
      </c>
      <c r="W61" s="1">
        <v>24.4</v>
      </c>
      <c r="X61" s="1">
        <v>23.8</v>
      </c>
      <c r="Y61" s="1">
        <v>27.8</v>
      </c>
      <c r="Z61" s="1">
        <v>39.6</v>
      </c>
      <c r="AA61" s="1">
        <v>42</v>
      </c>
      <c r="AB61" s="1">
        <v>33.6</v>
      </c>
      <c r="AC61" s="1">
        <v>26</v>
      </c>
      <c r="AD61" s="1">
        <v>39.4</v>
      </c>
      <c r="AE61" s="1"/>
      <c r="AF61" s="1">
        <f t="shared" si="21"/>
        <v>109.97999999999999</v>
      </c>
      <c r="AG61" s="7">
        <v>8</v>
      </c>
      <c r="AH61" s="9">
        <f t="shared" si="22"/>
        <v>12</v>
      </c>
      <c r="AI61" s="1">
        <f t="shared" si="23"/>
        <v>86.4</v>
      </c>
      <c r="AJ61" s="1">
        <v>12</v>
      </c>
      <c r="AK61" s="1">
        <v>84</v>
      </c>
      <c r="AL61" s="9">
        <f t="shared" si="24"/>
        <v>0.14285714285714285</v>
      </c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151</v>
      </c>
      <c r="B62" s="1" t="s">
        <v>42</v>
      </c>
      <c r="C62" s="1">
        <v>83</v>
      </c>
      <c r="D62" s="1">
        <v>99</v>
      </c>
      <c r="E62" s="1">
        <v>59</v>
      </c>
      <c r="F62" s="1">
        <v>84</v>
      </c>
      <c r="G62" s="7">
        <v>0.9</v>
      </c>
      <c r="H62" s="1">
        <v>180</v>
      </c>
      <c r="I62" s="1" t="s">
        <v>152</v>
      </c>
      <c r="J62" s="1"/>
      <c r="K62" s="1">
        <v>60</v>
      </c>
      <c r="L62" s="1">
        <f t="shared" si="15"/>
        <v>-1</v>
      </c>
      <c r="M62" s="1"/>
      <c r="N62" s="1"/>
      <c r="O62" s="1">
        <v>0</v>
      </c>
      <c r="P62" s="1">
        <f t="shared" si="16"/>
        <v>11.8</v>
      </c>
      <c r="Q62" s="5">
        <f t="shared" si="17"/>
        <v>81.200000000000017</v>
      </c>
      <c r="R62" s="5">
        <f t="shared" si="18"/>
        <v>96</v>
      </c>
      <c r="S62" s="1">
        <f t="shared" si="19"/>
        <v>15.254237288135592</v>
      </c>
      <c r="T62" s="1">
        <f t="shared" si="20"/>
        <v>7.1186440677966099</v>
      </c>
      <c r="U62" s="1">
        <v>11</v>
      </c>
      <c r="V62" s="1">
        <v>11.6</v>
      </c>
      <c r="W62" s="1">
        <v>16.2</v>
      </c>
      <c r="X62" s="1">
        <v>12</v>
      </c>
      <c r="Y62" s="1">
        <v>14.8</v>
      </c>
      <c r="Z62" s="1">
        <v>19.399999999999999</v>
      </c>
      <c r="AA62" s="1">
        <v>17.399999999999999</v>
      </c>
      <c r="AB62" s="1">
        <v>16.8</v>
      </c>
      <c r="AC62" s="1">
        <v>11.6</v>
      </c>
      <c r="AD62" s="1">
        <v>15</v>
      </c>
      <c r="AE62" s="1"/>
      <c r="AF62" s="1">
        <f t="shared" si="21"/>
        <v>73.080000000000013</v>
      </c>
      <c r="AG62" s="7">
        <v>8</v>
      </c>
      <c r="AH62" s="9">
        <f t="shared" si="22"/>
        <v>12</v>
      </c>
      <c r="AI62" s="1">
        <f t="shared" si="23"/>
        <v>86.4</v>
      </c>
      <c r="AJ62" s="1">
        <v>12</v>
      </c>
      <c r="AK62" s="1">
        <v>84</v>
      </c>
      <c r="AL62" s="9">
        <f t="shared" si="24"/>
        <v>0.14285714285714285</v>
      </c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153</v>
      </c>
      <c r="B63" s="1" t="s">
        <v>90</v>
      </c>
      <c r="C63" s="1">
        <v>-15</v>
      </c>
      <c r="D63" s="1">
        <v>480</v>
      </c>
      <c r="E63" s="1">
        <v>100</v>
      </c>
      <c r="F63" s="1">
        <v>295</v>
      </c>
      <c r="G63" s="7">
        <v>1</v>
      </c>
      <c r="H63" s="1">
        <v>180</v>
      </c>
      <c r="I63" s="1" t="s">
        <v>154</v>
      </c>
      <c r="J63" s="1"/>
      <c r="K63" s="1">
        <v>160</v>
      </c>
      <c r="L63" s="1">
        <f t="shared" si="15"/>
        <v>-60</v>
      </c>
      <c r="M63" s="1"/>
      <c r="N63" s="1"/>
      <c r="O63" s="1">
        <v>240</v>
      </c>
      <c r="P63" s="1">
        <f t="shared" si="16"/>
        <v>20</v>
      </c>
      <c r="Q63" s="5"/>
      <c r="R63" s="5">
        <f t="shared" si="18"/>
        <v>0</v>
      </c>
      <c r="S63" s="1">
        <f t="shared" si="19"/>
        <v>26.75</v>
      </c>
      <c r="T63" s="1">
        <f t="shared" si="20"/>
        <v>26.75</v>
      </c>
      <c r="U63" s="1">
        <v>46</v>
      </c>
      <c r="V63" s="1">
        <v>38</v>
      </c>
      <c r="W63" s="1">
        <v>55</v>
      </c>
      <c r="X63" s="1">
        <v>44</v>
      </c>
      <c r="Y63" s="1">
        <v>54</v>
      </c>
      <c r="Z63" s="1">
        <v>64</v>
      </c>
      <c r="AA63" s="1">
        <v>69</v>
      </c>
      <c r="AB63" s="1">
        <v>57</v>
      </c>
      <c r="AC63" s="1">
        <v>45</v>
      </c>
      <c r="AD63" s="1">
        <v>51</v>
      </c>
      <c r="AE63" s="1"/>
      <c r="AF63" s="1">
        <f t="shared" si="21"/>
        <v>0</v>
      </c>
      <c r="AG63" s="7">
        <v>5</v>
      </c>
      <c r="AH63" s="9">
        <f t="shared" si="22"/>
        <v>0</v>
      </c>
      <c r="AI63" s="1">
        <f t="shared" si="23"/>
        <v>0</v>
      </c>
      <c r="AJ63" s="1">
        <v>12</v>
      </c>
      <c r="AK63" s="1">
        <v>144</v>
      </c>
      <c r="AL63" s="9">
        <f t="shared" si="24"/>
        <v>0</v>
      </c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155</v>
      </c>
      <c r="B64" s="1" t="s">
        <v>42</v>
      </c>
      <c r="C64" s="1"/>
      <c r="D64" s="1">
        <v>3</v>
      </c>
      <c r="E64" s="19">
        <f>3+E65</f>
        <v>530</v>
      </c>
      <c r="F64" s="19">
        <f>0+F65</f>
        <v>482</v>
      </c>
      <c r="G64" s="7">
        <v>1</v>
      </c>
      <c r="H64" s="1">
        <v>180</v>
      </c>
      <c r="I64" s="1" t="s">
        <v>156</v>
      </c>
      <c r="J64" s="1"/>
      <c r="K64" s="1">
        <v>13</v>
      </c>
      <c r="L64" s="1">
        <f t="shared" si="15"/>
        <v>517</v>
      </c>
      <c r="M64" s="1"/>
      <c r="N64" s="1"/>
      <c r="O64" s="1">
        <v>420</v>
      </c>
      <c r="P64" s="1">
        <f t="shared" si="16"/>
        <v>106</v>
      </c>
      <c r="Q64" s="5">
        <f t="shared" si="17"/>
        <v>582</v>
      </c>
      <c r="R64" s="5">
        <f t="shared" si="18"/>
        <v>600</v>
      </c>
      <c r="S64" s="1">
        <f t="shared" si="19"/>
        <v>14.169811320754716</v>
      </c>
      <c r="T64" s="1">
        <f t="shared" si="20"/>
        <v>8.5094339622641506</v>
      </c>
      <c r="U64" s="1">
        <v>104.6</v>
      </c>
      <c r="V64" s="1">
        <v>109.8</v>
      </c>
      <c r="W64" s="1">
        <v>101.4</v>
      </c>
      <c r="X64" s="1">
        <v>86.2</v>
      </c>
      <c r="Y64" s="1">
        <v>133.19999999999999</v>
      </c>
      <c r="Z64" s="1">
        <v>3</v>
      </c>
      <c r="AA64" s="1">
        <v>0</v>
      </c>
      <c r="AB64" s="1">
        <v>0</v>
      </c>
      <c r="AC64" s="1">
        <v>0</v>
      </c>
      <c r="AD64" s="1">
        <v>0</v>
      </c>
      <c r="AE64" s="1" t="s">
        <v>157</v>
      </c>
      <c r="AF64" s="1">
        <f t="shared" si="21"/>
        <v>582</v>
      </c>
      <c r="AG64" s="7">
        <v>5</v>
      </c>
      <c r="AH64" s="9">
        <f t="shared" si="22"/>
        <v>120</v>
      </c>
      <c r="AI64" s="1">
        <f t="shared" si="23"/>
        <v>600</v>
      </c>
      <c r="AJ64" s="1">
        <v>12</v>
      </c>
      <c r="AK64" s="1">
        <v>84</v>
      </c>
      <c r="AL64" s="9">
        <f t="shared" si="24"/>
        <v>1.4285714285714286</v>
      </c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4" t="s">
        <v>158</v>
      </c>
      <c r="B65" s="14" t="s">
        <v>42</v>
      </c>
      <c r="C65" s="14">
        <v>338</v>
      </c>
      <c r="D65" s="14">
        <v>789</v>
      </c>
      <c r="E65" s="19">
        <v>527</v>
      </c>
      <c r="F65" s="19">
        <v>482</v>
      </c>
      <c r="G65" s="15">
        <v>0</v>
      </c>
      <c r="H65" s="14">
        <v>180</v>
      </c>
      <c r="I65" s="14" t="s">
        <v>53</v>
      </c>
      <c r="J65" s="14" t="s">
        <v>155</v>
      </c>
      <c r="K65" s="14">
        <v>593</v>
      </c>
      <c r="L65" s="14">
        <f t="shared" si="15"/>
        <v>-66</v>
      </c>
      <c r="M65" s="14"/>
      <c r="N65" s="14"/>
      <c r="O65" s="14"/>
      <c r="P65" s="14">
        <f t="shared" si="16"/>
        <v>105.4</v>
      </c>
      <c r="Q65" s="16"/>
      <c r="R65" s="16"/>
      <c r="S65" s="14">
        <f t="shared" si="19"/>
        <v>4.5730550284629983</v>
      </c>
      <c r="T65" s="14">
        <f t="shared" si="20"/>
        <v>4.5730550284629983</v>
      </c>
      <c r="U65" s="14">
        <v>104.6</v>
      </c>
      <c r="V65" s="14">
        <v>109.8</v>
      </c>
      <c r="W65" s="14">
        <v>89.6</v>
      </c>
      <c r="X65" s="14">
        <v>0.2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/>
      <c r="AF65" s="14"/>
      <c r="AG65" s="15"/>
      <c r="AH65" s="17"/>
      <c r="AI65" s="14"/>
      <c r="AJ65" s="14"/>
      <c r="AK65" s="14"/>
      <c r="AL65" s="17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159</v>
      </c>
      <c r="B66" s="1" t="s">
        <v>90</v>
      </c>
      <c r="C66" s="1">
        <v>-107.3</v>
      </c>
      <c r="D66" s="1">
        <v>185</v>
      </c>
      <c r="E66" s="19">
        <f>77.7+E67</f>
        <v>273.8</v>
      </c>
      <c r="F66" s="19">
        <f>0+F67</f>
        <v>484.7</v>
      </c>
      <c r="G66" s="7">
        <v>1</v>
      </c>
      <c r="H66" s="1">
        <v>180</v>
      </c>
      <c r="I66" s="1" t="s">
        <v>160</v>
      </c>
      <c r="J66" s="1"/>
      <c r="K66" s="1">
        <v>77.7</v>
      </c>
      <c r="L66" s="1">
        <f t="shared" si="15"/>
        <v>196.10000000000002</v>
      </c>
      <c r="M66" s="1"/>
      <c r="N66" s="1"/>
      <c r="O66" s="1">
        <v>155.4</v>
      </c>
      <c r="P66" s="1">
        <f t="shared" si="16"/>
        <v>54.760000000000005</v>
      </c>
      <c r="Q66" s="5">
        <f>14*P66-O66-F66</f>
        <v>126.54000000000013</v>
      </c>
      <c r="R66" s="5">
        <f>AG66*AH66</f>
        <v>103.60000000000001</v>
      </c>
      <c r="S66" s="1">
        <f t="shared" si="19"/>
        <v>13.581081081081081</v>
      </c>
      <c r="T66" s="1">
        <f t="shared" si="20"/>
        <v>11.689189189189188</v>
      </c>
      <c r="U66" s="1">
        <v>71.78</v>
      </c>
      <c r="V66" s="1">
        <v>72.52000000000001</v>
      </c>
      <c r="W66" s="1">
        <v>68.08</v>
      </c>
      <c r="X66" s="1">
        <v>59.2</v>
      </c>
      <c r="Y66" s="1">
        <v>74</v>
      </c>
      <c r="Z66" s="1">
        <v>84.36</v>
      </c>
      <c r="AA66" s="1">
        <v>80.66</v>
      </c>
      <c r="AB66" s="1">
        <v>81.400000000000006</v>
      </c>
      <c r="AC66" s="1">
        <v>71.039999999999992</v>
      </c>
      <c r="AD66" s="1">
        <v>89.539999999999992</v>
      </c>
      <c r="AE66" s="1"/>
      <c r="AF66" s="1">
        <f>G66*Q66</f>
        <v>126.54000000000013</v>
      </c>
      <c r="AG66" s="7">
        <v>3.7</v>
      </c>
      <c r="AH66" s="9">
        <f>MROUND(Q66, AG66*AJ66)/AG66</f>
        <v>28</v>
      </c>
      <c r="AI66" s="1">
        <f>AH66*AG66*G66</f>
        <v>103.60000000000001</v>
      </c>
      <c r="AJ66" s="1">
        <v>14</v>
      </c>
      <c r="AK66" s="1">
        <v>126</v>
      </c>
      <c r="AL66" s="9">
        <f>AH66/AK66</f>
        <v>0.22222222222222221</v>
      </c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4" t="s">
        <v>161</v>
      </c>
      <c r="B67" s="14" t="s">
        <v>90</v>
      </c>
      <c r="C67" s="14">
        <v>207.2</v>
      </c>
      <c r="D67" s="14">
        <v>732.6</v>
      </c>
      <c r="E67" s="19">
        <v>196.1</v>
      </c>
      <c r="F67" s="19">
        <v>484.7</v>
      </c>
      <c r="G67" s="15">
        <v>0</v>
      </c>
      <c r="H67" s="14">
        <v>180</v>
      </c>
      <c r="I67" s="14" t="s">
        <v>53</v>
      </c>
      <c r="J67" s="14" t="s">
        <v>159</v>
      </c>
      <c r="K67" s="14">
        <v>204.8</v>
      </c>
      <c r="L67" s="14">
        <f t="shared" si="15"/>
        <v>-8.7000000000000171</v>
      </c>
      <c r="M67" s="14"/>
      <c r="N67" s="14"/>
      <c r="O67" s="14"/>
      <c r="P67" s="14">
        <f t="shared" si="16"/>
        <v>39.22</v>
      </c>
      <c r="Q67" s="16"/>
      <c r="R67" s="16"/>
      <c r="S67" s="14">
        <f t="shared" si="19"/>
        <v>12.358490566037736</v>
      </c>
      <c r="T67" s="14">
        <f t="shared" si="20"/>
        <v>12.358490566037736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/>
      <c r="AF67" s="14"/>
      <c r="AG67" s="15"/>
      <c r="AH67" s="17"/>
      <c r="AI67" s="14"/>
      <c r="AJ67" s="14"/>
      <c r="AK67" s="14"/>
      <c r="AL67" s="17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4" t="s">
        <v>162</v>
      </c>
      <c r="B68" s="14" t="s">
        <v>42</v>
      </c>
      <c r="C68" s="14">
        <v>455</v>
      </c>
      <c r="D68" s="14">
        <v>336</v>
      </c>
      <c r="E68" s="19">
        <v>161</v>
      </c>
      <c r="F68" s="19">
        <v>561</v>
      </c>
      <c r="G68" s="15">
        <v>0</v>
      </c>
      <c r="H68" s="14">
        <v>180</v>
      </c>
      <c r="I68" s="14" t="s">
        <v>53</v>
      </c>
      <c r="J68" s="14" t="s">
        <v>55</v>
      </c>
      <c r="K68" s="14">
        <v>161</v>
      </c>
      <c r="L68" s="14">
        <f t="shared" si="15"/>
        <v>0</v>
      </c>
      <c r="M68" s="14"/>
      <c r="N68" s="14"/>
      <c r="O68" s="14"/>
      <c r="P68" s="14">
        <f t="shared" si="16"/>
        <v>32.200000000000003</v>
      </c>
      <c r="Q68" s="16"/>
      <c r="R68" s="16"/>
      <c r="S68" s="14">
        <f t="shared" si="19"/>
        <v>17.422360248447202</v>
      </c>
      <c r="T68" s="14">
        <f t="shared" si="20"/>
        <v>17.422360248447202</v>
      </c>
      <c r="U68" s="14">
        <v>9.8000000000000007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/>
      <c r="AF68" s="14"/>
      <c r="AG68" s="15"/>
      <c r="AH68" s="17"/>
      <c r="AI68" s="14"/>
      <c r="AJ68" s="14"/>
      <c r="AK68" s="14"/>
      <c r="AL68" s="17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4" t="s">
        <v>163</v>
      </c>
      <c r="B69" s="14" t="s">
        <v>42</v>
      </c>
      <c r="C69" s="14">
        <v>1259</v>
      </c>
      <c r="D69" s="14">
        <v>252</v>
      </c>
      <c r="E69" s="19">
        <v>806</v>
      </c>
      <c r="F69" s="19">
        <v>628</v>
      </c>
      <c r="G69" s="15">
        <v>0</v>
      </c>
      <c r="H69" s="14">
        <v>180</v>
      </c>
      <c r="I69" s="14" t="s">
        <v>53</v>
      </c>
      <c r="J69" s="14" t="s">
        <v>65</v>
      </c>
      <c r="K69" s="14">
        <v>806</v>
      </c>
      <c r="L69" s="14">
        <f t="shared" si="15"/>
        <v>0</v>
      </c>
      <c r="M69" s="14"/>
      <c r="N69" s="14"/>
      <c r="O69" s="14"/>
      <c r="P69" s="14">
        <f t="shared" si="16"/>
        <v>161.19999999999999</v>
      </c>
      <c r="Q69" s="16"/>
      <c r="R69" s="16"/>
      <c r="S69" s="14">
        <f t="shared" si="19"/>
        <v>3.8957816377171217</v>
      </c>
      <c r="T69" s="14">
        <f t="shared" si="20"/>
        <v>3.8957816377171217</v>
      </c>
      <c r="U69" s="14">
        <v>39.4</v>
      </c>
      <c r="V69" s="14">
        <v>5.4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/>
      <c r="AF69" s="14"/>
      <c r="AG69" s="15"/>
      <c r="AH69" s="17"/>
      <c r="AI69" s="14"/>
      <c r="AJ69" s="14"/>
      <c r="AK69" s="14"/>
      <c r="AL69" s="17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4" t="s">
        <v>164</v>
      </c>
      <c r="B70" s="14" t="s">
        <v>42</v>
      </c>
      <c r="C70" s="14">
        <v>369</v>
      </c>
      <c r="D70" s="14"/>
      <c r="E70" s="19">
        <v>105</v>
      </c>
      <c r="F70" s="19">
        <v>32</v>
      </c>
      <c r="G70" s="15">
        <v>0</v>
      </c>
      <c r="H70" s="14">
        <v>180</v>
      </c>
      <c r="I70" s="14" t="s">
        <v>53</v>
      </c>
      <c r="J70" s="14" t="s">
        <v>165</v>
      </c>
      <c r="K70" s="14">
        <v>115</v>
      </c>
      <c r="L70" s="14">
        <f t="shared" ref="L70:L101" si="25">E70-K70</f>
        <v>-10</v>
      </c>
      <c r="M70" s="14"/>
      <c r="N70" s="14"/>
      <c r="O70" s="14"/>
      <c r="P70" s="14">
        <f t="shared" ref="P70:P89" si="26">E70/5</f>
        <v>21</v>
      </c>
      <c r="Q70" s="16"/>
      <c r="R70" s="16"/>
      <c r="S70" s="14">
        <f t="shared" ref="S70:S101" si="27">(F70+O70+R70)/P70</f>
        <v>1.5238095238095237</v>
      </c>
      <c r="T70" s="14">
        <f t="shared" ref="T70:T89" si="28">(F70+O70)/P70</f>
        <v>1.5238095238095237</v>
      </c>
      <c r="U70" s="14">
        <v>4.5999999999999996</v>
      </c>
      <c r="V70" s="14">
        <v>0.4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/>
      <c r="AF70" s="14"/>
      <c r="AG70" s="15"/>
      <c r="AH70" s="17"/>
      <c r="AI70" s="14"/>
      <c r="AJ70" s="14"/>
      <c r="AK70" s="14"/>
      <c r="AL70" s="17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4" t="s">
        <v>166</v>
      </c>
      <c r="B71" s="14" t="s">
        <v>90</v>
      </c>
      <c r="C71" s="14">
        <v>6.7</v>
      </c>
      <c r="D71" s="14">
        <v>732.7</v>
      </c>
      <c r="E71" s="19">
        <v>90.5</v>
      </c>
      <c r="F71" s="19">
        <v>523.1</v>
      </c>
      <c r="G71" s="15">
        <v>0</v>
      </c>
      <c r="H71" s="14">
        <v>180</v>
      </c>
      <c r="I71" s="14" t="s">
        <v>53</v>
      </c>
      <c r="J71" s="14" t="s">
        <v>94</v>
      </c>
      <c r="K71" s="14">
        <v>171.8</v>
      </c>
      <c r="L71" s="14">
        <f t="shared" si="25"/>
        <v>-81.300000000000011</v>
      </c>
      <c r="M71" s="14"/>
      <c r="N71" s="14"/>
      <c r="O71" s="14"/>
      <c r="P71" s="14">
        <f t="shared" si="26"/>
        <v>18.100000000000001</v>
      </c>
      <c r="Q71" s="16"/>
      <c r="R71" s="16"/>
      <c r="S71" s="14">
        <f t="shared" si="27"/>
        <v>28.900552486187845</v>
      </c>
      <c r="T71" s="14">
        <f t="shared" si="28"/>
        <v>28.900552486187845</v>
      </c>
      <c r="U71" s="14">
        <v>4.2</v>
      </c>
      <c r="V71" s="14">
        <v>0.6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/>
      <c r="AF71" s="14"/>
      <c r="AG71" s="15"/>
      <c r="AH71" s="17"/>
      <c r="AI71" s="14"/>
      <c r="AJ71" s="14"/>
      <c r="AK71" s="14"/>
      <c r="AL71" s="17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4" t="s">
        <v>167</v>
      </c>
      <c r="B72" s="14" t="s">
        <v>42</v>
      </c>
      <c r="C72" s="14">
        <v>545</v>
      </c>
      <c r="D72" s="14">
        <v>168</v>
      </c>
      <c r="E72" s="19">
        <v>283</v>
      </c>
      <c r="F72" s="19">
        <v>341</v>
      </c>
      <c r="G72" s="15">
        <v>0</v>
      </c>
      <c r="H72" s="14">
        <v>180</v>
      </c>
      <c r="I72" s="14" t="s">
        <v>53</v>
      </c>
      <c r="J72" s="14" t="s">
        <v>84</v>
      </c>
      <c r="K72" s="14"/>
      <c r="L72" s="14">
        <f t="shared" si="25"/>
        <v>283</v>
      </c>
      <c r="M72" s="14"/>
      <c r="N72" s="14"/>
      <c r="O72" s="14"/>
      <c r="P72" s="14">
        <f t="shared" si="26"/>
        <v>56.6</v>
      </c>
      <c r="Q72" s="16"/>
      <c r="R72" s="16"/>
      <c r="S72" s="14">
        <f t="shared" si="27"/>
        <v>6.0247349823321557</v>
      </c>
      <c r="T72" s="14">
        <f t="shared" si="28"/>
        <v>6.0247349823321557</v>
      </c>
      <c r="U72" s="14">
        <v>18.600000000000001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/>
      <c r="AF72" s="14"/>
      <c r="AG72" s="15"/>
      <c r="AH72" s="17"/>
      <c r="AI72" s="14"/>
      <c r="AJ72" s="14"/>
      <c r="AK72" s="14"/>
      <c r="AL72" s="17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168</v>
      </c>
      <c r="B73" s="1" t="s">
        <v>42</v>
      </c>
      <c r="C73" s="1">
        <v>322</v>
      </c>
      <c r="D73" s="1">
        <v>916</v>
      </c>
      <c r="E73" s="1">
        <v>304</v>
      </c>
      <c r="F73" s="1">
        <v>678</v>
      </c>
      <c r="G73" s="7">
        <v>0.09</v>
      </c>
      <c r="H73" s="1">
        <v>180</v>
      </c>
      <c r="I73" s="1" t="s">
        <v>169</v>
      </c>
      <c r="J73" s="1"/>
      <c r="K73" s="1">
        <v>304</v>
      </c>
      <c r="L73" s="1">
        <f t="shared" si="25"/>
        <v>0</v>
      </c>
      <c r="M73" s="1"/>
      <c r="N73" s="1"/>
      <c r="O73" s="1">
        <v>420</v>
      </c>
      <c r="P73" s="1">
        <f t="shared" si="26"/>
        <v>60.8</v>
      </c>
      <c r="Q73" s="5"/>
      <c r="R73" s="5">
        <f>AG73*AH73</f>
        <v>0</v>
      </c>
      <c r="S73" s="1">
        <f t="shared" si="27"/>
        <v>18.059210526315791</v>
      </c>
      <c r="T73" s="1">
        <f t="shared" si="28"/>
        <v>18.059210526315791</v>
      </c>
      <c r="U73" s="1">
        <v>108.2</v>
      </c>
      <c r="V73" s="1">
        <v>118.2</v>
      </c>
      <c r="W73" s="1">
        <v>64.8</v>
      </c>
      <c r="X73" s="1">
        <v>11.8</v>
      </c>
      <c r="Y73" s="1">
        <v>70</v>
      </c>
      <c r="Z73" s="1">
        <v>73.400000000000006</v>
      </c>
      <c r="AA73" s="1">
        <v>52</v>
      </c>
      <c r="AB73" s="1">
        <v>43.6</v>
      </c>
      <c r="AC73" s="1">
        <v>50.2</v>
      </c>
      <c r="AD73" s="1">
        <v>70.2</v>
      </c>
      <c r="AE73" s="1" t="s">
        <v>170</v>
      </c>
      <c r="AF73" s="1">
        <f>G73*Q73</f>
        <v>0</v>
      </c>
      <c r="AG73" s="7">
        <v>30</v>
      </c>
      <c r="AH73" s="9">
        <f>MROUND(Q73, AG73*AJ73)/AG73</f>
        <v>0</v>
      </c>
      <c r="AI73" s="1">
        <f>AH73*AG73*G73</f>
        <v>0</v>
      </c>
      <c r="AJ73" s="1">
        <v>14</v>
      </c>
      <c r="AK73" s="1">
        <v>126</v>
      </c>
      <c r="AL73" s="9">
        <f>AH73/AK73</f>
        <v>0</v>
      </c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171</v>
      </c>
      <c r="B74" s="1" t="s">
        <v>42</v>
      </c>
      <c r="C74" s="1">
        <v>25</v>
      </c>
      <c r="D74" s="1">
        <v>2024</v>
      </c>
      <c r="E74" s="1">
        <v>283</v>
      </c>
      <c r="F74" s="1">
        <v>1563</v>
      </c>
      <c r="G74" s="7">
        <v>0.23</v>
      </c>
      <c r="H74" s="1">
        <v>180</v>
      </c>
      <c r="I74" s="1" t="s">
        <v>172</v>
      </c>
      <c r="J74" s="1"/>
      <c r="K74" s="1">
        <v>373</v>
      </c>
      <c r="L74" s="1">
        <f t="shared" si="25"/>
        <v>-90</v>
      </c>
      <c r="M74" s="1"/>
      <c r="N74" s="1"/>
      <c r="O74" s="1">
        <v>0</v>
      </c>
      <c r="P74" s="1">
        <f t="shared" si="26"/>
        <v>56.6</v>
      </c>
      <c r="Q74" s="5"/>
      <c r="R74" s="5">
        <f>AG74*AH74</f>
        <v>0</v>
      </c>
      <c r="S74" s="1">
        <f t="shared" si="27"/>
        <v>27.614840989399294</v>
      </c>
      <c r="T74" s="1">
        <f t="shared" si="28"/>
        <v>27.614840989399294</v>
      </c>
      <c r="U74" s="1">
        <v>42.6</v>
      </c>
      <c r="V74" s="1">
        <v>82</v>
      </c>
      <c r="W74" s="1">
        <v>56.4</v>
      </c>
      <c r="X74" s="1">
        <v>25</v>
      </c>
      <c r="Y74" s="1">
        <v>45.2</v>
      </c>
      <c r="Z74" s="1">
        <v>30.8</v>
      </c>
      <c r="AA74" s="1">
        <v>35</v>
      </c>
      <c r="AB74" s="1">
        <v>36</v>
      </c>
      <c r="AC74" s="1">
        <v>30.2</v>
      </c>
      <c r="AD74" s="1">
        <v>20.8</v>
      </c>
      <c r="AE74" s="1"/>
      <c r="AF74" s="1">
        <f>G74*Q74</f>
        <v>0</v>
      </c>
      <c r="AG74" s="7">
        <v>6</v>
      </c>
      <c r="AH74" s="9">
        <f>MROUND(Q74, AG74*AJ74)/AG74</f>
        <v>0</v>
      </c>
      <c r="AI74" s="1">
        <f>AH74*AG74*G74</f>
        <v>0</v>
      </c>
      <c r="AJ74" s="1">
        <v>14</v>
      </c>
      <c r="AK74" s="1">
        <v>140</v>
      </c>
      <c r="AL74" s="9">
        <f>AH74/AK74</f>
        <v>0</v>
      </c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62</v>
      </c>
      <c r="B75" s="1" t="s">
        <v>42</v>
      </c>
      <c r="C75" s="1"/>
      <c r="D75" s="1">
        <v>204</v>
      </c>
      <c r="E75" s="19">
        <f>180+E14</f>
        <v>394</v>
      </c>
      <c r="F75" s="19">
        <f>-96+F14</f>
        <v>952</v>
      </c>
      <c r="G75" s="7">
        <v>0.25</v>
      </c>
      <c r="H75" s="1">
        <v>180</v>
      </c>
      <c r="I75" s="1" t="s">
        <v>173</v>
      </c>
      <c r="J75" s="1"/>
      <c r="K75" s="1">
        <v>216</v>
      </c>
      <c r="L75" s="1">
        <f t="shared" si="25"/>
        <v>178</v>
      </c>
      <c r="M75" s="1"/>
      <c r="N75" s="1"/>
      <c r="O75" s="1">
        <v>1008</v>
      </c>
      <c r="P75" s="1">
        <f t="shared" si="26"/>
        <v>78.8</v>
      </c>
      <c r="Q75" s="5"/>
      <c r="R75" s="5">
        <f>AG75*AH75</f>
        <v>0</v>
      </c>
      <c r="S75" s="1">
        <f t="shared" si="27"/>
        <v>24.873096446700508</v>
      </c>
      <c r="T75" s="1">
        <f t="shared" si="28"/>
        <v>24.873096446700508</v>
      </c>
      <c r="U75" s="1">
        <v>190.8</v>
      </c>
      <c r="V75" s="1">
        <v>184.6</v>
      </c>
      <c r="W75" s="1">
        <v>116.8</v>
      </c>
      <c r="X75" s="1">
        <v>101.4</v>
      </c>
      <c r="Y75" s="1">
        <v>90.6</v>
      </c>
      <c r="Z75" s="1">
        <v>149.6</v>
      </c>
      <c r="AA75" s="1">
        <v>109.4</v>
      </c>
      <c r="AB75" s="1">
        <v>89.6</v>
      </c>
      <c r="AC75" s="1">
        <v>130.19999999999999</v>
      </c>
      <c r="AD75" s="1">
        <v>153.4</v>
      </c>
      <c r="AE75" s="1"/>
      <c r="AF75" s="1">
        <f>G75*Q75</f>
        <v>0</v>
      </c>
      <c r="AG75" s="7">
        <v>12</v>
      </c>
      <c r="AH75" s="9">
        <f>MROUND(Q75, AG75*AJ75)/AG75</f>
        <v>0</v>
      </c>
      <c r="AI75" s="1">
        <f>AH75*AG75*G75</f>
        <v>0</v>
      </c>
      <c r="AJ75" s="1">
        <v>14</v>
      </c>
      <c r="AK75" s="1">
        <v>70</v>
      </c>
      <c r="AL75" s="9">
        <f>AH75/AK75</f>
        <v>0</v>
      </c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64</v>
      </c>
      <c r="B76" s="1" t="s">
        <v>42</v>
      </c>
      <c r="C76" s="1"/>
      <c r="D76" s="1">
        <v>21</v>
      </c>
      <c r="E76" s="19">
        <f>21+E15</f>
        <v>360</v>
      </c>
      <c r="F76" s="19">
        <f>0+F15</f>
        <v>5</v>
      </c>
      <c r="G76" s="7">
        <v>0.25</v>
      </c>
      <c r="H76" s="1">
        <v>180</v>
      </c>
      <c r="I76" s="1" t="s">
        <v>174</v>
      </c>
      <c r="J76" s="1"/>
      <c r="K76" s="1">
        <v>30</v>
      </c>
      <c r="L76" s="1">
        <f t="shared" si="25"/>
        <v>330</v>
      </c>
      <c r="M76" s="1"/>
      <c r="N76" s="1"/>
      <c r="O76" s="1">
        <v>504</v>
      </c>
      <c r="P76" s="1">
        <f t="shared" si="26"/>
        <v>72</v>
      </c>
      <c r="Q76" s="5">
        <f t="shared" ref="Q73:Q76" si="29">14*P76-O76-F76</f>
        <v>499</v>
      </c>
      <c r="R76" s="5">
        <f>AG76*AH76</f>
        <v>504</v>
      </c>
      <c r="S76" s="1">
        <f t="shared" si="27"/>
        <v>14.069444444444445</v>
      </c>
      <c r="T76" s="1">
        <f t="shared" si="28"/>
        <v>7.0694444444444446</v>
      </c>
      <c r="U76" s="1">
        <v>60.8</v>
      </c>
      <c r="V76" s="1">
        <v>44.4</v>
      </c>
      <c r="W76" s="1">
        <v>57</v>
      </c>
      <c r="X76" s="1">
        <v>67.599999999999994</v>
      </c>
      <c r="Y76" s="1">
        <v>116.6</v>
      </c>
      <c r="Z76" s="1">
        <v>97.8</v>
      </c>
      <c r="AA76" s="1">
        <v>75.400000000000006</v>
      </c>
      <c r="AB76" s="1">
        <v>95</v>
      </c>
      <c r="AC76" s="1">
        <v>79.2</v>
      </c>
      <c r="AD76" s="1">
        <v>94.6</v>
      </c>
      <c r="AE76" s="1"/>
      <c r="AF76" s="1">
        <f>G76*Q76</f>
        <v>124.75</v>
      </c>
      <c r="AG76" s="7">
        <v>12</v>
      </c>
      <c r="AH76" s="9">
        <f>MROUND(Q76, AG76*AJ76)/AG76</f>
        <v>42</v>
      </c>
      <c r="AI76" s="1">
        <f>AH76*AG76*G76</f>
        <v>126</v>
      </c>
      <c r="AJ76" s="1">
        <v>14</v>
      </c>
      <c r="AK76" s="1">
        <v>70</v>
      </c>
      <c r="AL76" s="9">
        <f>AH76/AK76</f>
        <v>0.6</v>
      </c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4" t="s">
        <v>175</v>
      </c>
      <c r="B77" s="14" t="s">
        <v>42</v>
      </c>
      <c r="C77" s="14"/>
      <c r="D77" s="14">
        <v>1</v>
      </c>
      <c r="E77" s="14"/>
      <c r="F77" s="14"/>
      <c r="G77" s="15">
        <v>0</v>
      </c>
      <c r="H77" s="14">
        <v>180</v>
      </c>
      <c r="I77" s="14" t="s">
        <v>176</v>
      </c>
      <c r="J77" s="14"/>
      <c r="K77" s="14">
        <v>4</v>
      </c>
      <c r="L77" s="14">
        <f t="shared" si="25"/>
        <v>-4</v>
      </c>
      <c r="M77" s="14"/>
      <c r="N77" s="14"/>
      <c r="O77" s="14"/>
      <c r="P77" s="14">
        <f t="shared" si="26"/>
        <v>0</v>
      </c>
      <c r="Q77" s="16"/>
      <c r="R77" s="16"/>
      <c r="S77" s="14" t="e">
        <f t="shared" si="27"/>
        <v>#DIV/0!</v>
      </c>
      <c r="T77" s="14" t="e">
        <f t="shared" si="28"/>
        <v>#DIV/0!</v>
      </c>
      <c r="U77" s="14">
        <v>7.2</v>
      </c>
      <c r="V77" s="14">
        <v>7.8</v>
      </c>
      <c r="W77" s="14">
        <v>0.8</v>
      </c>
      <c r="X77" s="14">
        <v>1.6</v>
      </c>
      <c r="Y77" s="14">
        <v>3.2</v>
      </c>
      <c r="Z77" s="14">
        <v>2</v>
      </c>
      <c r="AA77" s="14">
        <v>0.2</v>
      </c>
      <c r="AB77" s="14">
        <v>0.6</v>
      </c>
      <c r="AC77" s="14">
        <v>0.8</v>
      </c>
      <c r="AD77" s="14">
        <v>2.2000000000000002</v>
      </c>
      <c r="AE77" s="14"/>
      <c r="AF77" s="14"/>
      <c r="AG77" s="15">
        <v>6</v>
      </c>
      <c r="AH77" s="17"/>
      <c r="AI77" s="14"/>
      <c r="AJ77" s="14">
        <v>14</v>
      </c>
      <c r="AK77" s="14">
        <v>140</v>
      </c>
      <c r="AL77" s="17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177</v>
      </c>
      <c r="B78" s="1" t="s">
        <v>42</v>
      </c>
      <c r="C78" s="1">
        <v>27</v>
      </c>
      <c r="D78" s="1">
        <v>84</v>
      </c>
      <c r="E78" s="1">
        <v>19</v>
      </c>
      <c r="F78" s="1">
        <v>92</v>
      </c>
      <c r="G78" s="7">
        <v>0.18</v>
      </c>
      <c r="H78" s="1">
        <v>180</v>
      </c>
      <c r="I78" s="1" t="s">
        <v>178</v>
      </c>
      <c r="J78" s="1"/>
      <c r="K78" s="1">
        <v>19</v>
      </c>
      <c r="L78" s="1">
        <f t="shared" si="25"/>
        <v>0</v>
      </c>
      <c r="M78" s="1"/>
      <c r="N78" s="1"/>
      <c r="O78" s="1">
        <v>84</v>
      </c>
      <c r="P78" s="1">
        <f t="shared" si="26"/>
        <v>3.8</v>
      </c>
      <c r="Q78" s="5"/>
      <c r="R78" s="5">
        <f>AG78*AH78</f>
        <v>0</v>
      </c>
      <c r="S78" s="1">
        <f t="shared" si="27"/>
        <v>46.315789473684212</v>
      </c>
      <c r="T78" s="1">
        <f t="shared" si="28"/>
        <v>46.315789473684212</v>
      </c>
      <c r="U78" s="1">
        <v>15</v>
      </c>
      <c r="V78" s="1">
        <v>13.4</v>
      </c>
      <c r="W78" s="1">
        <v>3.4</v>
      </c>
      <c r="X78" s="1">
        <v>0.8</v>
      </c>
      <c r="Y78" s="1">
        <v>3.2</v>
      </c>
      <c r="Z78" s="1">
        <v>6.8</v>
      </c>
      <c r="AA78" s="1">
        <v>3.4</v>
      </c>
      <c r="AB78" s="1">
        <v>3.2</v>
      </c>
      <c r="AC78" s="1">
        <v>3.8</v>
      </c>
      <c r="AD78" s="1">
        <v>3</v>
      </c>
      <c r="AE78" s="22" t="s">
        <v>86</v>
      </c>
      <c r="AF78" s="1">
        <f>G78*Q78</f>
        <v>0</v>
      </c>
      <c r="AG78" s="7">
        <v>6</v>
      </c>
      <c r="AH78" s="9">
        <f>MROUND(Q78, AG78*AJ78)/AG78</f>
        <v>0</v>
      </c>
      <c r="AI78" s="1">
        <f>AH78*AG78*G78</f>
        <v>0</v>
      </c>
      <c r="AJ78" s="1">
        <v>14</v>
      </c>
      <c r="AK78" s="1">
        <v>140</v>
      </c>
      <c r="AL78" s="9">
        <f>AH78/AK78</f>
        <v>0</v>
      </c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4" t="s">
        <v>179</v>
      </c>
      <c r="B79" s="14" t="s">
        <v>42</v>
      </c>
      <c r="C79" s="14">
        <v>122</v>
      </c>
      <c r="D79" s="14"/>
      <c r="E79" s="14">
        <v>6</v>
      </c>
      <c r="F79" s="14">
        <v>116</v>
      </c>
      <c r="G79" s="15">
        <v>0</v>
      </c>
      <c r="H79" s="14">
        <v>180</v>
      </c>
      <c r="I79" s="14" t="s">
        <v>176</v>
      </c>
      <c r="J79" s="14"/>
      <c r="K79" s="14">
        <v>6</v>
      </c>
      <c r="L79" s="14">
        <f t="shared" si="25"/>
        <v>0</v>
      </c>
      <c r="M79" s="14"/>
      <c r="N79" s="14"/>
      <c r="O79" s="14"/>
      <c r="P79" s="14">
        <f t="shared" si="26"/>
        <v>1.2</v>
      </c>
      <c r="Q79" s="16"/>
      <c r="R79" s="16"/>
      <c r="S79" s="14">
        <f t="shared" si="27"/>
        <v>96.666666666666671</v>
      </c>
      <c r="T79" s="14">
        <f t="shared" si="28"/>
        <v>96.666666666666671</v>
      </c>
      <c r="U79" s="14">
        <v>1.4</v>
      </c>
      <c r="V79" s="14">
        <v>1.8</v>
      </c>
      <c r="W79" s="14">
        <v>0.8</v>
      </c>
      <c r="X79" s="14">
        <v>0.4</v>
      </c>
      <c r="Y79" s="14">
        <v>3.2</v>
      </c>
      <c r="Z79" s="14">
        <v>1.6</v>
      </c>
      <c r="AA79" s="14">
        <v>2.4</v>
      </c>
      <c r="AB79" s="14">
        <v>1</v>
      </c>
      <c r="AC79" s="14">
        <v>0.4</v>
      </c>
      <c r="AD79" s="14">
        <v>1.8</v>
      </c>
      <c r="AE79" s="18" t="s">
        <v>180</v>
      </c>
      <c r="AF79" s="14"/>
      <c r="AG79" s="15">
        <v>6</v>
      </c>
      <c r="AH79" s="17"/>
      <c r="AI79" s="14"/>
      <c r="AJ79" s="14">
        <v>14</v>
      </c>
      <c r="AK79" s="14">
        <v>140</v>
      </c>
      <c r="AL79" s="17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181</v>
      </c>
      <c r="B80" s="1" t="s">
        <v>42</v>
      </c>
      <c r="C80" s="1">
        <v>241</v>
      </c>
      <c r="D80" s="1">
        <v>1692</v>
      </c>
      <c r="E80" s="1">
        <v>686</v>
      </c>
      <c r="F80" s="1">
        <v>1105</v>
      </c>
      <c r="G80" s="7">
        <v>0.3</v>
      </c>
      <c r="H80" s="1">
        <v>180</v>
      </c>
      <c r="I80" s="1" t="s">
        <v>182</v>
      </c>
      <c r="J80" s="1"/>
      <c r="K80" s="1">
        <v>848</v>
      </c>
      <c r="L80" s="1">
        <f t="shared" si="25"/>
        <v>-162</v>
      </c>
      <c r="M80" s="1"/>
      <c r="N80" s="1"/>
      <c r="O80" s="1">
        <v>0</v>
      </c>
      <c r="P80" s="1">
        <f t="shared" si="26"/>
        <v>137.19999999999999</v>
      </c>
      <c r="Q80" s="5">
        <f t="shared" ref="Q80:Q89" si="30">14*P80-O80-F80</f>
        <v>815.79999999999973</v>
      </c>
      <c r="R80" s="5">
        <f t="shared" ref="R80:R89" si="31">AG80*AH80</f>
        <v>840</v>
      </c>
      <c r="S80" s="1">
        <f t="shared" si="27"/>
        <v>14.176384839650147</v>
      </c>
      <c r="T80" s="1">
        <f t="shared" si="28"/>
        <v>8.05393586005831</v>
      </c>
      <c r="U80" s="1">
        <v>137.19999999999999</v>
      </c>
      <c r="V80" s="1">
        <v>160.6</v>
      </c>
      <c r="W80" s="1">
        <v>158.80000000000001</v>
      </c>
      <c r="X80" s="1">
        <v>134.4</v>
      </c>
      <c r="Y80" s="1">
        <v>182.8</v>
      </c>
      <c r="Z80" s="1">
        <v>151.19999999999999</v>
      </c>
      <c r="AA80" s="1">
        <v>113.6</v>
      </c>
      <c r="AB80" s="1">
        <v>124.4</v>
      </c>
      <c r="AC80" s="1">
        <v>114</v>
      </c>
      <c r="AD80" s="1">
        <v>146.80000000000001</v>
      </c>
      <c r="AE80" s="1"/>
      <c r="AF80" s="1">
        <f t="shared" ref="AF80:AF89" si="32">G80*Q80</f>
        <v>244.7399999999999</v>
      </c>
      <c r="AG80" s="7">
        <v>12</v>
      </c>
      <c r="AH80" s="9">
        <f t="shared" ref="AH80:AH89" si="33">MROUND(Q80, AG80*AJ80)/AG80</f>
        <v>70</v>
      </c>
      <c r="AI80" s="1">
        <f t="shared" ref="AI80:AI89" si="34">AH80*AG80*G80</f>
        <v>252</v>
      </c>
      <c r="AJ80" s="1">
        <v>14</v>
      </c>
      <c r="AK80" s="1">
        <v>70</v>
      </c>
      <c r="AL80" s="9">
        <f t="shared" ref="AL80:AL89" si="35">AH80/AK80</f>
        <v>1</v>
      </c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183</v>
      </c>
      <c r="B81" s="1" t="s">
        <v>42</v>
      </c>
      <c r="C81" s="1">
        <v>205</v>
      </c>
      <c r="D81" s="1">
        <v>1182</v>
      </c>
      <c r="E81" s="1">
        <v>436</v>
      </c>
      <c r="F81" s="1">
        <v>850</v>
      </c>
      <c r="G81" s="7">
        <v>0.3</v>
      </c>
      <c r="H81" s="1">
        <v>180</v>
      </c>
      <c r="I81" s="1" t="s">
        <v>184</v>
      </c>
      <c r="J81" s="1"/>
      <c r="K81" s="1">
        <v>476</v>
      </c>
      <c r="L81" s="1">
        <f t="shared" si="25"/>
        <v>-40</v>
      </c>
      <c r="M81" s="1"/>
      <c r="N81" s="1"/>
      <c r="O81" s="1">
        <v>168</v>
      </c>
      <c r="P81" s="1">
        <f t="shared" si="26"/>
        <v>87.2</v>
      </c>
      <c r="Q81" s="5">
        <f t="shared" si="30"/>
        <v>202.79999999999995</v>
      </c>
      <c r="R81" s="5">
        <f t="shared" si="31"/>
        <v>168</v>
      </c>
      <c r="S81" s="1">
        <f t="shared" si="27"/>
        <v>13.600917431192659</v>
      </c>
      <c r="T81" s="1">
        <f t="shared" si="28"/>
        <v>11.674311926605505</v>
      </c>
      <c r="U81" s="1">
        <v>104.6</v>
      </c>
      <c r="V81" s="1">
        <v>117</v>
      </c>
      <c r="W81" s="1">
        <v>108.2</v>
      </c>
      <c r="X81" s="1">
        <v>99</v>
      </c>
      <c r="Y81" s="1">
        <v>99.2</v>
      </c>
      <c r="Z81" s="1">
        <v>131.6</v>
      </c>
      <c r="AA81" s="1">
        <v>91.4</v>
      </c>
      <c r="AB81" s="1">
        <v>116</v>
      </c>
      <c r="AC81" s="1">
        <v>102.8</v>
      </c>
      <c r="AD81" s="1">
        <v>114.2</v>
      </c>
      <c r="AE81" s="1"/>
      <c r="AF81" s="1">
        <f t="shared" si="32"/>
        <v>60.839999999999982</v>
      </c>
      <c r="AG81" s="7">
        <v>12</v>
      </c>
      <c r="AH81" s="9">
        <f t="shared" si="33"/>
        <v>14</v>
      </c>
      <c r="AI81" s="1">
        <f t="shared" si="34"/>
        <v>50.4</v>
      </c>
      <c r="AJ81" s="1">
        <v>14</v>
      </c>
      <c r="AK81" s="1">
        <v>70</v>
      </c>
      <c r="AL81" s="9">
        <f t="shared" si="35"/>
        <v>0.2</v>
      </c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165</v>
      </c>
      <c r="B82" s="1" t="s">
        <v>42</v>
      </c>
      <c r="C82" s="1">
        <v>139</v>
      </c>
      <c r="D82" s="1">
        <v>206</v>
      </c>
      <c r="E82" s="19">
        <f>344+E70</f>
        <v>449</v>
      </c>
      <c r="F82" s="19">
        <f>0+F70</f>
        <v>32</v>
      </c>
      <c r="G82" s="7">
        <v>0.3</v>
      </c>
      <c r="H82" s="1">
        <v>180</v>
      </c>
      <c r="I82" s="1" t="s">
        <v>185</v>
      </c>
      <c r="J82" s="1"/>
      <c r="K82" s="1">
        <v>345</v>
      </c>
      <c r="L82" s="1">
        <f t="shared" si="25"/>
        <v>104</v>
      </c>
      <c r="M82" s="1"/>
      <c r="N82" s="1"/>
      <c r="O82" s="1">
        <v>196</v>
      </c>
      <c r="P82" s="1">
        <f t="shared" si="26"/>
        <v>89.8</v>
      </c>
      <c r="Q82" s="5">
        <f>13*P82-O82-F82</f>
        <v>939.39999999999986</v>
      </c>
      <c r="R82" s="5">
        <f t="shared" si="31"/>
        <v>980</v>
      </c>
      <c r="S82" s="1">
        <f t="shared" si="27"/>
        <v>13.452115812917596</v>
      </c>
      <c r="T82" s="1">
        <f t="shared" si="28"/>
        <v>2.5389755011135859</v>
      </c>
      <c r="U82" s="1">
        <v>52.8</v>
      </c>
      <c r="V82" s="1">
        <v>32.200000000000003</v>
      </c>
      <c r="W82" s="1">
        <v>11.2</v>
      </c>
      <c r="X82" s="1">
        <v>62</v>
      </c>
      <c r="Y82" s="1">
        <v>63</v>
      </c>
      <c r="Z82" s="1">
        <v>49.8</v>
      </c>
      <c r="AA82" s="1">
        <v>38.799999999999997</v>
      </c>
      <c r="AB82" s="1">
        <v>37.6</v>
      </c>
      <c r="AC82" s="1">
        <v>29.8</v>
      </c>
      <c r="AD82" s="1">
        <v>40.4</v>
      </c>
      <c r="AE82" s="1"/>
      <c r="AF82" s="1">
        <f t="shared" si="32"/>
        <v>281.81999999999994</v>
      </c>
      <c r="AG82" s="7">
        <v>14</v>
      </c>
      <c r="AH82" s="9">
        <f t="shared" si="33"/>
        <v>70</v>
      </c>
      <c r="AI82" s="1">
        <f t="shared" si="34"/>
        <v>294</v>
      </c>
      <c r="AJ82" s="1">
        <v>14</v>
      </c>
      <c r="AK82" s="1">
        <v>70</v>
      </c>
      <c r="AL82" s="9">
        <f t="shared" si="35"/>
        <v>1</v>
      </c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186</v>
      </c>
      <c r="B83" s="1" t="s">
        <v>42</v>
      </c>
      <c r="C83" s="1">
        <v>-1</v>
      </c>
      <c r="D83" s="1">
        <v>1933</v>
      </c>
      <c r="E83" s="1">
        <v>377</v>
      </c>
      <c r="F83" s="1">
        <v>1378</v>
      </c>
      <c r="G83" s="7">
        <v>0.22</v>
      </c>
      <c r="H83" s="1"/>
      <c r="I83" s="1" t="s">
        <v>187</v>
      </c>
      <c r="J83" s="1"/>
      <c r="K83" s="1">
        <v>451</v>
      </c>
      <c r="L83" s="1">
        <f t="shared" si="25"/>
        <v>-74</v>
      </c>
      <c r="M83" s="1"/>
      <c r="N83" s="1"/>
      <c r="O83" s="1">
        <v>588</v>
      </c>
      <c r="P83" s="1">
        <f t="shared" si="26"/>
        <v>75.400000000000006</v>
      </c>
      <c r="Q83" s="5"/>
      <c r="R83" s="5">
        <f t="shared" si="31"/>
        <v>0</v>
      </c>
      <c r="S83" s="1">
        <f t="shared" si="27"/>
        <v>26.074270557029177</v>
      </c>
      <c r="T83" s="1">
        <f t="shared" si="28"/>
        <v>26.074270557029177</v>
      </c>
      <c r="U83" s="1">
        <v>51.4</v>
      </c>
      <c r="V83" s="1">
        <v>90.4</v>
      </c>
      <c r="W83" s="1">
        <v>78</v>
      </c>
      <c r="X83" s="1">
        <v>51</v>
      </c>
      <c r="Y83" s="1">
        <v>55.2</v>
      </c>
      <c r="Z83" s="1">
        <v>0</v>
      </c>
      <c r="AA83" s="1">
        <v>34.200000000000003</v>
      </c>
      <c r="AB83" s="1">
        <v>50.6</v>
      </c>
      <c r="AC83" s="1">
        <v>31.8</v>
      </c>
      <c r="AD83" s="1">
        <v>16.8</v>
      </c>
      <c r="AE83" s="1"/>
      <c r="AF83" s="1">
        <f t="shared" si="32"/>
        <v>0</v>
      </c>
      <c r="AG83" s="7">
        <v>6</v>
      </c>
      <c r="AH83" s="9">
        <f t="shared" si="33"/>
        <v>0</v>
      </c>
      <c r="AI83" s="1">
        <f t="shared" si="34"/>
        <v>0</v>
      </c>
      <c r="AJ83" s="1">
        <v>14</v>
      </c>
      <c r="AK83" s="1">
        <v>140</v>
      </c>
      <c r="AL83" s="9">
        <f t="shared" si="35"/>
        <v>0</v>
      </c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188</v>
      </c>
      <c r="B84" s="1" t="s">
        <v>42</v>
      </c>
      <c r="C84" s="1">
        <v>474</v>
      </c>
      <c r="D84" s="1">
        <v>4073</v>
      </c>
      <c r="E84" s="1">
        <v>1343</v>
      </c>
      <c r="F84" s="1">
        <v>2304</v>
      </c>
      <c r="G84" s="7">
        <v>0.25</v>
      </c>
      <c r="H84" s="1">
        <v>180</v>
      </c>
      <c r="I84" s="1" t="s">
        <v>189</v>
      </c>
      <c r="J84" s="1"/>
      <c r="K84" s="1">
        <v>1536</v>
      </c>
      <c r="L84" s="1">
        <f t="shared" si="25"/>
        <v>-193</v>
      </c>
      <c r="M84" s="1"/>
      <c r="N84" s="1"/>
      <c r="O84" s="1">
        <v>840</v>
      </c>
      <c r="P84" s="1">
        <f t="shared" si="26"/>
        <v>268.60000000000002</v>
      </c>
      <c r="Q84" s="5">
        <f t="shared" si="30"/>
        <v>616.40000000000055</v>
      </c>
      <c r="R84" s="5">
        <f t="shared" si="31"/>
        <v>672</v>
      </c>
      <c r="S84" s="1">
        <f t="shared" si="27"/>
        <v>14.20699925539836</v>
      </c>
      <c r="T84" s="1">
        <f t="shared" si="28"/>
        <v>11.705137751303052</v>
      </c>
      <c r="U84" s="1">
        <v>359</v>
      </c>
      <c r="V84" s="1">
        <v>386.2</v>
      </c>
      <c r="W84" s="1">
        <v>370.4</v>
      </c>
      <c r="X84" s="1">
        <v>318.2</v>
      </c>
      <c r="Y84" s="1">
        <v>424.4</v>
      </c>
      <c r="Z84" s="1">
        <v>357.6</v>
      </c>
      <c r="AA84" s="1">
        <v>275.60000000000002</v>
      </c>
      <c r="AB84" s="1">
        <v>283.2</v>
      </c>
      <c r="AC84" s="1">
        <v>294.60000000000002</v>
      </c>
      <c r="AD84" s="1">
        <v>384.8</v>
      </c>
      <c r="AE84" s="1"/>
      <c r="AF84" s="1">
        <f t="shared" si="32"/>
        <v>154.10000000000014</v>
      </c>
      <c r="AG84" s="7">
        <v>12</v>
      </c>
      <c r="AH84" s="9">
        <f t="shared" si="33"/>
        <v>56</v>
      </c>
      <c r="AI84" s="1">
        <f t="shared" si="34"/>
        <v>168</v>
      </c>
      <c r="AJ84" s="1">
        <v>14</v>
      </c>
      <c r="AK84" s="1">
        <v>70</v>
      </c>
      <c r="AL84" s="9">
        <f t="shared" si="35"/>
        <v>0.8</v>
      </c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54</v>
      </c>
      <c r="B85" s="1" t="s">
        <v>42</v>
      </c>
      <c r="C85" s="1"/>
      <c r="D85" s="1">
        <v>484</v>
      </c>
      <c r="E85" s="19">
        <f>436+E10</f>
        <v>1332</v>
      </c>
      <c r="F85" s="19">
        <f>-229+F10</f>
        <v>1931</v>
      </c>
      <c r="G85" s="7">
        <v>0.25</v>
      </c>
      <c r="H85" s="1">
        <v>180</v>
      </c>
      <c r="I85" s="1" t="s">
        <v>190</v>
      </c>
      <c r="J85" s="1"/>
      <c r="K85" s="1">
        <v>442</v>
      </c>
      <c r="L85" s="1">
        <f t="shared" si="25"/>
        <v>890</v>
      </c>
      <c r="M85" s="1"/>
      <c r="N85" s="1"/>
      <c r="O85" s="1">
        <v>504</v>
      </c>
      <c r="P85" s="1">
        <f t="shared" si="26"/>
        <v>266.39999999999998</v>
      </c>
      <c r="Q85" s="5">
        <f t="shared" si="30"/>
        <v>1294.5999999999995</v>
      </c>
      <c r="R85" s="5">
        <f t="shared" si="31"/>
        <v>1344</v>
      </c>
      <c r="S85" s="1">
        <f t="shared" si="27"/>
        <v>14.185435435435437</v>
      </c>
      <c r="T85" s="1">
        <f t="shared" si="28"/>
        <v>9.140390390390392</v>
      </c>
      <c r="U85" s="1">
        <v>297.2</v>
      </c>
      <c r="V85" s="1">
        <v>342.8</v>
      </c>
      <c r="W85" s="1">
        <v>312.39999999999998</v>
      </c>
      <c r="X85" s="1">
        <v>290.60000000000002</v>
      </c>
      <c r="Y85" s="1">
        <v>326.39999999999998</v>
      </c>
      <c r="Z85" s="1">
        <v>355.4</v>
      </c>
      <c r="AA85" s="1">
        <v>268.60000000000002</v>
      </c>
      <c r="AB85" s="1">
        <v>244.6</v>
      </c>
      <c r="AC85" s="1">
        <v>258.39999999999998</v>
      </c>
      <c r="AD85" s="1">
        <v>331.4</v>
      </c>
      <c r="AE85" s="1"/>
      <c r="AF85" s="1">
        <f t="shared" si="32"/>
        <v>323.64999999999986</v>
      </c>
      <c r="AG85" s="7">
        <v>12</v>
      </c>
      <c r="AH85" s="9">
        <f t="shared" si="33"/>
        <v>112</v>
      </c>
      <c r="AI85" s="1">
        <f t="shared" si="34"/>
        <v>336</v>
      </c>
      <c r="AJ85" s="1">
        <v>14</v>
      </c>
      <c r="AK85" s="1">
        <v>70</v>
      </c>
      <c r="AL85" s="9">
        <f t="shared" si="35"/>
        <v>1.6</v>
      </c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191</v>
      </c>
      <c r="B86" s="1" t="s">
        <v>42</v>
      </c>
      <c r="C86" s="1"/>
      <c r="D86" s="1">
        <v>2268</v>
      </c>
      <c r="E86" s="1">
        <v>450</v>
      </c>
      <c r="F86" s="1">
        <v>1531</v>
      </c>
      <c r="G86" s="7">
        <v>0.23</v>
      </c>
      <c r="H86" s="1">
        <v>180</v>
      </c>
      <c r="I86" s="1" t="s">
        <v>192</v>
      </c>
      <c r="J86" s="1"/>
      <c r="K86" s="1">
        <v>497</v>
      </c>
      <c r="L86" s="1">
        <f t="shared" si="25"/>
        <v>-47</v>
      </c>
      <c r="M86" s="1"/>
      <c r="N86" s="1"/>
      <c r="O86" s="1">
        <v>840</v>
      </c>
      <c r="P86" s="1">
        <f t="shared" si="26"/>
        <v>90</v>
      </c>
      <c r="Q86" s="5"/>
      <c r="R86" s="5">
        <f t="shared" si="31"/>
        <v>0</v>
      </c>
      <c r="S86" s="1">
        <f t="shared" si="27"/>
        <v>26.344444444444445</v>
      </c>
      <c r="T86" s="1">
        <f t="shared" si="28"/>
        <v>26.344444444444445</v>
      </c>
      <c r="U86" s="1">
        <v>50.4</v>
      </c>
      <c r="V86" s="1">
        <v>133.80000000000001</v>
      </c>
      <c r="W86" s="1">
        <v>125.4</v>
      </c>
      <c r="X86" s="1">
        <v>66.2</v>
      </c>
      <c r="Y86" s="1">
        <v>77.599999999999994</v>
      </c>
      <c r="Z86" s="1">
        <v>99.4</v>
      </c>
      <c r="AA86" s="1">
        <v>101.2</v>
      </c>
      <c r="AB86" s="1">
        <v>96.8</v>
      </c>
      <c r="AC86" s="1">
        <v>56.6</v>
      </c>
      <c r="AD86" s="1">
        <v>62.4</v>
      </c>
      <c r="AE86" s="1"/>
      <c r="AF86" s="1">
        <f t="shared" si="32"/>
        <v>0</v>
      </c>
      <c r="AG86" s="7">
        <v>6</v>
      </c>
      <c r="AH86" s="9">
        <f t="shared" si="33"/>
        <v>0</v>
      </c>
      <c r="AI86" s="1">
        <f t="shared" si="34"/>
        <v>0</v>
      </c>
      <c r="AJ86" s="1">
        <v>14</v>
      </c>
      <c r="AK86" s="1">
        <v>140</v>
      </c>
      <c r="AL86" s="9">
        <f t="shared" si="35"/>
        <v>0</v>
      </c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193</v>
      </c>
      <c r="B87" s="1" t="s">
        <v>42</v>
      </c>
      <c r="C87" s="1"/>
      <c r="D87" s="1">
        <v>2856</v>
      </c>
      <c r="E87" s="1">
        <v>620</v>
      </c>
      <c r="F87" s="1">
        <v>1976</v>
      </c>
      <c r="G87" s="7">
        <v>0.23</v>
      </c>
      <c r="H87" s="1"/>
      <c r="I87" s="1" t="s">
        <v>187</v>
      </c>
      <c r="J87" s="1"/>
      <c r="K87" s="1">
        <v>689</v>
      </c>
      <c r="L87" s="1">
        <f t="shared" si="25"/>
        <v>-69</v>
      </c>
      <c r="M87" s="1"/>
      <c r="N87" s="1"/>
      <c r="O87" s="1">
        <v>840</v>
      </c>
      <c r="P87" s="1">
        <f t="shared" si="26"/>
        <v>124</v>
      </c>
      <c r="Q87" s="5"/>
      <c r="R87" s="5">
        <f t="shared" si="31"/>
        <v>0</v>
      </c>
      <c r="S87" s="1">
        <f t="shared" si="27"/>
        <v>22.70967741935484</v>
      </c>
      <c r="T87" s="1">
        <f t="shared" si="28"/>
        <v>22.70967741935484</v>
      </c>
      <c r="U87" s="1">
        <v>100.8</v>
      </c>
      <c r="V87" s="1">
        <v>183.2</v>
      </c>
      <c r="W87" s="1">
        <v>177.4</v>
      </c>
      <c r="X87" s="1">
        <v>109.2</v>
      </c>
      <c r="Y87" s="1">
        <v>117.6</v>
      </c>
      <c r="Z87" s="1">
        <v>64</v>
      </c>
      <c r="AA87" s="1">
        <v>127</v>
      </c>
      <c r="AB87" s="1">
        <v>117.8</v>
      </c>
      <c r="AC87" s="1">
        <v>86.6</v>
      </c>
      <c r="AD87" s="1">
        <v>59.8</v>
      </c>
      <c r="AE87" s="1"/>
      <c r="AF87" s="1">
        <f t="shared" si="32"/>
        <v>0</v>
      </c>
      <c r="AG87" s="7">
        <v>6</v>
      </c>
      <c r="AH87" s="9">
        <f t="shared" si="33"/>
        <v>0</v>
      </c>
      <c r="AI87" s="1">
        <f t="shared" si="34"/>
        <v>0</v>
      </c>
      <c r="AJ87" s="1">
        <v>14</v>
      </c>
      <c r="AK87" s="1">
        <v>140</v>
      </c>
      <c r="AL87" s="9">
        <f t="shared" si="35"/>
        <v>0</v>
      </c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194</v>
      </c>
      <c r="B88" s="1" t="s">
        <v>90</v>
      </c>
      <c r="C88" s="1">
        <v>1031.4000000000001</v>
      </c>
      <c r="D88" s="1"/>
      <c r="E88" s="1">
        <v>153.9</v>
      </c>
      <c r="F88" s="1">
        <v>855.9</v>
      </c>
      <c r="G88" s="7">
        <v>1</v>
      </c>
      <c r="H88" s="1">
        <v>180</v>
      </c>
      <c r="I88" s="1" t="s">
        <v>195</v>
      </c>
      <c r="J88" s="1"/>
      <c r="K88" s="1">
        <v>154.1</v>
      </c>
      <c r="L88" s="1">
        <f t="shared" si="25"/>
        <v>-0.19999999999998863</v>
      </c>
      <c r="M88" s="1"/>
      <c r="N88" s="1"/>
      <c r="O88" s="1">
        <v>0</v>
      </c>
      <c r="P88" s="1">
        <f t="shared" si="26"/>
        <v>30.78</v>
      </c>
      <c r="Q88" s="5"/>
      <c r="R88" s="5">
        <f t="shared" si="31"/>
        <v>0</v>
      </c>
      <c r="S88" s="1">
        <f t="shared" si="27"/>
        <v>27.807017543859647</v>
      </c>
      <c r="T88" s="1">
        <f t="shared" si="28"/>
        <v>27.807017543859647</v>
      </c>
      <c r="U88" s="1">
        <v>14.58</v>
      </c>
      <c r="V88" s="1">
        <v>15.12</v>
      </c>
      <c r="W88" s="1">
        <v>22.68</v>
      </c>
      <c r="X88" s="1">
        <v>25.92</v>
      </c>
      <c r="Y88" s="1">
        <v>8.64</v>
      </c>
      <c r="Z88" s="1">
        <v>97.74</v>
      </c>
      <c r="AA88" s="1">
        <v>31.32</v>
      </c>
      <c r="AB88" s="1">
        <v>33.44</v>
      </c>
      <c r="AC88" s="1">
        <v>39.92</v>
      </c>
      <c r="AD88" s="1">
        <v>42.12</v>
      </c>
      <c r="AE88" s="18" t="s">
        <v>180</v>
      </c>
      <c r="AF88" s="1">
        <f t="shared" si="32"/>
        <v>0</v>
      </c>
      <c r="AG88" s="7">
        <v>2.7</v>
      </c>
      <c r="AH88" s="9">
        <f t="shared" si="33"/>
        <v>0</v>
      </c>
      <c r="AI88" s="1">
        <f t="shared" si="34"/>
        <v>0</v>
      </c>
      <c r="AJ88" s="1">
        <v>14</v>
      </c>
      <c r="AK88" s="1">
        <v>126</v>
      </c>
      <c r="AL88" s="9">
        <f t="shared" si="35"/>
        <v>0</v>
      </c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196</v>
      </c>
      <c r="B89" s="1" t="s">
        <v>90</v>
      </c>
      <c r="C89" s="1">
        <v>435</v>
      </c>
      <c r="D89" s="1">
        <v>2550</v>
      </c>
      <c r="E89" s="1">
        <v>995</v>
      </c>
      <c r="F89" s="1">
        <v>1435</v>
      </c>
      <c r="G89" s="7">
        <v>1</v>
      </c>
      <c r="H89" s="1">
        <v>180</v>
      </c>
      <c r="I89" s="1" t="s">
        <v>197</v>
      </c>
      <c r="J89" s="1"/>
      <c r="K89" s="1">
        <v>1456</v>
      </c>
      <c r="L89" s="1">
        <f t="shared" si="25"/>
        <v>-461</v>
      </c>
      <c r="M89" s="1"/>
      <c r="N89" s="1"/>
      <c r="O89" s="1">
        <v>1020</v>
      </c>
      <c r="P89" s="1">
        <f t="shared" si="26"/>
        <v>199</v>
      </c>
      <c r="Q89" s="5">
        <f t="shared" si="30"/>
        <v>331</v>
      </c>
      <c r="R89" s="5">
        <f t="shared" si="31"/>
        <v>360</v>
      </c>
      <c r="S89" s="1">
        <f t="shared" si="27"/>
        <v>14.14572864321608</v>
      </c>
      <c r="T89" s="1">
        <f t="shared" si="28"/>
        <v>12.336683417085426</v>
      </c>
      <c r="U89" s="1">
        <v>277</v>
      </c>
      <c r="V89" s="1">
        <v>258</v>
      </c>
      <c r="W89" s="1">
        <v>274</v>
      </c>
      <c r="X89" s="1">
        <v>253</v>
      </c>
      <c r="Y89" s="1">
        <v>308</v>
      </c>
      <c r="Z89" s="1">
        <v>133</v>
      </c>
      <c r="AA89" s="1">
        <v>287.02</v>
      </c>
      <c r="AB89" s="1">
        <v>245.02</v>
      </c>
      <c r="AC89" s="1">
        <v>162</v>
      </c>
      <c r="AD89" s="1">
        <v>151</v>
      </c>
      <c r="AE89" s="1"/>
      <c r="AF89" s="1">
        <f t="shared" si="32"/>
        <v>331</v>
      </c>
      <c r="AG89" s="7">
        <v>5</v>
      </c>
      <c r="AH89" s="9">
        <f t="shared" si="33"/>
        <v>72</v>
      </c>
      <c r="AI89" s="1">
        <f t="shared" si="34"/>
        <v>360</v>
      </c>
      <c r="AJ89" s="1">
        <v>12</v>
      </c>
      <c r="AK89" s="1">
        <v>84</v>
      </c>
      <c r="AL89" s="9">
        <f t="shared" si="35"/>
        <v>0.8571428571428571</v>
      </c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</row>
  </sheetData>
  <autoFilter ref="A3:AL8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2026-10-22T15:10:46Z</dcterms:created>
  <dcterms:modified xsi:type="dcterms:W3CDTF">2026-10-22T15:22:13Z</dcterms:modified>
</cp:coreProperties>
</file>