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9205CAF5-A9DC-4AF8-B682-957E7F49BB2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заказа'!$B$53:$B$53</definedName>
    <definedName name="ProductId17">'Бланк заказа'!$B$54:$B$54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заказа'!$B$61:$B$61</definedName>
    <definedName name="ProductId21">'Бланк заказа'!$B$62:$B$62</definedName>
    <definedName name="ProductId22">'Бланк заказа'!$B$67:$B$67</definedName>
    <definedName name="ProductId23">'Бланк заказа'!$B$68:$B$68</definedName>
    <definedName name="ProductId24">'Бланк заказа'!$B$73:$B$73</definedName>
    <definedName name="ProductId25">'Бланк заказа'!$B$78:$B$78</definedName>
    <definedName name="ProductId26">'Бланк заказа'!$B$79:$B$79</definedName>
    <definedName name="ProductId27">'Бланк заказа'!$B$84:$B$84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заказа'!$B$87:$B$87</definedName>
    <definedName name="ProductId31">'Бланк заказа'!$B$88:$B$88</definedName>
    <definedName name="ProductId32">'Бланк заказа'!$B$89:$B$89</definedName>
    <definedName name="ProductId33">'Бланк заказа'!$B$94:$B$94</definedName>
    <definedName name="ProductId34">'Бланк заказа'!$B$95:$B$95</definedName>
    <definedName name="ProductId35">'Бланк заказа'!$B$100:$B$100</definedName>
    <definedName name="ProductId36">'Бланк заказа'!$B$101:$B$101</definedName>
    <definedName name="ProductId37">'Бланк заказа'!$B$102:$B$102</definedName>
    <definedName name="ProductId38">'Бланк заказа'!$B$103:$B$103</definedName>
    <definedName name="ProductId39">'Бланк заказа'!$B$104:$B$104</definedName>
    <definedName name="ProductId4">'Бланк заказа'!$B$25:$B$25</definedName>
    <definedName name="ProductId40">'Бланк заказа'!$B$105:$B$105</definedName>
    <definedName name="ProductId41">'Бланк заказа'!$B$106:$B$106</definedName>
    <definedName name="ProductId42">'Бланк заказа'!$B$110:$B$110</definedName>
    <definedName name="ProductId43">'Бланк заказа'!$B$114:$B$114</definedName>
    <definedName name="ProductId44">'Бланк заказа'!$B$119:$B$119</definedName>
    <definedName name="ProductId45">'Бланк заказа'!$B$123:$B$123</definedName>
    <definedName name="ProductId46">'Бланк заказа'!$B$124:$B$124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заказа'!$B$131:$B$131</definedName>
    <definedName name="ProductId51">'Бланк заказа'!$B$132:$B$132</definedName>
    <definedName name="ProductId52">'Бланк заказа'!$B$137:$B$137</definedName>
    <definedName name="ProductId53">'Бланк заказа'!$B$138:$B$138</definedName>
    <definedName name="ProductId54">'Бланк заказа'!$B$143:$B$143</definedName>
    <definedName name="ProductId55">'Бланк заказа'!$B$144:$B$144</definedName>
    <definedName name="ProductId56">'Бланк заказа'!$B$149:$B$149</definedName>
    <definedName name="ProductId57">'Бланк заказа'!$B$150:$B$150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заказа'!$B$171:$B$171</definedName>
    <definedName name="ProductId62">'Бланк заказа'!$B$175:$B$175</definedName>
    <definedName name="ProductId63">'Бланк заказа'!$B$176:$B$176</definedName>
    <definedName name="ProductId64">'Бланк заказа'!$B$181:$B$181</definedName>
    <definedName name="ProductId65">'Бланк заказа'!$B$182:$B$182</definedName>
    <definedName name="ProductId66">'Бланк заказа'!$B$187:$B$187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заказа'!$B$202:$B$202</definedName>
    <definedName name="ProductId72">'Бланк заказа'!$B$206:$B$206</definedName>
    <definedName name="ProductId73">'Бланк заказа'!$B$207:$B$207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заказа'!$B$224:$B$224</definedName>
    <definedName name="ProductId78">'Бланк заказа'!$B$230:$B$230</definedName>
    <definedName name="ProductId79">'Бланк заказа'!$B$234:$B$234</definedName>
    <definedName name="ProductId8">'Бланк заказа'!$B$29:$B$29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заказа'!$B$251:$B$251</definedName>
    <definedName name="ProductId84">'Бланк заказа'!$B$255:$B$255</definedName>
    <definedName name="ProductId85">'Бланк заказа'!$B$256:$B$256</definedName>
    <definedName name="ProductId86">'Бланк заказа'!$B$257:$B$257</definedName>
    <definedName name="ProductId87">'Бланк заказа'!$B$261:$B$261</definedName>
    <definedName name="ProductId88">'Бланк заказа'!$B$262:$B$262</definedName>
    <definedName name="ProductId89">'Бланк заказа'!$B$263:$B$263</definedName>
    <definedName name="ProductId9">'Бланк заказа'!$B$33:$B$33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заказа'!$X$53:$X$53</definedName>
    <definedName name="SalesQty17">'Бланк заказа'!$X$54:$X$54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заказа'!$X$61:$X$61</definedName>
    <definedName name="SalesQty21">'Бланк заказа'!$X$62:$X$62</definedName>
    <definedName name="SalesQty22">'Бланк заказа'!$X$67:$X$67</definedName>
    <definedName name="SalesQty23">'Бланк заказа'!$X$68:$X$68</definedName>
    <definedName name="SalesQty24">'Бланк заказа'!$X$73:$X$73</definedName>
    <definedName name="SalesQty25">'Бланк заказа'!$X$78:$X$78</definedName>
    <definedName name="SalesQty26">'Бланк заказа'!$X$79:$X$79</definedName>
    <definedName name="SalesQty27">'Бланк заказа'!$X$84:$X$84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заказа'!$X$87:$X$87</definedName>
    <definedName name="SalesQty31">'Бланк заказа'!$X$88:$X$88</definedName>
    <definedName name="SalesQty32">'Бланк заказа'!$X$89:$X$89</definedName>
    <definedName name="SalesQty33">'Бланк заказа'!$X$94:$X$94</definedName>
    <definedName name="SalesQty34">'Бланк заказа'!$X$95:$X$95</definedName>
    <definedName name="SalesQty35">'Бланк заказа'!$X$100:$X$100</definedName>
    <definedName name="SalesQty36">'Бланк заказа'!$X$101:$X$101</definedName>
    <definedName name="SalesQty37">'Бланк заказа'!$X$102:$X$102</definedName>
    <definedName name="SalesQty38">'Бланк заказа'!$X$103:$X$103</definedName>
    <definedName name="SalesQty39">'Бланк заказа'!$X$104:$X$104</definedName>
    <definedName name="SalesQty4">'Бланк заказа'!$X$25:$X$25</definedName>
    <definedName name="SalesQty40">'Бланк заказа'!$X$105:$X$105</definedName>
    <definedName name="SalesQty41">'Бланк заказа'!$X$106:$X$106</definedName>
    <definedName name="SalesQty42">'Бланк заказа'!$X$110:$X$110</definedName>
    <definedName name="SalesQty43">'Бланк заказа'!$X$114:$X$114</definedName>
    <definedName name="SalesQty44">'Бланк заказа'!$X$119:$X$119</definedName>
    <definedName name="SalesQty45">'Бланк заказа'!$X$123:$X$123</definedName>
    <definedName name="SalesQty46">'Бланк заказа'!$X$124:$X$124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заказа'!$X$131:$X$131</definedName>
    <definedName name="SalesQty51">'Бланк заказа'!$X$132:$X$132</definedName>
    <definedName name="SalesQty52">'Бланк заказа'!$X$137:$X$137</definedName>
    <definedName name="SalesQty53">'Бланк заказа'!$X$138:$X$138</definedName>
    <definedName name="SalesQty54">'Бланк заказа'!$X$143:$X$143</definedName>
    <definedName name="SalesQty55">'Бланк заказа'!$X$144:$X$144</definedName>
    <definedName name="SalesQty56">'Бланк заказа'!$X$149:$X$149</definedName>
    <definedName name="SalesQty57">'Бланк заказа'!$X$150:$X$150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заказа'!$X$171:$X$171</definedName>
    <definedName name="SalesQty62">'Бланк заказа'!$X$175:$X$175</definedName>
    <definedName name="SalesQty63">'Бланк заказа'!$X$176:$X$176</definedName>
    <definedName name="SalesQty64">'Бланк заказа'!$X$181:$X$181</definedName>
    <definedName name="SalesQty65">'Бланк заказа'!$X$182:$X$182</definedName>
    <definedName name="SalesQty66">'Бланк заказа'!$X$187:$X$187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заказа'!$X$202:$X$202</definedName>
    <definedName name="SalesQty72">'Бланк заказа'!$X$206:$X$206</definedName>
    <definedName name="SalesQty73">'Бланк заказа'!$X$207:$X$207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заказа'!$X$224:$X$224</definedName>
    <definedName name="SalesQty78">'Бланк заказа'!$X$230:$X$230</definedName>
    <definedName name="SalesQty79">'Бланк заказа'!$X$234:$X$234</definedName>
    <definedName name="SalesQty8">'Бланк заказа'!$X$29:$X$29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заказа'!$X$251:$X$251</definedName>
    <definedName name="SalesQty84">'Бланк заказа'!$X$255:$X$255</definedName>
    <definedName name="SalesQty85">'Бланк заказа'!$X$256:$X$256</definedName>
    <definedName name="SalesQty86">'Бланк заказа'!$X$257:$X$257</definedName>
    <definedName name="SalesQty87">'Бланк заказа'!$X$261:$X$261</definedName>
    <definedName name="SalesQty88">'Бланк заказа'!$X$262:$X$262</definedName>
    <definedName name="SalesQty89">'Бланк заказа'!$X$263:$X$263</definedName>
    <definedName name="SalesQty9">'Бланк заказа'!$X$33:$X$33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заказа'!$Y$53:$Y$53</definedName>
    <definedName name="SalesRoundBox17">'Бланк заказа'!$Y$54:$Y$54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заказа'!$Y$61:$Y$61</definedName>
    <definedName name="SalesRoundBox21">'Бланк заказа'!$Y$62:$Y$62</definedName>
    <definedName name="SalesRoundBox22">'Бланк заказа'!$Y$67:$Y$67</definedName>
    <definedName name="SalesRoundBox23">'Бланк заказа'!$Y$68:$Y$68</definedName>
    <definedName name="SalesRoundBox24">'Бланк заказа'!$Y$73:$Y$73</definedName>
    <definedName name="SalesRoundBox25">'Бланк заказа'!$Y$78:$Y$78</definedName>
    <definedName name="SalesRoundBox26">'Бланк заказа'!$Y$79:$Y$79</definedName>
    <definedName name="SalesRoundBox27">'Бланк заказа'!$Y$84:$Y$84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заказа'!$Y$87:$Y$87</definedName>
    <definedName name="SalesRoundBox31">'Бланк заказа'!$Y$88:$Y$88</definedName>
    <definedName name="SalesRoundBox32">'Бланк заказа'!$Y$89:$Y$89</definedName>
    <definedName name="SalesRoundBox33">'Бланк заказа'!$Y$94:$Y$94</definedName>
    <definedName name="SalesRoundBox34">'Бланк заказа'!$Y$95:$Y$95</definedName>
    <definedName name="SalesRoundBox35">'Бланк заказа'!$Y$100:$Y$100</definedName>
    <definedName name="SalesRoundBox36">'Бланк заказа'!$Y$101:$Y$101</definedName>
    <definedName name="SalesRoundBox37">'Бланк заказа'!$Y$102:$Y$102</definedName>
    <definedName name="SalesRoundBox38">'Бланк заказа'!$Y$103:$Y$103</definedName>
    <definedName name="SalesRoundBox39">'Бланк заказа'!$Y$104:$Y$104</definedName>
    <definedName name="SalesRoundBox4">'Бланк заказа'!$Y$25:$Y$25</definedName>
    <definedName name="SalesRoundBox40">'Бланк заказа'!$Y$105:$Y$105</definedName>
    <definedName name="SalesRoundBox41">'Бланк заказа'!$Y$106:$Y$106</definedName>
    <definedName name="SalesRoundBox42">'Бланк заказа'!$Y$110:$Y$110</definedName>
    <definedName name="SalesRoundBox43">'Бланк заказа'!$Y$114:$Y$114</definedName>
    <definedName name="SalesRoundBox44">'Бланк заказа'!$Y$119:$Y$119</definedName>
    <definedName name="SalesRoundBox45">'Бланк заказа'!$Y$123:$Y$123</definedName>
    <definedName name="SalesRoundBox46">'Бланк заказа'!$Y$124:$Y$124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заказа'!$Y$131:$Y$131</definedName>
    <definedName name="SalesRoundBox51">'Бланк заказа'!$Y$132:$Y$132</definedName>
    <definedName name="SalesRoundBox52">'Бланк заказа'!$Y$137:$Y$137</definedName>
    <definedName name="SalesRoundBox53">'Бланк заказа'!$Y$138:$Y$138</definedName>
    <definedName name="SalesRoundBox54">'Бланк заказа'!$Y$143:$Y$143</definedName>
    <definedName name="SalesRoundBox55">'Бланк заказа'!$Y$144:$Y$144</definedName>
    <definedName name="SalesRoundBox56">'Бланк заказа'!$Y$149:$Y$149</definedName>
    <definedName name="SalesRoundBox57">'Бланк заказа'!$Y$150:$Y$150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заказа'!$Y$171:$Y$171</definedName>
    <definedName name="SalesRoundBox62">'Бланк заказа'!$Y$175:$Y$175</definedName>
    <definedName name="SalesRoundBox63">'Бланк заказа'!$Y$176:$Y$176</definedName>
    <definedName name="SalesRoundBox64">'Бланк заказа'!$Y$181:$Y$181</definedName>
    <definedName name="SalesRoundBox65">'Бланк заказа'!$Y$182:$Y$182</definedName>
    <definedName name="SalesRoundBox66">'Бланк заказа'!$Y$187:$Y$187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заказа'!$Y$202:$Y$202</definedName>
    <definedName name="SalesRoundBox72">'Бланк заказа'!$Y$206:$Y$206</definedName>
    <definedName name="SalesRoundBox73">'Бланк заказа'!$Y$207:$Y$207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заказа'!$Y$224:$Y$224</definedName>
    <definedName name="SalesRoundBox78">'Бланк заказа'!$Y$230:$Y$230</definedName>
    <definedName name="SalesRoundBox79">'Бланк заказа'!$Y$234:$Y$234</definedName>
    <definedName name="SalesRoundBox8">'Бланк заказа'!$Y$29:$Y$29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заказа'!$Y$251:$Y$251</definedName>
    <definedName name="SalesRoundBox84">'Бланк заказа'!$Y$255:$Y$255</definedName>
    <definedName name="SalesRoundBox85">'Бланк заказа'!$Y$256:$Y$256</definedName>
    <definedName name="SalesRoundBox86">'Бланк заказа'!$Y$257:$Y$257</definedName>
    <definedName name="SalesRoundBox87">'Бланк заказа'!$Y$261:$Y$261</definedName>
    <definedName name="SalesRoundBox88">'Бланк заказа'!$Y$262:$Y$262</definedName>
    <definedName name="SalesRoundBox89">'Бланк заказа'!$Y$263:$Y$263</definedName>
    <definedName name="SalesRoundBox9">'Бланк заказа'!$Y$33:$Y$33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заказа'!$W$53:$W$53</definedName>
    <definedName name="UnitOfMeasure17">'Бланк заказа'!$W$54:$W$54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заказа'!$W$61:$W$61</definedName>
    <definedName name="UnitOfMeasure21">'Бланк заказа'!$W$62:$W$62</definedName>
    <definedName name="UnitOfMeasure22">'Бланк заказа'!$W$67:$W$67</definedName>
    <definedName name="UnitOfMeasure23">'Бланк заказа'!$W$68:$W$68</definedName>
    <definedName name="UnitOfMeasure24">'Бланк заказа'!$W$73:$W$73</definedName>
    <definedName name="UnitOfMeasure25">'Бланк заказа'!$W$78:$W$78</definedName>
    <definedName name="UnitOfMeasure26">'Бланк заказа'!$W$79:$W$79</definedName>
    <definedName name="UnitOfMeasure27">'Бланк заказа'!$W$84:$W$84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заказа'!$W$87:$W$87</definedName>
    <definedName name="UnitOfMeasure31">'Бланк заказа'!$W$88:$W$88</definedName>
    <definedName name="UnitOfMeasure32">'Бланк заказа'!$W$89:$W$89</definedName>
    <definedName name="UnitOfMeasure33">'Бланк заказа'!$W$94:$W$94</definedName>
    <definedName name="UnitOfMeasure34">'Бланк заказа'!$W$95:$W$95</definedName>
    <definedName name="UnitOfMeasure35">'Бланк заказа'!$W$100:$W$100</definedName>
    <definedName name="UnitOfMeasure36">'Бланк заказа'!$W$101:$W$101</definedName>
    <definedName name="UnitOfMeasure37">'Бланк заказа'!$W$102:$W$102</definedName>
    <definedName name="UnitOfMeasure38">'Бланк заказа'!$W$103:$W$103</definedName>
    <definedName name="UnitOfMeasure39">'Бланк заказа'!$W$104:$W$104</definedName>
    <definedName name="UnitOfMeasure4">'Бланк заказа'!$W$25:$W$25</definedName>
    <definedName name="UnitOfMeasure40">'Бланк заказа'!$W$105:$W$105</definedName>
    <definedName name="UnitOfMeasure41">'Бланк заказа'!$W$106:$W$106</definedName>
    <definedName name="UnitOfMeasure42">'Бланк заказа'!$W$110:$W$110</definedName>
    <definedName name="UnitOfMeasure43">'Бланк заказа'!$W$114:$W$114</definedName>
    <definedName name="UnitOfMeasure44">'Бланк заказа'!$W$119:$W$119</definedName>
    <definedName name="UnitOfMeasure45">'Бланк заказа'!$W$123:$W$123</definedName>
    <definedName name="UnitOfMeasure46">'Бланк заказа'!$W$124:$W$124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заказа'!$W$131:$W$131</definedName>
    <definedName name="UnitOfMeasure51">'Бланк заказа'!$W$132:$W$132</definedName>
    <definedName name="UnitOfMeasure52">'Бланк заказа'!$W$137:$W$137</definedName>
    <definedName name="UnitOfMeasure53">'Бланк заказа'!$W$138:$W$138</definedName>
    <definedName name="UnitOfMeasure54">'Бланк заказа'!$W$143:$W$143</definedName>
    <definedName name="UnitOfMeasure55">'Бланк заказа'!$W$144:$W$144</definedName>
    <definedName name="UnitOfMeasure56">'Бланк заказа'!$W$149:$W$149</definedName>
    <definedName name="UnitOfMeasure57">'Бланк заказа'!$W$150:$W$150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заказа'!$W$171:$W$171</definedName>
    <definedName name="UnitOfMeasure62">'Бланк заказа'!$W$175:$W$175</definedName>
    <definedName name="UnitOfMeasure63">'Бланк заказа'!$W$176:$W$176</definedName>
    <definedName name="UnitOfMeasure64">'Бланк заказа'!$W$181:$W$181</definedName>
    <definedName name="UnitOfMeasure65">'Бланк заказа'!$W$182:$W$182</definedName>
    <definedName name="UnitOfMeasure66">'Бланк заказа'!$W$187:$W$187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заказа'!$W$202:$W$202</definedName>
    <definedName name="UnitOfMeasure72">'Бланк заказа'!$W$206:$W$206</definedName>
    <definedName name="UnitOfMeasure73">'Бланк заказа'!$W$207:$W$207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заказа'!$W$224:$W$224</definedName>
    <definedName name="UnitOfMeasure78">'Бланк заказа'!$W$230:$W$230</definedName>
    <definedName name="UnitOfMeasure79">'Бланк заказа'!$W$234:$W$234</definedName>
    <definedName name="UnitOfMeasure8">'Бланк заказа'!$W$29:$W$29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заказа'!$W$251:$W$251</definedName>
    <definedName name="UnitOfMeasure84">'Бланк заказа'!$W$255:$W$255</definedName>
    <definedName name="UnitOfMeasure85">'Бланк заказа'!$W$256:$W$256</definedName>
    <definedName name="UnitOfMeasure86">'Бланк заказа'!$W$257:$W$257</definedName>
    <definedName name="UnitOfMeasure87">'Бланк заказа'!$W$261:$W$261</definedName>
    <definedName name="UnitOfMeasure88">'Бланк заказа'!$W$262:$W$262</definedName>
    <definedName name="UnitOfMeasure89">'Бланк заказа'!$W$263:$W$263</definedName>
    <definedName name="UnitOfMeasure9">'Бланк заказа'!$W$33:$W$33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BO269" i="1"/>
  <c r="BM269" i="1"/>
  <c r="Z269" i="1"/>
  <c r="Y269" i="1"/>
  <c r="P269" i="1"/>
  <c r="BP268" i="1"/>
  <c r="BO268" i="1"/>
  <c r="BN268" i="1"/>
  <c r="BM268" i="1"/>
  <c r="Z268" i="1"/>
  <c r="Y268" i="1"/>
  <c r="BP267" i="1"/>
  <c r="BO267" i="1"/>
  <c r="BN267" i="1"/>
  <c r="BM267" i="1"/>
  <c r="Z267" i="1"/>
  <c r="Y267" i="1"/>
  <c r="BP266" i="1"/>
  <c r="BO266" i="1"/>
  <c r="BN266" i="1"/>
  <c r="BM266" i="1"/>
  <c r="Z266" i="1"/>
  <c r="Y266" i="1"/>
  <c r="BP265" i="1"/>
  <c r="BO265" i="1"/>
  <c r="BN265" i="1"/>
  <c r="BM265" i="1"/>
  <c r="Z265" i="1"/>
  <c r="Y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Y262" i="1"/>
  <c r="BP261" i="1"/>
  <c r="BO261" i="1"/>
  <c r="BN261" i="1"/>
  <c r="BM261" i="1"/>
  <c r="Z261" i="1"/>
  <c r="Z272" i="1" s="1"/>
  <c r="Y261" i="1"/>
  <c r="X259" i="1"/>
  <c r="X258" i="1"/>
  <c r="BO257" i="1"/>
  <c r="BM257" i="1"/>
  <c r="Z257" i="1"/>
  <c r="Y257" i="1"/>
  <c r="BO256" i="1"/>
  <c r="BM256" i="1"/>
  <c r="Z256" i="1"/>
  <c r="Y256" i="1"/>
  <c r="BO255" i="1"/>
  <c r="BM255" i="1"/>
  <c r="Z255" i="1"/>
  <c r="Z258" i="1" s="1"/>
  <c r="Y255" i="1"/>
  <c r="X253" i="1"/>
  <c r="X252" i="1"/>
  <c r="BO251" i="1"/>
  <c r="BM251" i="1"/>
  <c r="Z251" i="1"/>
  <c r="Y251" i="1"/>
  <c r="BP251" i="1" s="1"/>
  <c r="P251" i="1"/>
  <c r="BO250" i="1"/>
  <c r="BM250" i="1"/>
  <c r="Z250" i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Y236" i="1"/>
  <c r="X236" i="1"/>
  <c r="X235" i="1"/>
  <c r="BO234" i="1"/>
  <c r="BM234" i="1"/>
  <c r="Z234" i="1"/>
  <c r="Z235" i="1" s="1"/>
  <c r="Y234" i="1"/>
  <c r="P234" i="1"/>
  <c r="X232" i="1"/>
  <c r="X231" i="1"/>
  <c r="BO230" i="1"/>
  <c r="BM230" i="1"/>
  <c r="Z230" i="1"/>
  <c r="Z231" i="1" s="1"/>
  <c r="Y230" i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X215" i="1"/>
  <c r="X214" i="1"/>
  <c r="BO213" i="1"/>
  <c r="BM213" i="1"/>
  <c r="Z213" i="1"/>
  <c r="Z214" i="1" s="1"/>
  <c r="Y213" i="1"/>
  <c r="P213" i="1"/>
  <c r="BO212" i="1"/>
  <c r="BM212" i="1"/>
  <c r="Z212" i="1"/>
  <c r="Y212" i="1"/>
  <c r="P212" i="1"/>
  <c r="X209" i="1"/>
  <c r="X208" i="1"/>
  <c r="BP207" i="1"/>
  <c r="BO207" i="1"/>
  <c r="BN207" i="1"/>
  <c r="BM207" i="1"/>
  <c r="Z207" i="1"/>
  <c r="Y207" i="1"/>
  <c r="P207" i="1"/>
  <c r="BO206" i="1"/>
  <c r="BM206" i="1"/>
  <c r="Z206" i="1"/>
  <c r="Y206" i="1"/>
  <c r="P206" i="1"/>
  <c r="X204" i="1"/>
  <c r="X203" i="1"/>
  <c r="BO202" i="1"/>
  <c r="BM202" i="1"/>
  <c r="Z202" i="1"/>
  <c r="Z203" i="1" s="1"/>
  <c r="Y202" i="1"/>
  <c r="P202" i="1"/>
  <c r="X198" i="1"/>
  <c r="X197" i="1"/>
  <c r="BO196" i="1"/>
  <c r="BM196" i="1"/>
  <c r="Z196" i="1"/>
  <c r="Y196" i="1"/>
  <c r="P196" i="1"/>
  <c r="BO195" i="1"/>
  <c r="BM195" i="1"/>
  <c r="Z195" i="1"/>
  <c r="Y195" i="1"/>
  <c r="P195" i="1"/>
  <c r="BO194" i="1"/>
  <c r="BM194" i="1"/>
  <c r="Z194" i="1"/>
  <c r="Z197" i="1" s="1"/>
  <c r="Y194" i="1"/>
  <c r="P194" i="1"/>
  <c r="BO193" i="1"/>
  <c r="BM193" i="1"/>
  <c r="Z193" i="1"/>
  <c r="Y193" i="1"/>
  <c r="P193" i="1"/>
  <c r="X189" i="1"/>
  <c r="X188" i="1"/>
  <c r="BO187" i="1"/>
  <c r="BM187" i="1"/>
  <c r="Z187" i="1"/>
  <c r="Z188" i="1" s="1"/>
  <c r="Y187" i="1"/>
  <c r="P187" i="1"/>
  <c r="X184" i="1"/>
  <c r="X183" i="1"/>
  <c r="BP182" i="1"/>
  <c r="BO182" i="1"/>
  <c r="BN182" i="1"/>
  <c r="BM182" i="1"/>
  <c r="Z182" i="1"/>
  <c r="Y182" i="1"/>
  <c r="P182" i="1"/>
  <c r="BO181" i="1"/>
  <c r="BM181" i="1"/>
  <c r="Z181" i="1"/>
  <c r="Y181" i="1"/>
  <c r="P181" i="1"/>
  <c r="X178" i="1"/>
  <c r="X177" i="1"/>
  <c r="BO176" i="1"/>
  <c r="BM176" i="1"/>
  <c r="Z176" i="1"/>
  <c r="Y176" i="1"/>
  <c r="P176" i="1"/>
  <c r="BO175" i="1"/>
  <c r="BM175" i="1"/>
  <c r="Z175" i="1"/>
  <c r="Y175" i="1"/>
  <c r="P175" i="1"/>
  <c r="X173" i="1"/>
  <c r="X172" i="1"/>
  <c r="BO171" i="1"/>
  <c r="BM171" i="1"/>
  <c r="Z171" i="1"/>
  <c r="Z172" i="1" s="1"/>
  <c r="Y171" i="1"/>
  <c r="P171" i="1"/>
  <c r="X167" i="1"/>
  <c r="X166" i="1"/>
  <c r="BO165" i="1"/>
  <c r="BM165" i="1"/>
  <c r="Z165" i="1"/>
  <c r="Z166" i="1" s="1"/>
  <c r="Y165" i="1"/>
  <c r="P165" i="1"/>
  <c r="X162" i="1"/>
  <c r="X161" i="1"/>
  <c r="BO160" i="1"/>
  <c r="BM160" i="1"/>
  <c r="Z160" i="1"/>
  <c r="Z161" i="1" s="1"/>
  <c r="Y160" i="1"/>
  <c r="P160" i="1"/>
  <c r="X157" i="1"/>
  <c r="X156" i="1"/>
  <c r="BO155" i="1"/>
  <c r="BM155" i="1"/>
  <c r="Z155" i="1"/>
  <c r="Z156" i="1" s="1"/>
  <c r="Y155" i="1"/>
  <c r="P155" i="1"/>
  <c r="X152" i="1"/>
  <c r="X151" i="1"/>
  <c r="BP150" i="1"/>
  <c r="BO150" i="1"/>
  <c r="BN150" i="1"/>
  <c r="BM150" i="1"/>
  <c r="Z150" i="1"/>
  <c r="Y150" i="1"/>
  <c r="P150" i="1"/>
  <c r="BO149" i="1"/>
  <c r="BM149" i="1"/>
  <c r="Z149" i="1"/>
  <c r="Y149" i="1"/>
  <c r="P149" i="1"/>
  <c r="X146" i="1"/>
  <c r="X145" i="1"/>
  <c r="BO144" i="1"/>
  <c r="BM144" i="1"/>
  <c r="Z144" i="1"/>
  <c r="Z145" i="1" s="1"/>
  <c r="Y144" i="1"/>
  <c r="P144" i="1"/>
  <c r="BO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Z137" i="1"/>
  <c r="Y137" i="1"/>
  <c r="P137" i="1"/>
  <c r="X134" i="1"/>
  <c r="X133" i="1"/>
  <c r="BO132" i="1"/>
  <c r="BM132" i="1"/>
  <c r="Z132" i="1"/>
  <c r="Y132" i="1"/>
  <c r="BP132" i="1" s="1"/>
  <c r="P132" i="1"/>
  <c r="BO131" i="1"/>
  <c r="BM131" i="1"/>
  <c r="Z131" i="1"/>
  <c r="Y131" i="1"/>
  <c r="P131" i="1"/>
  <c r="BO130" i="1"/>
  <c r="BM130" i="1"/>
  <c r="Z130" i="1"/>
  <c r="Z133" i="1" s="1"/>
  <c r="Y130" i="1"/>
  <c r="P130" i="1"/>
  <c r="X128" i="1"/>
  <c r="X127" i="1"/>
  <c r="BO126" i="1"/>
  <c r="BM126" i="1"/>
  <c r="Z126" i="1"/>
  <c r="Y126" i="1"/>
  <c r="BP126" i="1" s="1"/>
  <c r="P126" i="1"/>
  <c r="BP125" i="1"/>
  <c r="BO125" i="1"/>
  <c r="BN125" i="1"/>
  <c r="BM125" i="1"/>
  <c r="Z125" i="1"/>
  <c r="Y125" i="1"/>
  <c r="P125" i="1"/>
  <c r="BO124" i="1"/>
  <c r="BM124" i="1"/>
  <c r="Z124" i="1"/>
  <c r="Y124" i="1"/>
  <c r="BP124" i="1" s="1"/>
  <c r="P124" i="1"/>
  <c r="BP123" i="1"/>
  <c r="BO123" i="1"/>
  <c r="BN123" i="1"/>
  <c r="BM123" i="1"/>
  <c r="Z123" i="1"/>
  <c r="Z127" i="1" s="1"/>
  <c r="Y123" i="1"/>
  <c r="P123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6" i="1"/>
  <c r="Y115" i="1"/>
  <c r="X115" i="1"/>
  <c r="BP114" i="1"/>
  <c r="BO114" i="1"/>
  <c r="BN114" i="1"/>
  <c r="BM114" i="1"/>
  <c r="Z114" i="1"/>
  <c r="Z115" i="1" s="1"/>
  <c r="Y114" i="1"/>
  <c r="Y116" i="1" s="1"/>
  <c r="P114" i="1"/>
  <c r="X112" i="1"/>
  <c r="Y111" i="1"/>
  <c r="X111" i="1"/>
  <c r="BP110" i="1"/>
  <c r="BO110" i="1"/>
  <c r="BN110" i="1"/>
  <c r="BM110" i="1"/>
  <c r="Z110" i="1"/>
  <c r="Z111" i="1" s="1"/>
  <c r="Y110" i="1"/>
  <c r="Y112" i="1" s="1"/>
  <c r="P110" i="1"/>
  <c r="X108" i="1"/>
  <c r="X107" i="1"/>
  <c r="BO106" i="1"/>
  <c r="BM106" i="1"/>
  <c r="Z106" i="1"/>
  <c r="Y106" i="1"/>
  <c r="P106" i="1"/>
  <c r="BO105" i="1"/>
  <c r="BM105" i="1"/>
  <c r="Z105" i="1"/>
  <c r="Y105" i="1"/>
  <c r="BP105" i="1" s="1"/>
  <c r="P105" i="1"/>
  <c r="BO104" i="1"/>
  <c r="BM104" i="1"/>
  <c r="Z104" i="1"/>
  <c r="Y104" i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X97" i="1"/>
  <c r="X96" i="1"/>
  <c r="BP95" i="1"/>
  <c r="BO95" i="1"/>
  <c r="BN95" i="1"/>
  <c r="BM95" i="1"/>
  <c r="Z95" i="1"/>
  <c r="Y95" i="1"/>
  <c r="P95" i="1"/>
  <c r="BO94" i="1"/>
  <c r="BM94" i="1"/>
  <c r="Z94" i="1"/>
  <c r="Y94" i="1"/>
  <c r="Y97" i="1" s="1"/>
  <c r="P94" i="1"/>
  <c r="X91" i="1"/>
  <c r="X90" i="1"/>
  <c r="BO89" i="1"/>
  <c r="BM89" i="1"/>
  <c r="Z89" i="1"/>
  <c r="Y89" i="1"/>
  <c r="BP89" i="1" s="1"/>
  <c r="P89" i="1"/>
  <c r="BO88" i="1"/>
  <c r="BM88" i="1"/>
  <c r="Z88" i="1"/>
  <c r="Y88" i="1"/>
  <c r="P88" i="1"/>
  <c r="BO87" i="1"/>
  <c r="BM87" i="1"/>
  <c r="Z87" i="1"/>
  <c r="Y87" i="1"/>
  <c r="BP87" i="1" s="1"/>
  <c r="P87" i="1"/>
  <c r="BO86" i="1"/>
  <c r="BM86" i="1"/>
  <c r="Z86" i="1"/>
  <c r="Y86" i="1"/>
  <c r="P86" i="1"/>
  <c r="BO85" i="1"/>
  <c r="BM85" i="1"/>
  <c r="Z85" i="1"/>
  <c r="Y85" i="1"/>
  <c r="BP85" i="1" s="1"/>
  <c r="P85" i="1"/>
  <c r="BO84" i="1"/>
  <c r="BM84" i="1"/>
  <c r="Z84" i="1"/>
  <c r="Y84" i="1"/>
  <c r="P84" i="1"/>
  <c r="X81" i="1"/>
  <c r="X80" i="1"/>
  <c r="BP79" i="1"/>
  <c r="BO79" i="1"/>
  <c r="BN79" i="1"/>
  <c r="BM79" i="1"/>
  <c r="Z79" i="1"/>
  <c r="Y79" i="1"/>
  <c r="P79" i="1"/>
  <c r="BO78" i="1"/>
  <c r="BM78" i="1"/>
  <c r="Z78" i="1"/>
  <c r="Y78" i="1"/>
  <c r="Y81" i="1" s="1"/>
  <c r="P78" i="1"/>
  <c r="X75" i="1"/>
  <c r="X74" i="1"/>
  <c r="BO73" i="1"/>
  <c r="BM73" i="1"/>
  <c r="Z73" i="1"/>
  <c r="Z74" i="1" s="1"/>
  <c r="Y73" i="1"/>
  <c r="Y74" i="1" s="1"/>
  <c r="P73" i="1"/>
  <c r="X70" i="1"/>
  <c r="X69" i="1"/>
  <c r="BO68" i="1"/>
  <c r="BM68" i="1"/>
  <c r="Z68" i="1"/>
  <c r="Y68" i="1"/>
  <c r="BP68" i="1" s="1"/>
  <c r="P68" i="1"/>
  <c r="BO67" i="1"/>
  <c r="BM67" i="1"/>
  <c r="Z67" i="1"/>
  <c r="Y67" i="1"/>
  <c r="P67" i="1"/>
  <c r="X64" i="1"/>
  <c r="X63" i="1"/>
  <c r="BP62" i="1"/>
  <c r="BO62" i="1"/>
  <c r="BN62" i="1"/>
  <c r="BM62" i="1"/>
  <c r="Z62" i="1"/>
  <c r="Y62" i="1"/>
  <c r="P62" i="1"/>
  <c r="BO61" i="1"/>
  <c r="BM61" i="1"/>
  <c r="Z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Z59" i="1"/>
  <c r="Y59" i="1"/>
  <c r="Y64" i="1" s="1"/>
  <c r="P59" i="1"/>
  <c r="X56" i="1"/>
  <c r="X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BP52" i="1" s="1"/>
  <c r="P52" i="1"/>
  <c r="BO51" i="1"/>
  <c r="BM51" i="1"/>
  <c r="Z51" i="1"/>
  <c r="Y51" i="1"/>
  <c r="P51" i="1"/>
  <c r="X48" i="1"/>
  <c r="X47" i="1"/>
  <c r="BP46" i="1"/>
  <c r="BO46" i="1"/>
  <c r="BN46" i="1"/>
  <c r="BM46" i="1"/>
  <c r="Z46" i="1"/>
  <c r="Y46" i="1"/>
  <c r="P46" i="1"/>
  <c r="BO45" i="1"/>
  <c r="BM45" i="1"/>
  <c r="Z45" i="1"/>
  <c r="Y45" i="1"/>
  <c r="Y48" i="1" s="1"/>
  <c r="P45" i="1"/>
  <c r="X41" i="1"/>
  <c r="X40" i="1"/>
  <c r="BO39" i="1"/>
  <c r="BM39" i="1"/>
  <c r="Z39" i="1"/>
  <c r="Y39" i="1"/>
  <c r="BP39" i="1" s="1"/>
  <c r="P39" i="1"/>
  <c r="BO38" i="1"/>
  <c r="BM38" i="1"/>
  <c r="Z38" i="1"/>
  <c r="Y38" i="1"/>
  <c r="P38" i="1"/>
  <c r="X35" i="1"/>
  <c r="X34" i="1"/>
  <c r="BO33" i="1"/>
  <c r="BM33" i="1"/>
  <c r="Z33" i="1"/>
  <c r="Z34" i="1" s="1"/>
  <c r="Y33" i="1"/>
  <c r="P33" i="1"/>
  <c r="X31" i="1"/>
  <c r="X274" i="1" s="1"/>
  <c r="X30" i="1"/>
  <c r="BP29" i="1"/>
  <c r="BO29" i="1"/>
  <c r="BN29" i="1"/>
  <c r="BM29" i="1"/>
  <c r="Z29" i="1"/>
  <c r="Y29" i="1"/>
  <c r="P29" i="1"/>
  <c r="BO28" i="1"/>
  <c r="BM28" i="1"/>
  <c r="Z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Z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Z24" i="1"/>
  <c r="Y24" i="1"/>
  <c r="BP24" i="1" s="1"/>
  <c r="P24" i="1"/>
  <c r="BP23" i="1"/>
  <c r="BO23" i="1"/>
  <c r="BN23" i="1"/>
  <c r="BM23" i="1"/>
  <c r="Z23" i="1"/>
  <c r="Y23" i="1"/>
  <c r="P23" i="1"/>
  <c r="BO22" i="1"/>
  <c r="BM22" i="1"/>
  <c r="X275" i="1" s="1"/>
  <c r="Z22" i="1"/>
  <c r="Y22" i="1"/>
  <c r="Y31" i="1" s="1"/>
  <c r="P22" i="1"/>
  <c r="H10" i="1"/>
  <c r="A9" i="1"/>
  <c r="F10" i="1" s="1"/>
  <c r="D7" i="1"/>
  <c r="Q6" i="1"/>
  <c r="P2" i="1"/>
  <c r="Y35" i="1" l="1"/>
  <c r="Y34" i="1"/>
  <c r="BP33" i="1"/>
  <c r="BN33" i="1"/>
  <c r="Y90" i="1"/>
  <c r="BP84" i="1"/>
  <c r="BN84" i="1"/>
  <c r="BP86" i="1"/>
  <c r="BN86" i="1"/>
  <c r="BP88" i="1"/>
  <c r="BN88" i="1"/>
  <c r="Y108" i="1"/>
  <c r="BP100" i="1"/>
  <c r="BN100" i="1"/>
  <c r="BP102" i="1"/>
  <c r="BN102" i="1"/>
  <c r="BP104" i="1"/>
  <c r="BN104" i="1"/>
  <c r="BP106" i="1"/>
  <c r="BN106" i="1"/>
  <c r="BP131" i="1"/>
  <c r="BN131" i="1"/>
  <c r="Y145" i="1"/>
  <c r="BP143" i="1"/>
  <c r="BN143" i="1"/>
  <c r="Y146" i="1"/>
  <c r="Y157" i="1"/>
  <c r="Y156" i="1"/>
  <c r="BP155" i="1"/>
  <c r="BN155" i="1"/>
  <c r="Y167" i="1"/>
  <c r="Y166" i="1"/>
  <c r="BP165" i="1"/>
  <c r="BN165" i="1"/>
  <c r="BP175" i="1"/>
  <c r="BN175" i="1"/>
  <c r="Y189" i="1"/>
  <c r="Y188" i="1"/>
  <c r="BP187" i="1"/>
  <c r="BN187" i="1"/>
  <c r="Y214" i="1"/>
  <c r="BP212" i="1"/>
  <c r="BN212" i="1"/>
  <c r="Y215" i="1"/>
  <c r="Y40" i="1"/>
  <c r="BP38" i="1"/>
  <c r="BN38" i="1"/>
  <c r="Y55" i="1"/>
  <c r="BP51" i="1"/>
  <c r="BN51" i="1"/>
  <c r="BP53" i="1"/>
  <c r="BN53" i="1"/>
  <c r="Y69" i="1"/>
  <c r="BP67" i="1"/>
  <c r="BN67" i="1"/>
  <c r="Y162" i="1"/>
  <c r="Y161" i="1"/>
  <c r="BP160" i="1"/>
  <c r="BN160" i="1"/>
  <c r="Y173" i="1"/>
  <c r="Y172" i="1"/>
  <c r="BP171" i="1"/>
  <c r="BN171" i="1"/>
  <c r="Y197" i="1"/>
  <c r="BP193" i="1"/>
  <c r="BN193" i="1"/>
  <c r="BP195" i="1"/>
  <c r="BN195" i="1"/>
  <c r="Y198" i="1"/>
  <c r="Z30" i="1"/>
  <c r="X276" i="1"/>
  <c r="X278" i="1"/>
  <c r="Z40" i="1"/>
  <c r="Z47" i="1"/>
  <c r="Z55" i="1"/>
  <c r="Z63" i="1"/>
  <c r="Z69" i="1"/>
  <c r="Z80" i="1"/>
  <c r="Z90" i="1"/>
  <c r="Z96" i="1"/>
  <c r="Z107" i="1"/>
  <c r="Y127" i="1"/>
  <c r="Y133" i="1"/>
  <c r="Z139" i="1"/>
  <c r="Z177" i="1"/>
  <c r="Z183" i="1"/>
  <c r="Z208" i="1"/>
  <c r="BN251" i="1"/>
  <c r="Y273" i="1"/>
  <c r="X277" i="1"/>
  <c r="H9" i="1"/>
  <c r="A10" i="1"/>
  <c r="Y30" i="1"/>
  <c r="Y41" i="1"/>
  <c r="Y47" i="1"/>
  <c r="Y56" i="1"/>
  <c r="Y63" i="1"/>
  <c r="Y70" i="1"/>
  <c r="Y75" i="1"/>
  <c r="Y80" i="1"/>
  <c r="Y91" i="1"/>
  <c r="Y96" i="1"/>
  <c r="Y107" i="1"/>
  <c r="Y128" i="1"/>
  <c r="Y152" i="1"/>
  <c r="BP149" i="1"/>
  <c r="BN149" i="1"/>
  <c r="Y151" i="1"/>
  <c r="BP176" i="1"/>
  <c r="BN176" i="1"/>
  <c r="Y203" i="1"/>
  <c r="BP202" i="1"/>
  <c r="BN202" i="1"/>
  <c r="Y219" i="1"/>
  <c r="BP218" i="1"/>
  <c r="BN218" i="1"/>
  <c r="Y231" i="1"/>
  <c r="BP230" i="1"/>
  <c r="BN230" i="1"/>
  <c r="Y241" i="1"/>
  <c r="BP240" i="1"/>
  <c r="BN240" i="1"/>
  <c r="Y253" i="1"/>
  <c r="BP250" i="1"/>
  <c r="BN250" i="1"/>
  <c r="Y252" i="1"/>
  <c r="Y258" i="1"/>
  <c r="BP255" i="1"/>
  <c r="BN255" i="1"/>
  <c r="BP256" i="1"/>
  <c r="BN256" i="1"/>
  <c r="BP257" i="1"/>
  <c r="BN257" i="1"/>
  <c r="F9" i="1"/>
  <c r="J9" i="1"/>
  <c r="BN22" i="1"/>
  <c r="BP22" i="1"/>
  <c r="BN24" i="1"/>
  <c r="BN26" i="1"/>
  <c r="BN28" i="1"/>
  <c r="BN39" i="1"/>
  <c r="BN45" i="1"/>
  <c r="BP45" i="1"/>
  <c r="BN52" i="1"/>
  <c r="BN54" i="1"/>
  <c r="BN59" i="1"/>
  <c r="BP59" i="1"/>
  <c r="BN61" i="1"/>
  <c r="BN68" i="1"/>
  <c r="BN73" i="1"/>
  <c r="BP73" i="1"/>
  <c r="BN78" i="1"/>
  <c r="BP78" i="1"/>
  <c r="BN85" i="1"/>
  <c r="BN87" i="1"/>
  <c r="BN89" i="1"/>
  <c r="BN94" i="1"/>
  <c r="BP94" i="1"/>
  <c r="BN101" i="1"/>
  <c r="BN103" i="1"/>
  <c r="BN105" i="1"/>
  <c r="BN124" i="1"/>
  <c r="BN126" i="1"/>
  <c r="BN130" i="1"/>
  <c r="BP130" i="1"/>
  <c r="BN132" i="1"/>
  <c r="Y134" i="1"/>
  <c r="Y140" i="1"/>
  <c r="BP137" i="1"/>
  <c r="BN137" i="1"/>
  <c r="Y139" i="1"/>
  <c r="BP144" i="1"/>
  <c r="BN144" i="1"/>
  <c r="Z151" i="1"/>
  <c r="Y177" i="1"/>
  <c r="Y178" i="1"/>
  <c r="Y184" i="1"/>
  <c r="BP181" i="1"/>
  <c r="BN181" i="1"/>
  <c r="Y183" i="1"/>
  <c r="BP194" i="1"/>
  <c r="BN194" i="1"/>
  <c r="BP196" i="1"/>
  <c r="BN196" i="1"/>
  <c r="Y204" i="1"/>
  <c r="Y209" i="1"/>
  <c r="BP206" i="1"/>
  <c r="BN206" i="1"/>
  <c r="Y208" i="1"/>
  <c r="BP213" i="1"/>
  <c r="BN213" i="1"/>
  <c r="Y220" i="1"/>
  <c r="Y225" i="1"/>
  <c r="BP224" i="1"/>
  <c r="BN224" i="1"/>
  <c r="Y232" i="1"/>
  <c r="Y235" i="1"/>
  <c r="BP234" i="1"/>
  <c r="BN234" i="1"/>
  <c r="Y242" i="1"/>
  <c r="Y245" i="1"/>
  <c r="BP244" i="1"/>
  <c r="BN244" i="1"/>
  <c r="Z252" i="1"/>
  <c r="Y259" i="1"/>
  <c r="BP269" i="1"/>
  <c r="BN269" i="1"/>
  <c r="BP270" i="1"/>
  <c r="BN270" i="1"/>
  <c r="Y272" i="1"/>
  <c r="Z279" i="1" l="1"/>
  <c r="Y274" i="1"/>
  <c r="Y276" i="1"/>
  <c r="Y278" i="1"/>
  <c r="B287" i="1"/>
  <c r="Y275" i="1"/>
  <c r="Y277" i="1" s="1"/>
  <c r="A287" i="1" l="1"/>
  <c r="C287" i="1"/>
</calcChain>
</file>

<file path=xl/sharedStrings.xml><?xml version="1.0" encoding="utf-8"?>
<sst xmlns="http://schemas.openxmlformats.org/spreadsheetml/2006/main" count="1287" uniqueCount="430">
  <si>
    <t xml:space="preserve">  БЛАНК ЗАКАЗА </t>
  </si>
  <si>
    <t>ЗПФ</t>
  </si>
  <si>
    <t>на отгрузку продукции с ООО Трейд-Сервис с</t>
  </si>
  <si>
    <t>30.10.2026</t>
  </si>
  <si>
    <t>бланк создан</t>
  </si>
  <si>
    <t>27.10.2026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</si>
  <si>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</si>
  <si>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</si>
  <si>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</si>
  <si>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</si>
  <si>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</si>
  <si>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</si>
  <si>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</si>
  <si>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</si>
  <si>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</si>
  <si>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</si>
  <si>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</si>
  <si>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</si>
  <si>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</si>
  <si>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</si>
  <si>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</si>
  <si>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</si>
  <si>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</si>
  <si>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</si>
  <si>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</si>
  <si>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</si>
  <si>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</si>
  <si>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</si>
  <si>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</si>
  <si>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</si>
  <si>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</si>
  <si>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</si>
  <si>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</si>
  <si>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</si>
  <si>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</si>
  <si>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</si>
  <si>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</si>
  <si>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</si>
  <si>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</si>
  <si>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</si>
  <si>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</si>
  <si>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</si>
  <si>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</si>
  <si>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</si>
  <si>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</si>
  <si>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</si>
  <si>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</si>
  <si>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</si>
  <si>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</si>
  <si>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</si>
  <si>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</si>
  <si>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</si>
  <si>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</si>
  <si>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</si>
  <si>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</si>
  <si>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</si>
  <si>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</si>
  <si>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</si>
  <si>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</si>
  <si>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</si>
  <si>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</si>
  <si>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</si>
  <si>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</si>
  <si>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</si>
  <si>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</si>
  <si>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</si>
  <si>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</si>
  <si>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</si>
  <si>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</si>
  <si>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</si>
  <si>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</si>
  <si>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</si>
  <si>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</si>
  <si>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</si>
  <si>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</si>
  <si>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</si>
  <si>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</si>
  <si>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</si>
  <si>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</si>
  <si>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</si>
  <si>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</si>
  <si>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</si>
  <si>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</si>
  <si>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</si>
  <si>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</si>
  <si>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</si>
  <si>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</si>
  <si>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</si>
  <si>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</si>
  <si>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</si>
  <si>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</si>
  <si>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</si>
  <si>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</si>
  <si>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</si>
  <si>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</si>
  <si>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</si>
  <si>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</si>
  <si>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</si>
  <si>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</si>
  <si>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</si>
  <si>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</si>
  <si>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</si>
  <si>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</si>
  <si>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</si>
  <si>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</si>
  <si>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</si>
  <si>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</si>
  <si>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</si>
  <si>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</si>
  <si>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</si>
  <si>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</si>
  <si>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</si>
  <si>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</si>
  <si>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</si>
  <si>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</si>
  <si>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</si>
  <si>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</si>
  <si>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</si>
  <si>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</si>
  <si>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</si>
  <si>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</si>
  <si>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</si>
  <si>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</si>
  <si>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</si>
  <si>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</si>
  <si>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</si>
  <si>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</si>
  <si>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</si>
  <si>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</si>
  <si>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</si>
  <si>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</si>
  <si>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</si>
  <si>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</si>
  <si>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</si>
  <si>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</si>
  <si>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</si>
  <si>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</si>
  <si>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</si>
  <si>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</si>
  <si>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</si>
  <si>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</si>
  <si>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</si>
  <si>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</si>
  <si>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</si>
  <si>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</si>
  <si>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</si>
  <si>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</si>
  <si>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</si>
  <si>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</si>
  <si>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</si>
  <si>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</si>
  <si>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</si>
  <si>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</si>
  <si>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</si>
  <si>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</si>
  <si>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</si>
  <si>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</si>
  <si>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</si>
  <si>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</si>
  <si>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</si>
  <si>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</si>
  <si>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</si>
  <si>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</si>
  <si>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</si>
  <si>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</si>
  <si>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</si>
  <si>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</si>
  <si>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</si>
  <si>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</si>
  <si>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</si>
  <si>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</si>
  <si>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</si>
  <si>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</si>
  <si>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</si>
  <si>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</si>
  <si>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</si>
  <si>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</si>
  <si>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</si>
  <si>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</si>
  <si>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</si>
  <si>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</si>
  <si>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</si>
  <si>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</si>
  <si>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</si>
  <si>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</si>
  <si>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</si>
  <si>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</si>
  <si>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</si>
  <si>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</si>
  <si>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</si>
  <si>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</si>
  <si>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</si>
  <si>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</si>
  <si>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</si>
  <si>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</si>
  <si>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</si>
  <si>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</si>
  <si>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</si>
  <si>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</si>
  <si>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</si>
  <si>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</si>
  <si>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</si>
  <si>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</si>
  <si>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</si>
  <si>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</si>
  <si>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</si>
  <si>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</si>
  <si>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</si>
  <si>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</si>
  <si>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</si>
  <si>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</si>
  <si>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</si>
  <si>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</si>
  <si>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</si>
  <si>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</si>
  <si>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</si>
  <si>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</si>
  <si>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</si>
  <si>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</si>
  <si>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</si>
  <si>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</si>
  <si>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</si>
  <si>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</si>
  <si>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</si>
  <si>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</si>
  <si>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</si>
  <si>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</si>
  <si>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</si>
  <si>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</si>
  <si>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</si>
  <si>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</si>
  <si>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</si>
  <si>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</si>
  <si>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</si>
  <si>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</si>
  <si>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</si>
  <si>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</si>
  <si>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</si>
  <si>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</si>
  <si>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</si>
  <si>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</si>
  <si>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</si>
  <si>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</si>
  <si>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</si>
  <si>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</si>
  <si>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</si>
  <si>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</si>
  <si>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</si>
  <si>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</si>
  <si>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</si>
  <si>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</si>
  <si>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</si>
  <si>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</si>
  <si>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</si>
  <si>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</si>
  <si>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</si>
  <si>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</si>
  <si>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</si>
  <si>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SU004372</t>
  </si>
  <si>
    <t>P005749</t>
  </si>
  <si>
    <t>ЕАЭС N RU Д-RU.РА04.В.70329/26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</si>
  <si>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</si>
  <si>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</si>
  <si>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</si>
  <si>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</si>
  <si>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</si>
  <si>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</si>
  <si>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</si>
  <si>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</si>
  <si>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</si>
  <si>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</si>
  <si>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</si>
  <si>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</si>
  <si>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</si>
  <si>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</si>
  <si>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</si>
  <si>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</si>
  <si>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</si>
  <si>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</si>
  <si>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</si>
  <si>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</si>
  <si>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</si>
  <si>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</si>
  <si>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</si>
  <si>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</si>
  <si>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</si>
  <si>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</si>
  <si>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</si>
  <si>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</si>
  <si>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</si>
  <si>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</si>
  <si>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</si>
  <si>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</si>
  <si>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</si>
  <si>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</si>
  <si>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</si>
  <si>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</si>
  <si>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</si>
  <si>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</si>
  <si>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</si>
  <si>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</si>
  <si>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</si>
  <si>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</si>
  <si>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</si>
  <si>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</si>
  <si>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</si>
  <si>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</si>
  <si>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</si>
  <si>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</si>
  <si>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</si>
  <si>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</si>
  <si>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</si>
  <si>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</si>
  <si>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</si>
  <si>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</si>
  <si>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</si>
  <si>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</si>
  <si>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</si>
  <si>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</si>
  <si>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</si>
  <si>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</si>
  <si>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</si>
  <si>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</si>
  <si>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</si>
  <si>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</si>
  <si>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</si>
  <si>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</si>
  <si>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</si>
  <si>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</si>
  <si>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</si>
  <si>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</si>
  <si>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</si>
  <si>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</si>
  <si>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</si>
  <si>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</si>
  <si>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</si>
  <si>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</si>
  <si>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</si>
  <si>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</si>
  <si>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</si>
  <si>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</si>
  <si>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</si>
  <si>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</si>
  <si>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</si>
  <si>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</si>
  <si>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SU004393</t>
  </si>
  <si>
    <t>P005767</t>
  </si>
  <si>
    <t>Снеки «Жареные пельмени с мясом по-грузински» Весовой ТМ «Зареченские продукты» 3,7 кг</t>
  </si>
  <si>
    <t>ЕАЭС N RU Д-RU.РА07.В.36084/26</t>
  </si>
  <si>
    <t>SU003434</t>
  </si>
  <si>
    <t>P005736</t>
  </si>
  <si>
    <t>Снеки «Мини-чебуречки с мясом» Весовой ТМ «Зареченские продукты» 5,5 кг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</si>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</sst>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3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0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23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3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3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44" xfId="0" applyBorder="1" applyProtection="1">
      <protection hidden="1"/>
    </xf>
    <xf numFmtId="0" fontId="328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31" t="s">
        <v>0</v>
      </c>
      <c r="E1" s="300"/>
      <c r="F1" s="300"/>
      <c r="G1" s="12" t="s">
        <v>1</v>
      </c>
      <c r="H1" s="331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7"/>
      <c r="R2" s="287"/>
      <c r="S2" s="287"/>
      <c r="T2" s="287"/>
      <c r="U2" s="287"/>
      <c r="V2" s="287"/>
      <c r="W2" s="287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7"/>
      <c r="Q3" s="287"/>
      <c r="R3" s="287"/>
      <c r="S3" s="287"/>
      <c r="T3" s="287"/>
      <c r="U3" s="287"/>
      <c r="V3" s="287"/>
      <c r="W3" s="287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58" t="s">
        <v>8</v>
      </c>
      <c r="B5" s="327"/>
      <c r="C5" s="328"/>
      <c r="D5" s="333"/>
      <c r="E5" s="334"/>
      <c r="F5" s="445" t="s">
        <v>9</v>
      </c>
      <c r="G5" s="328"/>
      <c r="H5" s="333"/>
      <c r="I5" s="416"/>
      <c r="J5" s="416"/>
      <c r="K5" s="416"/>
      <c r="L5" s="416"/>
      <c r="M5" s="334"/>
      <c r="N5" s="61"/>
      <c r="P5" s="24" t="s">
        <v>10</v>
      </c>
      <c r="Q5" s="452">
        <v>46328</v>
      </c>
      <c r="R5" s="357"/>
      <c r="T5" s="377" t="s">
        <v>11</v>
      </c>
      <c r="U5" s="378"/>
      <c r="V5" s="379" t="s">
        <v>12</v>
      </c>
      <c r="W5" s="357"/>
      <c r="AB5" s="51"/>
      <c r="AC5" s="51"/>
      <c r="AD5" s="51"/>
      <c r="AE5" s="51"/>
    </row>
    <row r="6" spans="1:32" s="268" customFormat="1" ht="24" customHeight="1" x14ac:dyDescent="0.2">
      <c r="A6" s="358" t="s">
        <v>13</v>
      </c>
      <c r="B6" s="327"/>
      <c r="C6" s="328"/>
      <c r="D6" s="417"/>
      <c r="E6" s="418"/>
      <c r="F6" s="418"/>
      <c r="G6" s="418"/>
      <c r="H6" s="418"/>
      <c r="I6" s="418"/>
      <c r="J6" s="418"/>
      <c r="K6" s="418"/>
      <c r="L6" s="418"/>
      <c r="M6" s="357"/>
      <c r="N6" s="62"/>
      <c r="P6" s="24" t="s">
        <v>14</v>
      </c>
      <c r="Q6" s="454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81" t="s">
        <v>15</v>
      </c>
      <c r="U6" s="378"/>
      <c r="V6" s="404" t="s">
        <v>16</v>
      </c>
      <c r="W6" s="310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7"/>
      <c r="U7" s="378"/>
      <c r="V7" s="405"/>
      <c r="W7" s="406"/>
      <c r="AB7" s="51"/>
      <c r="AC7" s="51"/>
      <c r="AD7" s="51"/>
      <c r="AE7" s="51"/>
    </row>
    <row r="8" spans="1:32" s="268" customFormat="1" ht="25.5" customHeight="1" x14ac:dyDescent="0.2">
      <c r="A8" s="462" t="s">
        <v>17</v>
      </c>
      <c r="B8" s="289"/>
      <c r="C8" s="290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0">
        <v>0.41666666666666669</v>
      </c>
      <c r="R8" s="317"/>
      <c r="T8" s="287"/>
      <c r="U8" s="378"/>
      <c r="V8" s="405"/>
      <c r="W8" s="406"/>
      <c r="AB8" s="51"/>
      <c r="AC8" s="51"/>
      <c r="AD8" s="51"/>
      <c r="AE8" s="51"/>
    </row>
    <row r="9" spans="1:32" s="268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7"/>
      <c r="C9" s="287"/>
      <c r="D9" s="365"/>
      <c r="E9" s="294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7"/>
      <c r="H9" s="293" t="str">
        <f>IF(AND($A$9="Тип доверенности/получателя при получении в адресе перегруза:",$D$9="Разовая доверенность"),"Введите ФИО","")</f>
        <v/>
      </c>
      <c r="I9" s="294"/>
      <c r="J9" s="29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4"/>
      <c r="L9" s="294"/>
      <c r="M9" s="294"/>
      <c r="N9" s="266"/>
      <c r="P9" s="26" t="s">
        <v>19</v>
      </c>
      <c r="Q9" s="353"/>
      <c r="R9" s="354"/>
      <c r="T9" s="287"/>
      <c r="U9" s="378"/>
      <c r="V9" s="407"/>
      <c r="W9" s="408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7"/>
      <c r="C10" s="287"/>
      <c r="D10" s="365"/>
      <c r="E10" s="294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7"/>
      <c r="H10" s="400" t="str">
        <f>IFERROR(VLOOKUP($D$10,Proxy,2,FALSE),"")</f>
        <v/>
      </c>
      <c r="I10" s="287"/>
      <c r="J10" s="287"/>
      <c r="K10" s="287"/>
      <c r="L10" s="287"/>
      <c r="M10" s="287"/>
      <c r="N10" s="267"/>
      <c r="P10" s="26" t="s">
        <v>20</v>
      </c>
      <c r="Q10" s="382"/>
      <c r="R10" s="383"/>
      <c r="U10" s="24" t="s">
        <v>21</v>
      </c>
      <c r="V10" s="309" t="s">
        <v>22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6"/>
      <c r="R11" s="357"/>
      <c r="U11" s="24" t="s">
        <v>25</v>
      </c>
      <c r="V11" s="428" t="s">
        <v>26</v>
      </c>
      <c r="W11" s="354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75" t="s">
        <v>27</v>
      </c>
      <c r="B12" s="327"/>
      <c r="C12" s="327"/>
      <c r="D12" s="327"/>
      <c r="E12" s="327"/>
      <c r="F12" s="327"/>
      <c r="G12" s="327"/>
      <c r="H12" s="327"/>
      <c r="I12" s="327"/>
      <c r="J12" s="327"/>
      <c r="K12" s="327"/>
      <c r="L12" s="327"/>
      <c r="M12" s="328"/>
      <c r="N12" s="65"/>
      <c r="P12" s="24" t="s">
        <v>28</v>
      </c>
      <c r="Q12" s="360"/>
      <c r="R12" s="317"/>
      <c r="S12" s="23"/>
      <c r="U12" s="24"/>
      <c r="V12" s="300"/>
      <c r="W12" s="287"/>
      <c r="AB12" s="51"/>
      <c r="AC12" s="51"/>
      <c r="AD12" s="51"/>
      <c r="AE12" s="51"/>
    </row>
    <row r="13" spans="1:32" s="268" customFormat="1" ht="23.25" customHeight="1" x14ac:dyDescent="0.2">
      <c r="A13" s="375" t="s">
        <v>29</v>
      </c>
      <c r="B13" s="327"/>
      <c r="C13" s="327"/>
      <c r="D13" s="327"/>
      <c r="E13" s="327"/>
      <c r="F13" s="327"/>
      <c r="G13" s="327"/>
      <c r="H13" s="327"/>
      <c r="I13" s="327"/>
      <c r="J13" s="327"/>
      <c r="K13" s="327"/>
      <c r="L13" s="327"/>
      <c r="M13" s="328"/>
      <c r="N13" s="65"/>
      <c r="O13" s="26"/>
      <c r="P13" s="26" t="s">
        <v>30</v>
      </c>
      <c r="Q13" s="428"/>
      <c r="R13" s="35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75" t="s">
        <v>31</v>
      </c>
      <c r="B14" s="327"/>
      <c r="C14" s="327"/>
      <c r="D14" s="327"/>
      <c r="E14" s="327"/>
      <c r="F14" s="327"/>
      <c r="G14" s="327"/>
      <c r="H14" s="327"/>
      <c r="I14" s="327"/>
      <c r="J14" s="327"/>
      <c r="K14" s="327"/>
      <c r="L14" s="327"/>
      <c r="M14" s="32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391" t="s">
        <v>32</v>
      </c>
      <c r="B15" s="327"/>
      <c r="C15" s="327"/>
      <c r="D15" s="327"/>
      <c r="E15" s="327"/>
      <c r="F15" s="327"/>
      <c r="G15" s="327"/>
      <c r="H15" s="327"/>
      <c r="I15" s="327"/>
      <c r="J15" s="327"/>
      <c r="K15" s="327"/>
      <c r="L15" s="327"/>
      <c r="M15" s="328"/>
      <c r="N15" s="66"/>
      <c r="P15" s="372" t="s">
        <v>33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3"/>
      <c r="Q16" s="373"/>
      <c r="R16" s="373"/>
      <c r="S16" s="373"/>
      <c r="T16" s="3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7" t="s">
        <v>34</v>
      </c>
      <c r="B17" s="307" t="s">
        <v>35</v>
      </c>
      <c r="C17" s="363" t="s">
        <v>36</v>
      </c>
      <c r="D17" s="307" t="s">
        <v>37</v>
      </c>
      <c r="E17" s="342"/>
      <c r="F17" s="307" t="s">
        <v>38</v>
      </c>
      <c r="G17" s="307" t="s">
        <v>39</v>
      </c>
      <c r="H17" s="307" t="s">
        <v>40</v>
      </c>
      <c r="I17" s="307" t="s">
        <v>41</v>
      </c>
      <c r="J17" s="307" t="s">
        <v>42</v>
      </c>
      <c r="K17" s="307" t="s">
        <v>43</v>
      </c>
      <c r="L17" s="307" t="s">
        <v>44</v>
      </c>
      <c r="M17" s="307" t="s">
        <v>45</v>
      </c>
      <c r="N17" s="307" t="s">
        <v>46</v>
      </c>
      <c r="O17" s="307" t="s">
        <v>47</v>
      </c>
      <c r="P17" s="307" t="s">
        <v>48</v>
      </c>
      <c r="Q17" s="341"/>
      <c r="R17" s="341"/>
      <c r="S17" s="341"/>
      <c r="T17" s="342"/>
      <c r="U17" s="459" t="s">
        <v>49</v>
      </c>
      <c r="V17" s="328"/>
      <c r="W17" s="307" t="s">
        <v>50</v>
      </c>
      <c r="X17" s="307" t="s">
        <v>51</v>
      </c>
      <c r="Y17" s="460" t="s">
        <v>52</v>
      </c>
      <c r="Z17" s="414" t="s">
        <v>53</v>
      </c>
      <c r="AA17" s="398" t="s">
        <v>54</v>
      </c>
      <c r="AB17" s="398" t="s">
        <v>55</v>
      </c>
      <c r="AC17" s="398" t="s">
        <v>56</v>
      </c>
      <c r="AD17" s="398" t="s">
        <v>57</v>
      </c>
      <c r="AE17" s="440"/>
      <c r="AF17" s="441"/>
      <c r="AG17" s="69"/>
      <c r="BD17" s="68" t="s">
        <v>58</v>
      </c>
    </row>
    <row r="18" spans="1:68" ht="14.25" customHeight="1" x14ac:dyDescent="0.2">
      <c r="A18" s="308"/>
      <c r="B18" s="308"/>
      <c r="C18" s="308"/>
      <c r="D18" s="343"/>
      <c r="E18" s="345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43"/>
      <c r="Q18" s="344"/>
      <c r="R18" s="344"/>
      <c r="S18" s="344"/>
      <c r="T18" s="345"/>
      <c r="U18" s="70" t="s">
        <v>59</v>
      </c>
      <c r="V18" s="70" t="s">
        <v>60</v>
      </c>
      <c r="W18" s="308"/>
      <c r="X18" s="308"/>
      <c r="Y18" s="461"/>
      <c r="Z18" s="415"/>
      <c r="AA18" s="399"/>
      <c r="AB18" s="399"/>
      <c r="AC18" s="399"/>
      <c r="AD18" s="442"/>
      <c r="AE18" s="443"/>
      <c r="AF18" s="444"/>
      <c r="AG18" s="69"/>
      <c r="BD18" s="68"/>
    </row>
    <row r="19" spans="1:68" ht="27.75" hidden="1" customHeight="1" x14ac:dyDescent="0.2">
      <c r="A19" s="351" t="s">
        <v>61</v>
      </c>
      <c r="B19" s="352"/>
      <c r="C19" s="352"/>
      <c r="D19" s="352"/>
      <c r="E19" s="352"/>
      <c r="F19" s="352"/>
      <c r="G19" s="352"/>
      <c r="H19" s="352"/>
      <c r="I19" s="352"/>
      <c r="J19" s="352"/>
      <c r="K19" s="352"/>
      <c r="L19" s="352"/>
      <c r="M19" s="352"/>
      <c r="N19" s="352"/>
      <c r="O19" s="352"/>
      <c r="P19" s="352"/>
      <c r="Q19" s="352"/>
      <c r="R19" s="352"/>
      <c r="S19" s="352"/>
      <c r="T19" s="352"/>
      <c r="U19" s="352"/>
      <c r="V19" s="352"/>
      <c r="W19" s="352"/>
      <c r="X19" s="352"/>
      <c r="Y19" s="352"/>
      <c r="Z19" s="352"/>
      <c r="AA19" s="48"/>
      <c r="AB19" s="48"/>
      <c r="AC19" s="48"/>
    </row>
    <row r="20" spans="1:68" ht="16.5" hidden="1" customHeight="1" x14ac:dyDescent="0.25">
      <c r="A20" s="295" t="s">
        <v>61</v>
      </c>
      <c r="B20" s="287"/>
      <c r="C20" s="287"/>
      <c r="D20" s="287"/>
      <c r="E20" s="287"/>
      <c r="F20" s="287"/>
      <c r="G20" s="287"/>
      <c r="H20" s="287"/>
      <c r="I20" s="287"/>
      <c r="J20" s="287"/>
      <c r="K20" s="287"/>
      <c r="L20" s="287"/>
      <c r="M20" s="287"/>
      <c r="N20" s="287"/>
      <c r="O20" s="287"/>
      <c r="P20" s="287"/>
      <c r="Q20" s="287"/>
      <c r="R20" s="287"/>
      <c r="S20" s="287"/>
      <c r="T20" s="287"/>
      <c r="U20" s="287"/>
      <c r="V20" s="287"/>
      <c r="W20" s="287"/>
      <c r="X20" s="287"/>
      <c r="Y20" s="287"/>
      <c r="Z20" s="287"/>
      <c r="AA20" s="269"/>
      <c r="AB20" s="269"/>
      <c r="AC20" s="269"/>
    </row>
    <row r="21" spans="1:68" ht="14.25" hidden="1" customHeight="1" x14ac:dyDescent="0.25">
      <c r="A21" s="286" t="s">
        <v>62</v>
      </c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7"/>
      <c r="S21" s="287"/>
      <c r="T21" s="287"/>
      <c r="U21" s="287"/>
      <c r="V21" s="287"/>
      <c r="W21" s="287"/>
      <c r="X21" s="287"/>
      <c r="Y21" s="287"/>
      <c r="Z21" s="287"/>
      <c r="AA21" s="270"/>
      <c r="AB21" s="270"/>
      <c r="AC21" s="270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1">
        <v>4620207491508</v>
      </c>
      <c r="E22" s="282"/>
      <c r="F22" s="273">
        <v>0.4</v>
      </c>
      <c r="G22" s="32">
        <v>16</v>
      </c>
      <c r="H22" s="273">
        <v>6.4</v>
      </c>
      <c r="I22" s="273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79"/>
      <c r="R22" s="279"/>
      <c r="S22" s="279"/>
      <c r="T22" s="280"/>
      <c r="U22" s="34"/>
      <c r="V22" s="34"/>
      <c r="W22" s="35" t="s">
        <v>68</v>
      </c>
      <c r="X22" s="274">
        <v>0</v>
      </c>
      <c r="Y22" s="275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1">
        <v>4620207491256</v>
      </c>
      <c r="E23" s="282"/>
      <c r="F23" s="273">
        <v>0.8</v>
      </c>
      <c r="G23" s="32">
        <v>8</v>
      </c>
      <c r="H23" s="273">
        <v>6.4</v>
      </c>
      <c r="I23" s="273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7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79"/>
      <c r="R23" s="279"/>
      <c r="S23" s="279"/>
      <c r="T23" s="280"/>
      <c r="U23" s="34"/>
      <c r="V23" s="34"/>
      <c r="W23" s="35" t="s">
        <v>68</v>
      </c>
      <c r="X23" s="274">
        <v>0</v>
      </c>
      <c r="Y23" s="275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1">
        <v>4620207491713</v>
      </c>
      <c r="E24" s="282"/>
      <c r="F24" s="273">
        <v>0.4</v>
      </c>
      <c r="G24" s="32">
        <v>16</v>
      </c>
      <c r="H24" s="273">
        <v>6.4</v>
      </c>
      <c r="I24" s="273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79"/>
      <c r="R24" s="279"/>
      <c r="S24" s="279"/>
      <c r="T24" s="280"/>
      <c r="U24" s="34"/>
      <c r="V24" s="34"/>
      <c r="W24" s="35" t="s">
        <v>68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4301071134</v>
      </c>
      <c r="D25" s="281">
        <v>4620207491720</v>
      </c>
      <c r="E25" s="282"/>
      <c r="F25" s="273">
        <v>0.8</v>
      </c>
      <c r="G25" s="32">
        <v>8</v>
      </c>
      <c r="H25" s="273">
        <v>6.4</v>
      </c>
      <c r="I25" s="273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79"/>
      <c r="R25" s="279"/>
      <c r="S25" s="279"/>
      <c r="T25" s="280"/>
      <c r="U25" s="34"/>
      <c r="V25" s="34"/>
      <c r="W25" s="35" t="s">
        <v>68</v>
      </c>
      <c r="X25" s="274">
        <v>60</v>
      </c>
      <c r="Y25" s="275">
        <f t="shared" si="0"/>
        <v>60</v>
      </c>
      <c r="Z25" s="36">
        <f t="shared" si="1"/>
        <v>0.92999999999999994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397.8</v>
      </c>
      <c r="BN25" s="67">
        <f t="shared" si="3"/>
        <v>397.8</v>
      </c>
      <c r="BO25" s="67">
        <f t="shared" si="4"/>
        <v>0.7142857142857143</v>
      </c>
      <c r="BP25" s="67">
        <f t="shared" si="5"/>
        <v>0.7142857142857143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1">
        <v>4607111035912</v>
      </c>
      <c r="E26" s="282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90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79"/>
      <c r="R26" s="279"/>
      <c r="S26" s="279"/>
      <c r="T26" s="280"/>
      <c r="U26" s="34"/>
      <c r="V26" s="34"/>
      <c r="W26" s="35" t="s">
        <v>68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1">
        <v>4607111035929</v>
      </c>
      <c r="E27" s="282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96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68</v>
      </c>
      <c r="X27" s="274">
        <v>12</v>
      </c>
      <c r="Y27" s="275">
        <f t="shared" si="0"/>
        <v>12</v>
      </c>
      <c r="Z27" s="36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1">
        <v>4607111035882</v>
      </c>
      <c r="E28" s="282"/>
      <c r="F28" s="273">
        <v>0.43</v>
      </c>
      <c r="G28" s="32">
        <v>16</v>
      </c>
      <c r="H28" s="273">
        <v>6.88</v>
      </c>
      <c r="I28" s="273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0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79"/>
      <c r="R28" s="279"/>
      <c r="S28" s="279"/>
      <c r="T28" s="280"/>
      <c r="U28" s="34"/>
      <c r="V28" s="34"/>
      <c r="W28" s="35" t="s">
        <v>68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1">
        <v>4301071107</v>
      </c>
      <c r="D29" s="281">
        <v>4607111035905</v>
      </c>
      <c r="E29" s="282"/>
      <c r="F29" s="273">
        <v>0.9</v>
      </c>
      <c r="G29" s="32">
        <v>8</v>
      </c>
      <c r="H29" s="273">
        <v>7.2</v>
      </c>
      <c r="I29" s="273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79"/>
      <c r="R29" s="279"/>
      <c r="S29" s="279"/>
      <c r="T29" s="280"/>
      <c r="U29" s="34"/>
      <c r="V29" s="34"/>
      <c r="W29" s="35" t="s">
        <v>68</v>
      </c>
      <c r="X29" s="274">
        <v>0</v>
      </c>
      <c r="Y29" s="275">
        <f t="shared" si="0"/>
        <v>0</v>
      </c>
      <c r="Z29" s="36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303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304"/>
      <c r="P30" s="288" t="s">
        <v>87</v>
      </c>
      <c r="Q30" s="289"/>
      <c r="R30" s="289"/>
      <c r="S30" s="289"/>
      <c r="T30" s="289"/>
      <c r="U30" s="289"/>
      <c r="V30" s="290"/>
      <c r="W30" s="37" t="s">
        <v>68</v>
      </c>
      <c r="X30" s="276">
        <f>IFERROR(SUM(X22:X29),"0")</f>
        <v>72</v>
      </c>
      <c r="Y30" s="276">
        <f>IFERROR(SUM(Y22:Y29),"0")</f>
        <v>72</v>
      </c>
      <c r="Z30" s="276">
        <f>IFERROR(IF(Z22="",0,Z22),"0")+IFERROR(IF(Z23="",0,Z23),"0")+IFERROR(IF(Z24="",0,Z24),"0")+IFERROR(IF(Z25="",0,Z25),"0")+IFERROR(IF(Z26="",0,Z26),"0")+IFERROR(IF(Z27="",0,Z27),"0")+IFERROR(IF(Z28="",0,Z28),"0")+IFERROR(IF(Z29="",0,Z29),"0")</f>
        <v>1.1159999999999999</v>
      </c>
      <c r="AA30" s="277"/>
      <c r="AB30" s="277"/>
      <c r="AC30" s="277"/>
    </row>
    <row r="31" spans="1:68" x14ac:dyDescent="0.2">
      <c r="A31" s="287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304"/>
      <c r="P31" s="288" t="s">
        <v>87</v>
      </c>
      <c r="Q31" s="289"/>
      <c r="R31" s="289"/>
      <c r="S31" s="289"/>
      <c r="T31" s="289"/>
      <c r="U31" s="289"/>
      <c r="V31" s="290"/>
      <c r="W31" s="37" t="s">
        <v>88</v>
      </c>
      <c r="X31" s="276">
        <f>IFERROR(SUMPRODUCT(X22:X29*H22:H29),"0")</f>
        <v>470.4</v>
      </c>
      <c r="Y31" s="276">
        <f>IFERROR(SUMPRODUCT(Y22:Y29*H22:H29),"0")</f>
        <v>470.4</v>
      </c>
      <c r="Z31" s="37"/>
      <c r="AA31" s="277"/>
      <c r="AB31" s="277"/>
      <c r="AC31" s="277"/>
    </row>
    <row r="32" spans="1:68" ht="14.25" hidden="1" customHeight="1" x14ac:dyDescent="0.25">
      <c r="A32" s="286" t="s">
        <v>89</v>
      </c>
      <c r="B32" s="287"/>
      <c r="C32" s="287"/>
      <c r="D32" s="287"/>
      <c r="E32" s="287"/>
      <c r="F32" s="287"/>
      <c r="G32" s="287"/>
      <c r="H32" s="287"/>
      <c r="I32" s="287"/>
      <c r="J32" s="287"/>
      <c r="K32" s="287"/>
      <c r="L32" s="287"/>
      <c r="M32" s="287"/>
      <c r="N32" s="287"/>
      <c r="O32" s="287"/>
      <c r="P32" s="287"/>
      <c r="Q32" s="287"/>
      <c r="R32" s="287"/>
      <c r="S32" s="287"/>
      <c r="T32" s="287"/>
      <c r="U32" s="287"/>
      <c r="V32" s="287"/>
      <c r="W32" s="287"/>
      <c r="X32" s="287"/>
      <c r="Y32" s="287"/>
      <c r="Z32" s="287"/>
      <c r="AA32" s="270"/>
      <c r="AB32" s="270"/>
      <c r="AC32" s="270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1">
        <v>4620207492178</v>
      </c>
      <c r="E33" s="282"/>
      <c r="F33" s="273">
        <v>0.6</v>
      </c>
      <c r="G33" s="32">
        <v>10</v>
      </c>
      <c r="H33" s="273">
        <v>6</v>
      </c>
      <c r="I33" s="273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1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79"/>
      <c r="R33" s="279"/>
      <c r="S33" s="279"/>
      <c r="T33" s="280"/>
      <c r="U33" s="34"/>
      <c r="V33" s="34"/>
      <c r="W33" s="35" t="s">
        <v>68</v>
      </c>
      <c r="X33" s="274">
        <v>0</v>
      </c>
      <c r="Y33" s="275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3"/>
      <c r="B34" s="287"/>
      <c r="C34" s="287"/>
      <c r="D34" s="287"/>
      <c r="E34" s="287"/>
      <c r="F34" s="287"/>
      <c r="G34" s="287"/>
      <c r="H34" s="287"/>
      <c r="I34" s="287"/>
      <c r="J34" s="287"/>
      <c r="K34" s="287"/>
      <c r="L34" s="287"/>
      <c r="M34" s="287"/>
      <c r="N34" s="287"/>
      <c r="O34" s="304"/>
      <c r="P34" s="288" t="s">
        <v>87</v>
      </c>
      <c r="Q34" s="289"/>
      <c r="R34" s="289"/>
      <c r="S34" s="289"/>
      <c r="T34" s="289"/>
      <c r="U34" s="289"/>
      <c r="V34" s="290"/>
      <c r="W34" s="37" t="s">
        <v>68</v>
      </c>
      <c r="X34" s="276">
        <f>IFERROR(SUM(X33:X33),"0")</f>
        <v>0</v>
      </c>
      <c r="Y34" s="276">
        <f>IFERROR(SUM(Y33:Y33),"0")</f>
        <v>0</v>
      </c>
      <c r="Z34" s="276">
        <f>IFERROR(IF(Z33="",0,Z33),"0")</f>
        <v>0</v>
      </c>
      <c r="AA34" s="277"/>
      <c r="AB34" s="277"/>
      <c r="AC34" s="277"/>
    </row>
    <row r="35" spans="1:68" hidden="1" x14ac:dyDescent="0.2">
      <c r="A35" s="287"/>
      <c r="B35" s="287"/>
      <c r="C35" s="287"/>
      <c r="D35" s="287"/>
      <c r="E35" s="287"/>
      <c r="F35" s="287"/>
      <c r="G35" s="287"/>
      <c r="H35" s="287"/>
      <c r="I35" s="287"/>
      <c r="J35" s="287"/>
      <c r="K35" s="287"/>
      <c r="L35" s="287"/>
      <c r="M35" s="287"/>
      <c r="N35" s="287"/>
      <c r="O35" s="304"/>
      <c r="P35" s="288" t="s">
        <v>87</v>
      </c>
      <c r="Q35" s="289"/>
      <c r="R35" s="289"/>
      <c r="S35" s="289"/>
      <c r="T35" s="289"/>
      <c r="U35" s="289"/>
      <c r="V35" s="290"/>
      <c r="W35" s="37" t="s">
        <v>88</v>
      </c>
      <c r="X35" s="276">
        <f>IFERROR(SUMPRODUCT(X33:X33*H33:H33),"0")</f>
        <v>0</v>
      </c>
      <c r="Y35" s="276">
        <f>IFERROR(SUMPRODUCT(Y33:Y33*H33:H33),"0")</f>
        <v>0</v>
      </c>
      <c r="Z35" s="37"/>
      <c r="AA35" s="277"/>
      <c r="AB35" s="277"/>
      <c r="AC35" s="277"/>
    </row>
    <row r="36" spans="1:68" ht="16.5" hidden="1" customHeight="1" x14ac:dyDescent="0.25">
      <c r="A36" s="295" t="s">
        <v>94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269"/>
      <c r="AB36" s="269"/>
      <c r="AC36" s="269"/>
    </row>
    <row r="37" spans="1:68" ht="14.25" hidden="1" customHeight="1" x14ac:dyDescent="0.25">
      <c r="A37" s="286" t="s">
        <v>62</v>
      </c>
      <c r="B37" s="287"/>
      <c r="C37" s="287"/>
      <c r="D37" s="287"/>
      <c r="E37" s="287"/>
      <c r="F37" s="287"/>
      <c r="G37" s="287"/>
      <c r="H37" s="287"/>
      <c r="I37" s="287"/>
      <c r="J37" s="287"/>
      <c r="K37" s="287"/>
      <c r="L37" s="287"/>
      <c r="M37" s="287"/>
      <c r="N37" s="287"/>
      <c r="O37" s="287"/>
      <c r="P37" s="287"/>
      <c r="Q37" s="287"/>
      <c r="R37" s="287"/>
      <c r="S37" s="287"/>
      <c r="T37" s="287"/>
      <c r="U37" s="287"/>
      <c r="V37" s="287"/>
      <c r="W37" s="287"/>
      <c r="X37" s="287"/>
      <c r="Y37" s="287"/>
      <c r="Z37" s="287"/>
      <c r="AA37" s="270"/>
      <c r="AB37" s="270"/>
      <c r="AC37" s="270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1">
        <v>4607111039019</v>
      </c>
      <c r="E38" s="282"/>
      <c r="F38" s="273">
        <v>0.43</v>
      </c>
      <c r="G38" s="32">
        <v>16</v>
      </c>
      <c r="H38" s="273">
        <v>6.88</v>
      </c>
      <c r="I38" s="273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9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79"/>
      <c r="R38" s="279"/>
      <c r="S38" s="279"/>
      <c r="T38" s="280"/>
      <c r="U38" s="34"/>
      <c r="V38" s="34"/>
      <c r="W38" s="35" t="s">
        <v>68</v>
      </c>
      <c r="X38" s="274">
        <v>0</v>
      </c>
      <c r="Y38" s="275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1">
        <v>4607111038708</v>
      </c>
      <c r="E39" s="282"/>
      <c r="F39" s="273">
        <v>0.8</v>
      </c>
      <c r="G39" s="32">
        <v>8</v>
      </c>
      <c r="H39" s="273">
        <v>6.4</v>
      </c>
      <c r="I39" s="273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3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79"/>
      <c r="R39" s="279"/>
      <c r="S39" s="279"/>
      <c r="T39" s="280"/>
      <c r="U39" s="34"/>
      <c r="V39" s="34"/>
      <c r="W39" s="35" t="s">
        <v>68</v>
      </c>
      <c r="X39" s="274">
        <v>0</v>
      </c>
      <c r="Y39" s="275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3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304"/>
      <c r="P40" s="288" t="s">
        <v>87</v>
      </c>
      <c r="Q40" s="289"/>
      <c r="R40" s="289"/>
      <c r="S40" s="289"/>
      <c r="T40" s="289"/>
      <c r="U40" s="289"/>
      <c r="V40" s="290"/>
      <c r="W40" s="37" t="s">
        <v>68</v>
      </c>
      <c r="X40" s="276">
        <f>IFERROR(SUM(X38:X39),"0")</f>
        <v>0</v>
      </c>
      <c r="Y40" s="276">
        <f>IFERROR(SUM(Y38:Y39),"0")</f>
        <v>0</v>
      </c>
      <c r="Z40" s="276">
        <f>IFERROR(IF(Z38="",0,Z38),"0")+IFERROR(IF(Z39="",0,Z39),"0")</f>
        <v>0</v>
      </c>
      <c r="AA40" s="277"/>
      <c r="AB40" s="277"/>
      <c r="AC40" s="277"/>
    </row>
    <row r="41" spans="1:68" hidden="1" x14ac:dyDescent="0.2">
      <c r="A41" s="287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304"/>
      <c r="P41" s="288" t="s">
        <v>87</v>
      </c>
      <c r="Q41" s="289"/>
      <c r="R41" s="289"/>
      <c r="S41" s="289"/>
      <c r="T41" s="289"/>
      <c r="U41" s="289"/>
      <c r="V41" s="290"/>
      <c r="W41" s="37" t="s">
        <v>88</v>
      </c>
      <c r="X41" s="276">
        <f>IFERROR(SUMPRODUCT(X38:X39*H38:H39),"0")</f>
        <v>0</v>
      </c>
      <c r="Y41" s="276">
        <f>IFERROR(SUMPRODUCT(Y38:Y39*H38:H39),"0")</f>
        <v>0</v>
      </c>
      <c r="Z41" s="37"/>
      <c r="AA41" s="277"/>
      <c r="AB41" s="277"/>
      <c r="AC41" s="277"/>
    </row>
    <row r="42" spans="1:68" ht="27.75" hidden="1" customHeight="1" x14ac:dyDescent="0.2">
      <c r="A42" s="351" t="s">
        <v>100</v>
      </c>
      <c r="B42" s="352"/>
      <c r="C42" s="352"/>
      <c r="D42" s="352"/>
      <c r="E42" s="352"/>
      <c r="F42" s="352"/>
      <c r="G42" s="352"/>
      <c r="H42" s="352"/>
      <c r="I42" s="352"/>
      <c r="J42" s="352"/>
      <c r="K42" s="352"/>
      <c r="L42" s="352"/>
      <c r="M42" s="352"/>
      <c r="N42" s="352"/>
      <c r="O42" s="352"/>
      <c r="P42" s="352"/>
      <c r="Q42" s="352"/>
      <c r="R42" s="352"/>
      <c r="S42" s="352"/>
      <c r="T42" s="352"/>
      <c r="U42" s="352"/>
      <c r="V42" s="352"/>
      <c r="W42" s="352"/>
      <c r="X42" s="352"/>
      <c r="Y42" s="352"/>
      <c r="Z42" s="352"/>
      <c r="AA42" s="48"/>
      <c r="AB42" s="48"/>
      <c r="AC42" s="48"/>
    </row>
    <row r="43" spans="1:68" ht="16.5" hidden="1" customHeight="1" x14ac:dyDescent="0.25">
      <c r="A43" s="295" t="s">
        <v>101</v>
      </c>
      <c r="B43" s="287"/>
      <c r="C43" s="287"/>
      <c r="D43" s="287"/>
      <c r="E43" s="287"/>
      <c r="F43" s="287"/>
      <c r="G43" s="287"/>
      <c r="H43" s="287"/>
      <c r="I43" s="287"/>
      <c r="J43" s="287"/>
      <c r="K43" s="287"/>
      <c r="L43" s="287"/>
      <c r="M43" s="287"/>
      <c r="N43" s="287"/>
      <c r="O43" s="287"/>
      <c r="P43" s="287"/>
      <c r="Q43" s="287"/>
      <c r="R43" s="287"/>
      <c r="S43" s="287"/>
      <c r="T43" s="287"/>
      <c r="U43" s="287"/>
      <c r="V43" s="287"/>
      <c r="W43" s="287"/>
      <c r="X43" s="287"/>
      <c r="Y43" s="287"/>
      <c r="Z43" s="287"/>
      <c r="AA43" s="269"/>
      <c r="AB43" s="269"/>
      <c r="AC43" s="269"/>
    </row>
    <row r="44" spans="1:68" ht="14.25" hidden="1" customHeight="1" x14ac:dyDescent="0.25">
      <c r="A44" s="286" t="s">
        <v>102</v>
      </c>
      <c r="B44" s="287"/>
      <c r="C44" s="287"/>
      <c r="D44" s="287"/>
      <c r="E44" s="287"/>
      <c r="F44" s="287"/>
      <c r="G44" s="287"/>
      <c r="H44" s="287"/>
      <c r="I44" s="287"/>
      <c r="J44" s="287"/>
      <c r="K44" s="287"/>
      <c r="L44" s="287"/>
      <c r="M44" s="287"/>
      <c r="N44" s="287"/>
      <c r="O44" s="287"/>
      <c r="P44" s="287"/>
      <c r="Q44" s="287"/>
      <c r="R44" s="287"/>
      <c r="S44" s="287"/>
      <c r="T44" s="287"/>
      <c r="U44" s="287"/>
      <c r="V44" s="287"/>
      <c r="W44" s="287"/>
      <c r="X44" s="287"/>
      <c r="Y44" s="287"/>
      <c r="Z44" s="287"/>
      <c r="AA44" s="270"/>
      <c r="AB44" s="270"/>
      <c r="AC44" s="270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1">
        <v>4607111036537</v>
      </c>
      <c r="E45" s="282"/>
      <c r="F45" s="273">
        <v>0.25</v>
      </c>
      <c r="G45" s="32">
        <v>6</v>
      </c>
      <c r="H45" s="273">
        <v>1.5</v>
      </c>
      <c r="I45" s="273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79"/>
      <c r="R45" s="279"/>
      <c r="S45" s="279"/>
      <c r="T45" s="280"/>
      <c r="U45" s="34"/>
      <c r="V45" s="34"/>
      <c r="W45" s="35" t="s">
        <v>68</v>
      </c>
      <c r="X45" s="274">
        <v>56</v>
      </c>
      <c r="Y45" s="275">
        <f>IFERROR(IF(X45="","",X45),"")</f>
        <v>56</v>
      </c>
      <c r="Z45" s="36">
        <f>IFERROR(IF(X45="","",X45*0.00941),"")</f>
        <v>0.52695999999999998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107.6208</v>
      </c>
      <c r="BN45" s="67">
        <f>IFERROR(Y45*I45,"0")</f>
        <v>107.6208</v>
      </c>
      <c r="BO45" s="67">
        <f>IFERROR(X45/J45,"0")</f>
        <v>0.4</v>
      </c>
      <c r="BP45" s="67">
        <f>IFERROR(Y45/J45,"0")</f>
        <v>0.4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1">
        <v>4607111036605</v>
      </c>
      <c r="E46" s="282"/>
      <c r="F46" s="273">
        <v>0.25</v>
      </c>
      <c r="G46" s="32">
        <v>6</v>
      </c>
      <c r="H46" s="273">
        <v>1.5</v>
      </c>
      <c r="I46" s="273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2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79"/>
      <c r="R46" s="279"/>
      <c r="S46" s="279"/>
      <c r="T46" s="280"/>
      <c r="U46" s="34"/>
      <c r="V46" s="34"/>
      <c r="W46" s="35" t="s">
        <v>68</v>
      </c>
      <c r="X46" s="274">
        <v>0</v>
      </c>
      <c r="Y46" s="275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303"/>
      <c r="B47" s="287"/>
      <c r="C47" s="287"/>
      <c r="D47" s="287"/>
      <c r="E47" s="287"/>
      <c r="F47" s="287"/>
      <c r="G47" s="287"/>
      <c r="H47" s="287"/>
      <c r="I47" s="287"/>
      <c r="J47" s="287"/>
      <c r="K47" s="287"/>
      <c r="L47" s="287"/>
      <c r="M47" s="287"/>
      <c r="N47" s="287"/>
      <c r="O47" s="304"/>
      <c r="P47" s="288" t="s">
        <v>87</v>
      </c>
      <c r="Q47" s="289"/>
      <c r="R47" s="289"/>
      <c r="S47" s="289"/>
      <c r="T47" s="289"/>
      <c r="U47" s="289"/>
      <c r="V47" s="290"/>
      <c r="W47" s="37" t="s">
        <v>68</v>
      </c>
      <c r="X47" s="276">
        <f>IFERROR(SUM(X45:X46),"0")</f>
        <v>56</v>
      </c>
      <c r="Y47" s="276">
        <f>IFERROR(SUM(Y45:Y46),"0")</f>
        <v>56</v>
      </c>
      <c r="Z47" s="276">
        <f>IFERROR(IF(Z45="",0,Z45),"0")+IFERROR(IF(Z46="",0,Z46),"0")</f>
        <v>0.52695999999999998</v>
      </c>
      <c r="AA47" s="277"/>
      <c r="AB47" s="277"/>
      <c r="AC47" s="277"/>
    </row>
    <row r="48" spans="1:68" x14ac:dyDescent="0.2">
      <c r="A48" s="287"/>
      <c r="B48" s="287"/>
      <c r="C48" s="287"/>
      <c r="D48" s="287"/>
      <c r="E48" s="287"/>
      <c r="F48" s="287"/>
      <c r="G48" s="287"/>
      <c r="H48" s="287"/>
      <c r="I48" s="287"/>
      <c r="J48" s="287"/>
      <c r="K48" s="287"/>
      <c r="L48" s="287"/>
      <c r="M48" s="287"/>
      <c r="N48" s="287"/>
      <c r="O48" s="304"/>
      <c r="P48" s="288" t="s">
        <v>87</v>
      </c>
      <c r="Q48" s="289"/>
      <c r="R48" s="289"/>
      <c r="S48" s="289"/>
      <c r="T48" s="289"/>
      <c r="U48" s="289"/>
      <c r="V48" s="290"/>
      <c r="W48" s="37" t="s">
        <v>88</v>
      </c>
      <c r="X48" s="276">
        <f>IFERROR(SUMPRODUCT(X45:X46*H45:H46),"0")</f>
        <v>84</v>
      </c>
      <c r="Y48" s="276">
        <f>IFERROR(SUMPRODUCT(Y45:Y46*H45:H46),"0")</f>
        <v>84</v>
      </c>
      <c r="Z48" s="37"/>
      <c r="AA48" s="277"/>
      <c r="AB48" s="277"/>
      <c r="AC48" s="277"/>
    </row>
    <row r="49" spans="1:68" ht="16.5" hidden="1" customHeight="1" x14ac:dyDescent="0.25">
      <c r="A49" s="295" t="s">
        <v>112</v>
      </c>
      <c r="B49" s="287"/>
      <c r="C49" s="287"/>
      <c r="D49" s="287"/>
      <c r="E49" s="287"/>
      <c r="F49" s="287"/>
      <c r="G49" s="287"/>
      <c r="H49" s="287"/>
      <c r="I49" s="287"/>
      <c r="J49" s="287"/>
      <c r="K49" s="287"/>
      <c r="L49" s="287"/>
      <c r="M49" s="287"/>
      <c r="N49" s="287"/>
      <c r="O49" s="287"/>
      <c r="P49" s="287"/>
      <c r="Q49" s="287"/>
      <c r="R49" s="287"/>
      <c r="S49" s="287"/>
      <c r="T49" s="287"/>
      <c r="U49" s="287"/>
      <c r="V49" s="287"/>
      <c r="W49" s="287"/>
      <c r="X49" s="287"/>
      <c r="Y49" s="287"/>
      <c r="Z49" s="287"/>
      <c r="AA49" s="269"/>
      <c r="AB49" s="269"/>
      <c r="AC49" s="269"/>
    </row>
    <row r="50" spans="1:68" ht="14.25" hidden="1" customHeight="1" x14ac:dyDescent="0.25">
      <c r="A50" s="286" t="s">
        <v>62</v>
      </c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70"/>
      <c r="AB50" s="270"/>
      <c r="AC50" s="270"/>
    </row>
    <row r="51" spans="1:68" ht="27" hidden="1" customHeight="1" x14ac:dyDescent="0.25">
      <c r="A51" s="54" t="s">
        <v>113</v>
      </c>
      <c r="B51" s="54" t="s">
        <v>114</v>
      </c>
      <c r="C51" s="31">
        <v>4301071044</v>
      </c>
      <c r="D51" s="281">
        <v>4607111039385</v>
      </c>
      <c r="E51" s="282"/>
      <c r="F51" s="273">
        <v>0.7</v>
      </c>
      <c r="G51" s="32">
        <v>10</v>
      </c>
      <c r="H51" s="273">
        <v>7</v>
      </c>
      <c r="I51" s="273">
        <v>7.3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1" s="279"/>
      <c r="R51" s="279"/>
      <c r="S51" s="279"/>
      <c r="T51" s="280"/>
      <c r="U51" s="34"/>
      <c r="V51" s="34"/>
      <c r="W51" s="35" t="s">
        <v>68</v>
      </c>
      <c r="X51" s="274">
        <v>0</v>
      </c>
      <c r="Y51" s="275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4301071031</v>
      </c>
      <c r="D52" s="281">
        <v>4607111038982</v>
      </c>
      <c r="E52" s="282"/>
      <c r="F52" s="273">
        <v>0.7</v>
      </c>
      <c r="G52" s="32">
        <v>10</v>
      </c>
      <c r="H52" s="273">
        <v>7</v>
      </c>
      <c r="I52" s="273">
        <v>7.2859999999999996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5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2" s="279"/>
      <c r="R52" s="279"/>
      <c r="S52" s="279"/>
      <c r="T52" s="280"/>
      <c r="U52" s="34"/>
      <c r="V52" s="34"/>
      <c r="W52" s="35" t="s">
        <v>68</v>
      </c>
      <c r="X52" s="274">
        <v>0</v>
      </c>
      <c r="Y52" s="275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4301071046</v>
      </c>
      <c r="D53" s="281">
        <v>4607111039354</v>
      </c>
      <c r="E53" s="282"/>
      <c r="F53" s="273">
        <v>0.4</v>
      </c>
      <c r="G53" s="32">
        <v>16</v>
      </c>
      <c r="H53" s="273">
        <v>6.4</v>
      </c>
      <c r="I53" s="273">
        <v>6.7195999999999998</v>
      </c>
      <c r="J53" s="32">
        <v>84</v>
      </c>
      <c r="K53" s="32" t="s">
        <v>65</v>
      </c>
      <c r="L53" s="32" t="s">
        <v>106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3" s="279"/>
      <c r="R53" s="279"/>
      <c r="S53" s="279"/>
      <c r="T53" s="280"/>
      <c r="U53" s="34"/>
      <c r="V53" s="34"/>
      <c r="W53" s="35" t="s">
        <v>68</v>
      </c>
      <c r="X53" s="274">
        <v>0</v>
      </c>
      <c r="Y53" s="275">
        <f>IFERROR(IF(X53="","",X53),"")</f>
        <v>0</v>
      </c>
      <c r="Z53" s="36">
        <f>IFERROR(IF(X53="","",X53*0.0155),"")</f>
        <v>0</v>
      </c>
      <c r="AA53" s="56"/>
      <c r="AB53" s="57"/>
      <c r="AC53" s="102" t="s">
        <v>118</v>
      </c>
      <c r="AG53" s="67"/>
      <c r="AJ53" s="71" t="s">
        <v>108</v>
      </c>
      <c r="AK53" s="71">
        <v>12</v>
      </c>
      <c r="BB53" s="103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121</v>
      </c>
      <c r="B54" s="54" t="s">
        <v>122</v>
      </c>
      <c r="C54" s="31">
        <v>4301071047</v>
      </c>
      <c r="D54" s="281">
        <v>4607111039330</v>
      </c>
      <c r="E54" s="282"/>
      <c r="F54" s="273">
        <v>0.7</v>
      </c>
      <c r="G54" s="32">
        <v>10</v>
      </c>
      <c r="H54" s="273">
        <v>7</v>
      </c>
      <c r="I54" s="273">
        <v>7.3</v>
      </c>
      <c r="J54" s="32">
        <v>84</v>
      </c>
      <c r="K54" s="32" t="s">
        <v>65</v>
      </c>
      <c r="L54" s="32" t="s">
        <v>106</v>
      </c>
      <c r="M54" s="33" t="s">
        <v>67</v>
      </c>
      <c r="N54" s="33"/>
      <c r="O54" s="32">
        <v>180</v>
      </c>
      <c r="P54" s="43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4" s="279"/>
      <c r="R54" s="279"/>
      <c r="S54" s="279"/>
      <c r="T54" s="280"/>
      <c r="U54" s="34"/>
      <c r="V54" s="34"/>
      <c r="W54" s="35" t="s">
        <v>68</v>
      </c>
      <c r="X54" s="274">
        <v>0</v>
      </c>
      <c r="Y54" s="275">
        <f>IFERROR(IF(X54="","",X54),"")</f>
        <v>0</v>
      </c>
      <c r="Z54" s="36">
        <f>IFERROR(IF(X54="","",X54*0.0155),"")</f>
        <v>0</v>
      </c>
      <c r="AA54" s="56"/>
      <c r="AB54" s="57"/>
      <c r="AC54" s="104" t="s">
        <v>118</v>
      </c>
      <c r="AG54" s="67"/>
      <c r="AJ54" s="71" t="s">
        <v>108</v>
      </c>
      <c r="AK54" s="71">
        <v>12</v>
      </c>
      <c r="BB54" s="105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03"/>
      <c r="B55" s="287"/>
      <c r="C55" s="287"/>
      <c r="D55" s="287"/>
      <c r="E55" s="287"/>
      <c r="F55" s="287"/>
      <c r="G55" s="287"/>
      <c r="H55" s="287"/>
      <c r="I55" s="287"/>
      <c r="J55" s="287"/>
      <c r="K55" s="287"/>
      <c r="L55" s="287"/>
      <c r="M55" s="287"/>
      <c r="N55" s="287"/>
      <c r="O55" s="304"/>
      <c r="P55" s="288" t="s">
        <v>87</v>
      </c>
      <c r="Q55" s="289"/>
      <c r="R55" s="289"/>
      <c r="S55" s="289"/>
      <c r="T55" s="289"/>
      <c r="U55" s="289"/>
      <c r="V55" s="290"/>
      <c r="W55" s="37" t="s">
        <v>68</v>
      </c>
      <c r="X55" s="276">
        <f>IFERROR(SUM(X51:X54),"0")</f>
        <v>0</v>
      </c>
      <c r="Y55" s="276">
        <f>IFERROR(SUM(Y51:Y54),"0")</f>
        <v>0</v>
      </c>
      <c r="Z55" s="276">
        <f>IFERROR(IF(Z51="",0,Z51),"0")+IFERROR(IF(Z52="",0,Z52),"0")+IFERROR(IF(Z53="",0,Z53),"0")+IFERROR(IF(Z54="",0,Z54),"0")</f>
        <v>0</v>
      </c>
      <c r="AA55" s="277"/>
      <c r="AB55" s="277"/>
      <c r="AC55" s="277"/>
    </row>
    <row r="56" spans="1:68" hidden="1" x14ac:dyDescent="0.2">
      <c r="A56" s="287"/>
      <c r="B56" s="287"/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304"/>
      <c r="P56" s="288" t="s">
        <v>87</v>
      </c>
      <c r="Q56" s="289"/>
      <c r="R56" s="289"/>
      <c r="S56" s="289"/>
      <c r="T56" s="289"/>
      <c r="U56" s="289"/>
      <c r="V56" s="290"/>
      <c r="W56" s="37" t="s">
        <v>88</v>
      </c>
      <c r="X56" s="276">
        <f>IFERROR(SUMPRODUCT(X51:X54*H51:H54),"0")</f>
        <v>0</v>
      </c>
      <c r="Y56" s="276">
        <f>IFERROR(SUMPRODUCT(Y51:Y54*H51:H54),"0")</f>
        <v>0</v>
      </c>
      <c r="Z56" s="37"/>
      <c r="AA56" s="277"/>
      <c r="AB56" s="277"/>
      <c r="AC56" s="277"/>
    </row>
    <row r="57" spans="1:68" ht="16.5" hidden="1" customHeight="1" x14ac:dyDescent="0.25">
      <c r="A57" s="295" t="s">
        <v>123</v>
      </c>
      <c r="B57" s="287"/>
      <c r="C57" s="287"/>
      <c r="D57" s="287"/>
      <c r="E57" s="287"/>
      <c r="F57" s="287"/>
      <c r="G57" s="287"/>
      <c r="H57" s="287"/>
      <c r="I57" s="287"/>
      <c r="J57" s="287"/>
      <c r="K57" s="287"/>
      <c r="L57" s="287"/>
      <c r="M57" s="287"/>
      <c r="N57" s="287"/>
      <c r="O57" s="287"/>
      <c r="P57" s="287"/>
      <c r="Q57" s="287"/>
      <c r="R57" s="287"/>
      <c r="S57" s="287"/>
      <c r="T57" s="287"/>
      <c r="U57" s="287"/>
      <c r="V57" s="287"/>
      <c r="W57" s="287"/>
      <c r="X57" s="287"/>
      <c r="Y57" s="287"/>
      <c r="Z57" s="287"/>
      <c r="AA57" s="269"/>
      <c r="AB57" s="269"/>
      <c r="AC57" s="269"/>
    </row>
    <row r="58" spans="1:68" ht="14.25" hidden="1" customHeight="1" x14ac:dyDescent="0.25">
      <c r="A58" s="286" t="s">
        <v>124</v>
      </c>
      <c r="B58" s="287"/>
      <c r="C58" s="287"/>
      <c r="D58" s="287"/>
      <c r="E58" s="287"/>
      <c r="F58" s="287"/>
      <c r="G58" s="287"/>
      <c r="H58" s="287"/>
      <c r="I58" s="287"/>
      <c r="J58" s="287"/>
      <c r="K58" s="287"/>
      <c r="L58" s="287"/>
      <c r="M58" s="287"/>
      <c r="N58" s="287"/>
      <c r="O58" s="287"/>
      <c r="P58" s="287"/>
      <c r="Q58" s="287"/>
      <c r="R58" s="287"/>
      <c r="S58" s="287"/>
      <c r="T58" s="287"/>
      <c r="U58" s="287"/>
      <c r="V58" s="287"/>
      <c r="W58" s="287"/>
      <c r="X58" s="287"/>
      <c r="Y58" s="287"/>
      <c r="Z58" s="287"/>
      <c r="AA58" s="270"/>
      <c r="AB58" s="270"/>
      <c r="AC58" s="270"/>
    </row>
    <row r="59" spans="1:68" ht="27" hidden="1" customHeight="1" x14ac:dyDescent="0.25">
      <c r="A59" s="54" t="s">
        <v>125</v>
      </c>
      <c r="B59" s="54" t="s">
        <v>126</v>
      </c>
      <c r="C59" s="31">
        <v>4301132194</v>
      </c>
      <c r="D59" s="281">
        <v>4607111039712</v>
      </c>
      <c r="E59" s="282"/>
      <c r="F59" s="273">
        <v>0.2</v>
      </c>
      <c r="G59" s="32">
        <v>6</v>
      </c>
      <c r="H59" s="273">
        <v>1.2</v>
      </c>
      <c r="I59" s="273">
        <v>1.56</v>
      </c>
      <c r="J59" s="32">
        <v>140</v>
      </c>
      <c r="K59" s="32" t="s">
        <v>105</v>
      </c>
      <c r="L59" s="32" t="s">
        <v>66</v>
      </c>
      <c r="M59" s="33" t="s">
        <v>67</v>
      </c>
      <c r="N59" s="33"/>
      <c r="O59" s="32">
        <v>365</v>
      </c>
      <c r="P59" s="423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9" s="279"/>
      <c r="R59" s="279"/>
      <c r="S59" s="279"/>
      <c r="T59" s="280"/>
      <c r="U59" s="34"/>
      <c r="V59" s="34"/>
      <c r="W59" s="35" t="s">
        <v>68</v>
      </c>
      <c r="X59" s="274">
        <v>0</v>
      </c>
      <c r="Y59" s="275">
        <f>IFERROR(IF(X59="","",X59),"")</f>
        <v>0</v>
      </c>
      <c r="Z59" s="36">
        <f>IFERROR(IF(X59="","",X59*0.00941),"")</f>
        <v>0</v>
      </c>
      <c r="AA59" s="56"/>
      <c r="AB59" s="57"/>
      <c r="AC59" s="106" t="s">
        <v>127</v>
      </c>
      <c r="AG59" s="67"/>
      <c r="AJ59" s="71" t="s">
        <v>70</v>
      </c>
      <c r="AK59" s="71">
        <v>1</v>
      </c>
      <c r="BB59" s="107" t="s">
        <v>109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128</v>
      </c>
      <c r="B60" s="54" t="s">
        <v>129</v>
      </c>
      <c r="C60" s="31">
        <v>4301135664</v>
      </c>
      <c r="D60" s="281">
        <v>4607111039705</v>
      </c>
      <c r="E60" s="282"/>
      <c r="F60" s="273">
        <v>0.2</v>
      </c>
      <c r="G60" s="32">
        <v>6</v>
      </c>
      <c r="H60" s="273">
        <v>1.2</v>
      </c>
      <c r="I60" s="273">
        <v>1.56</v>
      </c>
      <c r="J60" s="32">
        <v>140</v>
      </c>
      <c r="K60" s="32" t="s">
        <v>105</v>
      </c>
      <c r="L60" s="32" t="s">
        <v>66</v>
      </c>
      <c r="M60" s="33" t="s">
        <v>67</v>
      </c>
      <c r="N60" s="33"/>
      <c r="O60" s="32">
        <v>365</v>
      </c>
      <c r="P60" s="457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0" s="279"/>
      <c r="R60" s="279"/>
      <c r="S60" s="279"/>
      <c r="T60" s="280"/>
      <c r="U60" s="34"/>
      <c r="V60" s="34"/>
      <c r="W60" s="35" t="s">
        <v>68</v>
      </c>
      <c r="X60" s="274">
        <v>0</v>
      </c>
      <c r="Y60" s="275">
        <f>IFERROR(IF(X60="","",X60),"")</f>
        <v>0</v>
      </c>
      <c r="Z60" s="36">
        <f>IFERROR(IF(X60="","",X60*0.00941),"")</f>
        <v>0</v>
      </c>
      <c r="AA60" s="56"/>
      <c r="AB60" s="57"/>
      <c r="AC60" s="108" t="s">
        <v>130</v>
      </c>
      <c r="AG60" s="67"/>
      <c r="AJ60" s="71" t="s">
        <v>70</v>
      </c>
      <c r="AK60" s="71">
        <v>1</v>
      </c>
      <c r="BB60" s="109" t="s">
        <v>109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t="27" hidden="1" customHeight="1" x14ac:dyDescent="0.25">
      <c r="A61" s="54" t="s">
        <v>131</v>
      </c>
      <c r="B61" s="54" t="s">
        <v>132</v>
      </c>
      <c r="C61" s="31">
        <v>4301135665</v>
      </c>
      <c r="D61" s="281">
        <v>4607111039729</v>
      </c>
      <c r="E61" s="282"/>
      <c r="F61" s="273">
        <v>0.2</v>
      </c>
      <c r="G61" s="32">
        <v>6</v>
      </c>
      <c r="H61" s="273">
        <v>1.2</v>
      </c>
      <c r="I61" s="273">
        <v>1.56</v>
      </c>
      <c r="J61" s="32">
        <v>140</v>
      </c>
      <c r="K61" s="32" t="s">
        <v>105</v>
      </c>
      <c r="L61" s="32" t="s">
        <v>66</v>
      </c>
      <c r="M61" s="33" t="s">
        <v>67</v>
      </c>
      <c r="N61" s="33"/>
      <c r="O61" s="32">
        <v>365</v>
      </c>
      <c r="P61" s="426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1" s="279"/>
      <c r="R61" s="279"/>
      <c r="S61" s="279"/>
      <c r="T61" s="280"/>
      <c r="U61" s="34"/>
      <c r="V61" s="34"/>
      <c r="W61" s="35" t="s">
        <v>68</v>
      </c>
      <c r="X61" s="274">
        <v>0</v>
      </c>
      <c r="Y61" s="275">
        <f>IFERROR(IF(X61="","",X61),"")</f>
        <v>0</v>
      </c>
      <c r="Z61" s="36">
        <f>IFERROR(IF(X61="","",X61*0.00941),"")</f>
        <v>0</v>
      </c>
      <c r="AA61" s="56"/>
      <c r="AB61" s="57"/>
      <c r="AC61" s="110" t="s">
        <v>133</v>
      </c>
      <c r="AG61" s="67"/>
      <c r="AJ61" s="71" t="s">
        <v>70</v>
      </c>
      <c r="AK61" s="71">
        <v>1</v>
      </c>
      <c r="BB61" s="111" t="s">
        <v>109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t="27" hidden="1" customHeight="1" x14ac:dyDescent="0.25">
      <c r="A62" s="54" t="s">
        <v>134</v>
      </c>
      <c r="B62" s="54" t="s">
        <v>135</v>
      </c>
      <c r="C62" s="31">
        <v>4301135702</v>
      </c>
      <c r="D62" s="281">
        <v>4620207490228</v>
      </c>
      <c r="E62" s="282"/>
      <c r="F62" s="273">
        <v>0.2</v>
      </c>
      <c r="G62" s="32">
        <v>6</v>
      </c>
      <c r="H62" s="273">
        <v>1.2</v>
      </c>
      <c r="I62" s="273">
        <v>1.56</v>
      </c>
      <c r="J62" s="32">
        <v>140</v>
      </c>
      <c r="K62" s="32" t="s">
        <v>105</v>
      </c>
      <c r="L62" s="32" t="s">
        <v>66</v>
      </c>
      <c r="M62" s="33" t="s">
        <v>67</v>
      </c>
      <c r="N62" s="33"/>
      <c r="O62" s="32">
        <v>365</v>
      </c>
      <c r="P62" s="43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2" s="279"/>
      <c r="R62" s="279"/>
      <c r="S62" s="279"/>
      <c r="T62" s="280"/>
      <c r="U62" s="34"/>
      <c r="V62" s="34"/>
      <c r="W62" s="35" t="s">
        <v>68</v>
      </c>
      <c r="X62" s="274">
        <v>0</v>
      </c>
      <c r="Y62" s="275">
        <f>IFERROR(IF(X62="","",X62),"")</f>
        <v>0</v>
      </c>
      <c r="Z62" s="36">
        <f>IFERROR(IF(X62="","",X62*0.00941),"")</f>
        <v>0</v>
      </c>
      <c r="AA62" s="56"/>
      <c r="AB62" s="57"/>
      <c r="AC62" s="112" t="s">
        <v>133</v>
      </c>
      <c r="AG62" s="67"/>
      <c r="AJ62" s="71" t="s">
        <v>70</v>
      </c>
      <c r="AK62" s="71">
        <v>1</v>
      </c>
      <c r="BB62" s="113" t="s">
        <v>109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3"/>
      <c r="B63" s="287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304"/>
      <c r="P63" s="288" t="s">
        <v>87</v>
      </c>
      <c r="Q63" s="289"/>
      <c r="R63" s="289"/>
      <c r="S63" s="289"/>
      <c r="T63" s="289"/>
      <c r="U63" s="289"/>
      <c r="V63" s="290"/>
      <c r="W63" s="37" t="s">
        <v>68</v>
      </c>
      <c r="X63" s="276">
        <f>IFERROR(SUM(X59:X62),"0")</f>
        <v>0</v>
      </c>
      <c r="Y63" s="276">
        <f>IFERROR(SUM(Y59:Y62),"0")</f>
        <v>0</v>
      </c>
      <c r="Z63" s="276">
        <f>IFERROR(IF(Z59="",0,Z59),"0")+IFERROR(IF(Z60="",0,Z60),"0")+IFERROR(IF(Z61="",0,Z61),"0")+IFERROR(IF(Z62="",0,Z62),"0")</f>
        <v>0</v>
      </c>
      <c r="AA63" s="277"/>
      <c r="AB63" s="277"/>
      <c r="AC63" s="277"/>
    </row>
    <row r="64" spans="1:68" hidden="1" x14ac:dyDescent="0.2">
      <c r="A64" s="287"/>
      <c r="B64" s="287"/>
      <c r="C64" s="287"/>
      <c r="D64" s="287"/>
      <c r="E64" s="287"/>
      <c r="F64" s="287"/>
      <c r="G64" s="287"/>
      <c r="H64" s="287"/>
      <c r="I64" s="287"/>
      <c r="J64" s="287"/>
      <c r="K64" s="287"/>
      <c r="L64" s="287"/>
      <c r="M64" s="287"/>
      <c r="N64" s="287"/>
      <c r="O64" s="304"/>
      <c r="P64" s="288" t="s">
        <v>87</v>
      </c>
      <c r="Q64" s="289"/>
      <c r="R64" s="289"/>
      <c r="S64" s="289"/>
      <c r="T64" s="289"/>
      <c r="U64" s="289"/>
      <c r="V64" s="290"/>
      <c r="W64" s="37" t="s">
        <v>88</v>
      </c>
      <c r="X64" s="276">
        <f>IFERROR(SUMPRODUCT(X59:X62*H59:H62),"0")</f>
        <v>0</v>
      </c>
      <c r="Y64" s="276">
        <f>IFERROR(SUMPRODUCT(Y59:Y62*H59:H62),"0")</f>
        <v>0</v>
      </c>
      <c r="Z64" s="37"/>
      <c r="AA64" s="277"/>
      <c r="AB64" s="277"/>
      <c r="AC64" s="277"/>
    </row>
    <row r="65" spans="1:68" ht="16.5" hidden="1" customHeight="1" x14ac:dyDescent="0.25">
      <c r="A65" s="295" t="s">
        <v>136</v>
      </c>
      <c r="B65" s="287"/>
      <c r="C65" s="287"/>
      <c r="D65" s="287"/>
      <c r="E65" s="287"/>
      <c r="F65" s="287"/>
      <c r="G65" s="287"/>
      <c r="H65" s="287"/>
      <c r="I65" s="287"/>
      <c r="J65" s="287"/>
      <c r="K65" s="287"/>
      <c r="L65" s="287"/>
      <c r="M65" s="287"/>
      <c r="N65" s="287"/>
      <c r="O65" s="287"/>
      <c r="P65" s="287"/>
      <c r="Q65" s="287"/>
      <c r="R65" s="287"/>
      <c r="S65" s="287"/>
      <c r="T65" s="287"/>
      <c r="U65" s="287"/>
      <c r="V65" s="287"/>
      <c r="W65" s="287"/>
      <c r="X65" s="287"/>
      <c r="Y65" s="287"/>
      <c r="Z65" s="287"/>
      <c r="AA65" s="269"/>
      <c r="AB65" s="269"/>
      <c r="AC65" s="269"/>
    </row>
    <row r="66" spans="1:68" ht="14.25" hidden="1" customHeight="1" x14ac:dyDescent="0.25">
      <c r="A66" s="286" t="s">
        <v>62</v>
      </c>
      <c r="B66" s="287"/>
      <c r="C66" s="287"/>
      <c r="D66" s="287"/>
      <c r="E66" s="287"/>
      <c r="F66" s="287"/>
      <c r="G66" s="287"/>
      <c r="H66" s="287"/>
      <c r="I66" s="287"/>
      <c r="J66" s="287"/>
      <c r="K66" s="287"/>
      <c r="L66" s="287"/>
      <c r="M66" s="287"/>
      <c r="N66" s="287"/>
      <c r="O66" s="287"/>
      <c r="P66" s="287"/>
      <c r="Q66" s="287"/>
      <c r="R66" s="287"/>
      <c r="S66" s="287"/>
      <c r="T66" s="287"/>
      <c r="U66" s="287"/>
      <c r="V66" s="287"/>
      <c r="W66" s="287"/>
      <c r="X66" s="287"/>
      <c r="Y66" s="287"/>
      <c r="Z66" s="287"/>
      <c r="AA66" s="270"/>
      <c r="AB66" s="270"/>
      <c r="AC66" s="270"/>
    </row>
    <row r="67" spans="1:68" ht="27" hidden="1" customHeight="1" x14ac:dyDescent="0.25">
      <c r="A67" s="54" t="s">
        <v>137</v>
      </c>
      <c r="B67" s="54" t="s">
        <v>138</v>
      </c>
      <c r="C67" s="31">
        <v>4301070977</v>
      </c>
      <c r="D67" s="281">
        <v>4607111037411</v>
      </c>
      <c r="E67" s="282"/>
      <c r="F67" s="273">
        <v>2.7</v>
      </c>
      <c r="G67" s="32">
        <v>1</v>
      </c>
      <c r="H67" s="273">
        <v>2.7</v>
      </c>
      <c r="I67" s="273">
        <v>2.8132000000000001</v>
      </c>
      <c r="J67" s="32">
        <v>234</v>
      </c>
      <c r="K67" s="32" t="s">
        <v>139</v>
      </c>
      <c r="L67" s="32" t="s">
        <v>66</v>
      </c>
      <c r="M67" s="33" t="s">
        <v>67</v>
      </c>
      <c r="N67" s="33"/>
      <c r="O67" s="32">
        <v>180</v>
      </c>
      <c r="P67" s="44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7" s="279"/>
      <c r="R67" s="279"/>
      <c r="S67" s="279"/>
      <c r="T67" s="280"/>
      <c r="U67" s="34"/>
      <c r="V67" s="34"/>
      <c r="W67" s="35" t="s">
        <v>68</v>
      </c>
      <c r="X67" s="274">
        <v>0</v>
      </c>
      <c r="Y67" s="275">
        <f>IFERROR(IF(X67="","",X67),"")</f>
        <v>0</v>
      </c>
      <c r="Z67" s="36">
        <f>IFERROR(IF(X67="","",X67*0.00502),"")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customHeight="1" x14ac:dyDescent="0.25">
      <c r="A68" s="54" t="s">
        <v>141</v>
      </c>
      <c r="B68" s="54" t="s">
        <v>142</v>
      </c>
      <c r="C68" s="31">
        <v>4301070981</v>
      </c>
      <c r="D68" s="281">
        <v>4607111036728</v>
      </c>
      <c r="E68" s="282"/>
      <c r="F68" s="273">
        <v>5</v>
      </c>
      <c r="G68" s="32">
        <v>1</v>
      </c>
      <c r="H68" s="273">
        <v>5</v>
      </c>
      <c r="I68" s="273">
        <v>5.2131999999999996</v>
      </c>
      <c r="J68" s="32">
        <v>144</v>
      </c>
      <c r="K68" s="32" t="s">
        <v>65</v>
      </c>
      <c r="L68" s="32" t="s">
        <v>106</v>
      </c>
      <c r="M68" s="33" t="s">
        <v>67</v>
      </c>
      <c r="N68" s="33"/>
      <c r="O68" s="32">
        <v>180</v>
      </c>
      <c r="P68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68" s="279"/>
      <c r="R68" s="279"/>
      <c r="S68" s="279"/>
      <c r="T68" s="280"/>
      <c r="U68" s="34"/>
      <c r="V68" s="34"/>
      <c r="W68" s="35" t="s">
        <v>68</v>
      </c>
      <c r="X68" s="274">
        <v>72</v>
      </c>
      <c r="Y68" s="275">
        <f>IFERROR(IF(X68="","",X68),"")</f>
        <v>72</v>
      </c>
      <c r="Z68" s="36">
        <f>IFERROR(IF(X68="","",X68*0.00866),"")</f>
        <v>0.62351999999999996</v>
      </c>
      <c r="AA68" s="56"/>
      <c r="AB68" s="57"/>
      <c r="AC68" s="116" t="s">
        <v>140</v>
      </c>
      <c r="AG68" s="67"/>
      <c r="AJ68" s="71" t="s">
        <v>108</v>
      </c>
      <c r="AK68" s="71">
        <v>12</v>
      </c>
      <c r="BB68" s="117" t="s">
        <v>1</v>
      </c>
      <c r="BM68" s="67">
        <f>IFERROR(X68*I68,"0")</f>
        <v>375.35039999999998</v>
      </c>
      <c r="BN68" s="67">
        <f>IFERROR(Y68*I68,"0")</f>
        <v>375.35039999999998</v>
      </c>
      <c r="BO68" s="67">
        <f>IFERROR(X68/J68,"0")</f>
        <v>0.5</v>
      </c>
      <c r="BP68" s="67">
        <f>IFERROR(Y68/J68,"0")</f>
        <v>0.5</v>
      </c>
    </row>
    <row r="69" spans="1:68" x14ac:dyDescent="0.2">
      <c r="A69" s="303"/>
      <c r="B69" s="287"/>
      <c r="C69" s="287"/>
      <c r="D69" s="287"/>
      <c r="E69" s="287"/>
      <c r="F69" s="287"/>
      <c r="G69" s="287"/>
      <c r="H69" s="287"/>
      <c r="I69" s="287"/>
      <c r="J69" s="287"/>
      <c r="K69" s="287"/>
      <c r="L69" s="287"/>
      <c r="M69" s="287"/>
      <c r="N69" s="287"/>
      <c r="O69" s="304"/>
      <c r="P69" s="288" t="s">
        <v>87</v>
      </c>
      <c r="Q69" s="289"/>
      <c r="R69" s="289"/>
      <c r="S69" s="289"/>
      <c r="T69" s="289"/>
      <c r="U69" s="289"/>
      <c r="V69" s="290"/>
      <c r="W69" s="37" t="s">
        <v>68</v>
      </c>
      <c r="X69" s="276">
        <f>IFERROR(SUM(X67:X68),"0")</f>
        <v>72</v>
      </c>
      <c r="Y69" s="276">
        <f>IFERROR(SUM(Y67:Y68),"0")</f>
        <v>72</v>
      </c>
      <c r="Z69" s="276">
        <f>IFERROR(IF(Z67="",0,Z67),"0")+IFERROR(IF(Z68="",0,Z68),"0")</f>
        <v>0.62351999999999996</v>
      </c>
      <c r="AA69" s="277"/>
      <c r="AB69" s="277"/>
      <c r="AC69" s="277"/>
    </row>
    <row r="70" spans="1:68" x14ac:dyDescent="0.2">
      <c r="A70" s="287"/>
      <c r="B70" s="287"/>
      <c r="C70" s="287"/>
      <c r="D70" s="287"/>
      <c r="E70" s="287"/>
      <c r="F70" s="287"/>
      <c r="G70" s="287"/>
      <c r="H70" s="287"/>
      <c r="I70" s="287"/>
      <c r="J70" s="287"/>
      <c r="K70" s="287"/>
      <c r="L70" s="287"/>
      <c r="M70" s="287"/>
      <c r="N70" s="287"/>
      <c r="O70" s="304"/>
      <c r="P70" s="288" t="s">
        <v>87</v>
      </c>
      <c r="Q70" s="289"/>
      <c r="R70" s="289"/>
      <c r="S70" s="289"/>
      <c r="T70" s="289"/>
      <c r="U70" s="289"/>
      <c r="V70" s="290"/>
      <c r="W70" s="37" t="s">
        <v>88</v>
      </c>
      <c r="X70" s="276">
        <f>IFERROR(SUMPRODUCT(X67:X68*H67:H68),"0")</f>
        <v>360</v>
      </c>
      <c r="Y70" s="276">
        <f>IFERROR(SUMPRODUCT(Y67:Y68*H67:H68),"0")</f>
        <v>360</v>
      </c>
      <c r="Z70" s="37"/>
      <c r="AA70" s="277"/>
      <c r="AB70" s="277"/>
      <c r="AC70" s="277"/>
    </row>
    <row r="71" spans="1:68" ht="16.5" hidden="1" customHeight="1" x14ac:dyDescent="0.25">
      <c r="A71" s="295" t="s">
        <v>143</v>
      </c>
      <c r="B71" s="287"/>
      <c r="C71" s="287"/>
      <c r="D71" s="287"/>
      <c r="E71" s="287"/>
      <c r="F71" s="287"/>
      <c r="G71" s="287"/>
      <c r="H71" s="287"/>
      <c r="I71" s="287"/>
      <c r="J71" s="287"/>
      <c r="K71" s="287"/>
      <c r="L71" s="287"/>
      <c r="M71" s="287"/>
      <c r="N71" s="287"/>
      <c r="O71" s="287"/>
      <c r="P71" s="287"/>
      <c r="Q71" s="287"/>
      <c r="R71" s="287"/>
      <c r="S71" s="287"/>
      <c r="T71" s="287"/>
      <c r="U71" s="287"/>
      <c r="V71" s="287"/>
      <c r="W71" s="287"/>
      <c r="X71" s="287"/>
      <c r="Y71" s="287"/>
      <c r="Z71" s="287"/>
      <c r="AA71" s="269"/>
      <c r="AB71" s="269"/>
      <c r="AC71" s="269"/>
    </row>
    <row r="72" spans="1:68" ht="14.25" hidden="1" customHeight="1" x14ac:dyDescent="0.25">
      <c r="A72" s="286" t="s">
        <v>144</v>
      </c>
      <c r="B72" s="287"/>
      <c r="C72" s="287"/>
      <c r="D72" s="287"/>
      <c r="E72" s="287"/>
      <c r="F72" s="287"/>
      <c r="G72" s="287"/>
      <c r="H72" s="287"/>
      <c r="I72" s="287"/>
      <c r="J72" s="287"/>
      <c r="K72" s="287"/>
      <c r="L72" s="287"/>
      <c r="M72" s="287"/>
      <c r="N72" s="287"/>
      <c r="O72" s="287"/>
      <c r="P72" s="287"/>
      <c r="Q72" s="287"/>
      <c r="R72" s="287"/>
      <c r="S72" s="287"/>
      <c r="T72" s="287"/>
      <c r="U72" s="287"/>
      <c r="V72" s="287"/>
      <c r="W72" s="287"/>
      <c r="X72" s="287"/>
      <c r="Y72" s="287"/>
      <c r="Z72" s="287"/>
      <c r="AA72" s="270"/>
      <c r="AB72" s="270"/>
      <c r="AC72" s="270"/>
    </row>
    <row r="73" spans="1:68" ht="27" hidden="1" customHeight="1" x14ac:dyDescent="0.25">
      <c r="A73" s="54" t="s">
        <v>145</v>
      </c>
      <c r="B73" s="54" t="s">
        <v>146</v>
      </c>
      <c r="C73" s="31">
        <v>4301135910</v>
      </c>
      <c r="D73" s="281">
        <v>4620207491638</v>
      </c>
      <c r="E73" s="282"/>
      <c r="F73" s="273">
        <v>0.3</v>
      </c>
      <c r="G73" s="32">
        <v>12</v>
      </c>
      <c r="H73" s="273">
        <v>3.6</v>
      </c>
      <c r="I73" s="273">
        <v>4.3036000000000003</v>
      </c>
      <c r="J73" s="32">
        <v>70</v>
      </c>
      <c r="K73" s="32" t="s">
        <v>105</v>
      </c>
      <c r="L73" s="32" t="s">
        <v>66</v>
      </c>
      <c r="M73" s="33" t="s">
        <v>67</v>
      </c>
      <c r="N73" s="33"/>
      <c r="O73" s="32">
        <v>180</v>
      </c>
      <c r="P73" s="284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73" s="279"/>
      <c r="R73" s="279"/>
      <c r="S73" s="279"/>
      <c r="T73" s="280"/>
      <c r="U73" s="34"/>
      <c r="V73" s="34"/>
      <c r="W73" s="35" t="s">
        <v>68</v>
      </c>
      <c r="X73" s="274">
        <v>0</v>
      </c>
      <c r="Y73" s="275">
        <f>IFERROR(IF(X73="","",X73),"")</f>
        <v>0</v>
      </c>
      <c r="Z73" s="36">
        <f>IFERROR(IF(X73="","",X73*0.01788),"")</f>
        <v>0</v>
      </c>
      <c r="AA73" s="56"/>
      <c r="AB73" s="57"/>
      <c r="AC73" s="118" t="s">
        <v>147</v>
      </c>
      <c r="AG73" s="67"/>
      <c r="AJ73" s="71" t="s">
        <v>70</v>
      </c>
      <c r="AK73" s="71">
        <v>1</v>
      </c>
      <c r="BB73" s="119" t="s">
        <v>109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idden="1" x14ac:dyDescent="0.2">
      <c r="A74" s="303"/>
      <c r="B74" s="287"/>
      <c r="C74" s="287"/>
      <c r="D74" s="287"/>
      <c r="E74" s="287"/>
      <c r="F74" s="287"/>
      <c r="G74" s="287"/>
      <c r="H74" s="287"/>
      <c r="I74" s="287"/>
      <c r="J74" s="287"/>
      <c r="K74" s="287"/>
      <c r="L74" s="287"/>
      <c r="M74" s="287"/>
      <c r="N74" s="287"/>
      <c r="O74" s="304"/>
      <c r="P74" s="288" t="s">
        <v>87</v>
      </c>
      <c r="Q74" s="289"/>
      <c r="R74" s="289"/>
      <c r="S74" s="289"/>
      <c r="T74" s="289"/>
      <c r="U74" s="289"/>
      <c r="V74" s="290"/>
      <c r="W74" s="37" t="s">
        <v>68</v>
      </c>
      <c r="X74" s="276">
        <f>IFERROR(SUM(X73:X73),"0")</f>
        <v>0</v>
      </c>
      <c r="Y74" s="276">
        <f>IFERROR(SUM(Y73:Y73),"0")</f>
        <v>0</v>
      </c>
      <c r="Z74" s="276">
        <f>IFERROR(IF(Z73="",0,Z73),"0")</f>
        <v>0</v>
      </c>
      <c r="AA74" s="277"/>
      <c r="AB74" s="277"/>
      <c r="AC74" s="277"/>
    </row>
    <row r="75" spans="1:68" hidden="1" x14ac:dyDescent="0.2">
      <c r="A75" s="287"/>
      <c r="B75" s="287"/>
      <c r="C75" s="287"/>
      <c r="D75" s="287"/>
      <c r="E75" s="287"/>
      <c r="F75" s="287"/>
      <c r="G75" s="287"/>
      <c r="H75" s="287"/>
      <c r="I75" s="287"/>
      <c r="J75" s="287"/>
      <c r="K75" s="287"/>
      <c r="L75" s="287"/>
      <c r="M75" s="287"/>
      <c r="N75" s="287"/>
      <c r="O75" s="304"/>
      <c r="P75" s="288" t="s">
        <v>87</v>
      </c>
      <c r="Q75" s="289"/>
      <c r="R75" s="289"/>
      <c r="S75" s="289"/>
      <c r="T75" s="289"/>
      <c r="U75" s="289"/>
      <c r="V75" s="290"/>
      <c r="W75" s="37" t="s">
        <v>88</v>
      </c>
      <c r="X75" s="276">
        <f>IFERROR(SUMPRODUCT(X73:X73*H73:H73),"0")</f>
        <v>0</v>
      </c>
      <c r="Y75" s="276">
        <f>IFERROR(SUMPRODUCT(Y73:Y73*H73:H73),"0")</f>
        <v>0</v>
      </c>
      <c r="Z75" s="37"/>
      <c r="AA75" s="277"/>
      <c r="AB75" s="277"/>
      <c r="AC75" s="277"/>
    </row>
    <row r="76" spans="1:68" ht="16.5" hidden="1" customHeight="1" x14ac:dyDescent="0.25">
      <c r="A76" s="295" t="s">
        <v>148</v>
      </c>
      <c r="B76" s="287"/>
      <c r="C76" s="287"/>
      <c r="D76" s="287"/>
      <c r="E76" s="287"/>
      <c r="F76" s="287"/>
      <c r="G76" s="287"/>
      <c r="H76" s="287"/>
      <c r="I76" s="287"/>
      <c r="J76" s="287"/>
      <c r="K76" s="287"/>
      <c r="L76" s="287"/>
      <c r="M76" s="287"/>
      <c r="N76" s="287"/>
      <c r="O76" s="287"/>
      <c r="P76" s="287"/>
      <c r="Q76" s="287"/>
      <c r="R76" s="287"/>
      <c r="S76" s="287"/>
      <c r="T76" s="287"/>
      <c r="U76" s="287"/>
      <c r="V76" s="287"/>
      <c r="W76" s="287"/>
      <c r="X76" s="287"/>
      <c r="Y76" s="287"/>
      <c r="Z76" s="287"/>
      <c r="AA76" s="269"/>
      <c r="AB76" s="269"/>
      <c r="AC76" s="269"/>
    </row>
    <row r="77" spans="1:68" ht="14.25" hidden="1" customHeight="1" x14ac:dyDescent="0.25">
      <c r="A77" s="286" t="s">
        <v>149</v>
      </c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87"/>
      <c r="S77" s="287"/>
      <c r="T77" s="287"/>
      <c r="U77" s="287"/>
      <c r="V77" s="287"/>
      <c r="W77" s="287"/>
      <c r="X77" s="287"/>
      <c r="Y77" s="287"/>
      <c r="Z77" s="287"/>
      <c r="AA77" s="270"/>
      <c r="AB77" s="270"/>
      <c r="AC77" s="270"/>
    </row>
    <row r="78" spans="1:68" ht="27" customHeight="1" x14ac:dyDescent="0.25">
      <c r="A78" s="54" t="s">
        <v>150</v>
      </c>
      <c r="B78" s="54" t="s">
        <v>151</v>
      </c>
      <c r="C78" s="31">
        <v>4301131047</v>
      </c>
      <c r="D78" s="281">
        <v>4607111034120</v>
      </c>
      <c r="E78" s="282"/>
      <c r="F78" s="273">
        <v>0.3</v>
      </c>
      <c r="G78" s="32">
        <v>12</v>
      </c>
      <c r="H78" s="273">
        <v>3.6</v>
      </c>
      <c r="I78" s="273">
        <v>4.3036000000000003</v>
      </c>
      <c r="J78" s="32">
        <v>70</v>
      </c>
      <c r="K78" s="32" t="s">
        <v>105</v>
      </c>
      <c r="L78" s="32" t="s">
        <v>106</v>
      </c>
      <c r="M78" s="33" t="s">
        <v>67</v>
      </c>
      <c r="N78" s="33"/>
      <c r="O78" s="32">
        <v>180</v>
      </c>
      <c r="P78" s="35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78" s="279"/>
      <c r="R78" s="279"/>
      <c r="S78" s="279"/>
      <c r="T78" s="280"/>
      <c r="U78" s="34"/>
      <c r="V78" s="34"/>
      <c r="W78" s="35" t="s">
        <v>68</v>
      </c>
      <c r="X78" s="274">
        <v>14</v>
      </c>
      <c r="Y78" s="275">
        <f>IFERROR(IF(X78="","",X78),"")</f>
        <v>14</v>
      </c>
      <c r="Z78" s="36">
        <f>IFERROR(IF(X78="","",X78*0.01788),"")</f>
        <v>0.25031999999999999</v>
      </c>
      <c r="AA78" s="56"/>
      <c r="AB78" s="57"/>
      <c r="AC78" s="120" t="s">
        <v>152</v>
      </c>
      <c r="AG78" s="67"/>
      <c r="AJ78" s="71" t="s">
        <v>108</v>
      </c>
      <c r="AK78" s="71">
        <v>14</v>
      </c>
      <c r="BB78" s="121" t="s">
        <v>109</v>
      </c>
      <c r="BM78" s="67">
        <f>IFERROR(X78*I78,"0")</f>
        <v>60.250400000000006</v>
      </c>
      <c r="BN78" s="67">
        <f>IFERROR(Y78*I78,"0")</f>
        <v>60.250400000000006</v>
      </c>
      <c r="BO78" s="67">
        <f>IFERROR(X78/J78,"0")</f>
        <v>0.2</v>
      </c>
      <c r="BP78" s="67">
        <f>IFERROR(Y78/J78,"0")</f>
        <v>0.2</v>
      </c>
    </row>
    <row r="79" spans="1:68" ht="27" customHeight="1" x14ac:dyDescent="0.25">
      <c r="A79" s="54" t="s">
        <v>153</v>
      </c>
      <c r="B79" s="54" t="s">
        <v>154</v>
      </c>
      <c r="C79" s="31">
        <v>4301131046</v>
      </c>
      <c r="D79" s="281">
        <v>4607111034137</v>
      </c>
      <c r="E79" s="282"/>
      <c r="F79" s="273">
        <v>0.3</v>
      </c>
      <c r="G79" s="32">
        <v>12</v>
      </c>
      <c r="H79" s="273">
        <v>3.6</v>
      </c>
      <c r="I79" s="273">
        <v>4.3036000000000003</v>
      </c>
      <c r="J79" s="32">
        <v>70</v>
      </c>
      <c r="K79" s="32" t="s">
        <v>105</v>
      </c>
      <c r="L79" s="32" t="s">
        <v>106</v>
      </c>
      <c r="M79" s="33" t="s">
        <v>67</v>
      </c>
      <c r="N79" s="33"/>
      <c r="O79" s="32">
        <v>180</v>
      </c>
      <c r="P79" s="2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79" s="279"/>
      <c r="R79" s="279"/>
      <c r="S79" s="279"/>
      <c r="T79" s="280"/>
      <c r="U79" s="34"/>
      <c r="V79" s="34"/>
      <c r="W79" s="35" t="s">
        <v>68</v>
      </c>
      <c r="X79" s="274">
        <v>98</v>
      </c>
      <c r="Y79" s="275">
        <f>IFERROR(IF(X79="","",X79),"")</f>
        <v>98</v>
      </c>
      <c r="Z79" s="36">
        <f>IFERROR(IF(X79="","",X79*0.01788),"")</f>
        <v>1.75224</v>
      </c>
      <c r="AA79" s="56"/>
      <c r="AB79" s="57"/>
      <c r="AC79" s="122" t="s">
        <v>155</v>
      </c>
      <c r="AG79" s="67"/>
      <c r="AJ79" s="71" t="s">
        <v>108</v>
      </c>
      <c r="AK79" s="71">
        <v>14</v>
      </c>
      <c r="BB79" s="123" t="s">
        <v>109</v>
      </c>
      <c r="BM79" s="67">
        <f>IFERROR(X79*I79,"0")</f>
        <v>421.75280000000004</v>
      </c>
      <c r="BN79" s="67">
        <f>IFERROR(Y79*I79,"0")</f>
        <v>421.75280000000004</v>
      </c>
      <c r="BO79" s="67">
        <f>IFERROR(X79/J79,"0")</f>
        <v>1.4</v>
      </c>
      <c r="BP79" s="67">
        <f>IFERROR(Y79/J79,"0")</f>
        <v>1.4</v>
      </c>
    </row>
    <row r="80" spans="1:68" x14ac:dyDescent="0.2">
      <c r="A80" s="303"/>
      <c r="B80" s="287"/>
      <c r="C80" s="287"/>
      <c r="D80" s="287"/>
      <c r="E80" s="287"/>
      <c r="F80" s="287"/>
      <c r="G80" s="287"/>
      <c r="H80" s="287"/>
      <c r="I80" s="287"/>
      <c r="J80" s="287"/>
      <c r="K80" s="287"/>
      <c r="L80" s="287"/>
      <c r="M80" s="287"/>
      <c r="N80" s="287"/>
      <c r="O80" s="304"/>
      <c r="P80" s="288" t="s">
        <v>87</v>
      </c>
      <c r="Q80" s="289"/>
      <c r="R80" s="289"/>
      <c r="S80" s="289"/>
      <c r="T80" s="289"/>
      <c r="U80" s="289"/>
      <c r="V80" s="290"/>
      <c r="W80" s="37" t="s">
        <v>68</v>
      </c>
      <c r="X80" s="276">
        <f>IFERROR(SUM(X78:X79),"0")</f>
        <v>112</v>
      </c>
      <c r="Y80" s="276">
        <f>IFERROR(SUM(Y78:Y79),"0")</f>
        <v>112</v>
      </c>
      <c r="Z80" s="276">
        <f>IFERROR(IF(Z78="",0,Z78),"0")+IFERROR(IF(Z79="",0,Z79),"0")</f>
        <v>2.0025599999999999</v>
      </c>
      <c r="AA80" s="277"/>
      <c r="AB80" s="277"/>
      <c r="AC80" s="277"/>
    </row>
    <row r="81" spans="1:68" x14ac:dyDescent="0.2">
      <c r="A81" s="287"/>
      <c r="B81" s="287"/>
      <c r="C81" s="287"/>
      <c r="D81" s="287"/>
      <c r="E81" s="287"/>
      <c r="F81" s="287"/>
      <c r="G81" s="287"/>
      <c r="H81" s="287"/>
      <c r="I81" s="287"/>
      <c r="J81" s="287"/>
      <c r="K81" s="287"/>
      <c r="L81" s="287"/>
      <c r="M81" s="287"/>
      <c r="N81" s="287"/>
      <c r="O81" s="304"/>
      <c r="P81" s="288" t="s">
        <v>87</v>
      </c>
      <c r="Q81" s="289"/>
      <c r="R81" s="289"/>
      <c r="S81" s="289"/>
      <c r="T81" s="289"/>
      <c r="U81" s="289"/>
      <c r="V81" s="290"/>
      <c r="W81" s="37" t="s">
        <v>88</v>
      </c>
      <c r="X81" s="276">
        <f>IFERROR(SUMPRODUCT(X78:X79*H78:H79),"0")</f>
        <v>403.2</v>
      </c>
      <c r="Y81" s="276">
        <f>IFERROR(SUMPRODUCT(Y78:Y79*H78:H79),"0")</f>
        <v>403.2</v>
      </c>
      <c r="Z81" s="37"/>
      <c r="AA81" s="277"/>
      <c r="AB81" s="277"/>
      <c r="AC81" s="277"/>
    </row>
    <row r="82" spans="1:68" ht="16.5" hidden="1" customHeight="1" x14ac:dyDescent="0.25">
      <c r="A82" s="295" t="s">
        <v>156</v>
      </c>
      <c r="B82" s="287"/>
      <c r="C82" s="287"/>
      <c r="D82" s="287"/>
      <c r="E82" s="287"/>
      <c r="F82" s="287"/>
      <c r="G82" s="287"/>
      <c r="H82" s="287"/>
      <c r="I82" s="287"/>
      <c r="J82" s="287"/>
      <c r="K82" s="287"/>
      <c r="L82" s="287"/>
      <c r="M82" s="287"/>
      <c r="N82" s="287"/>
      <c r="O82" s="287"/>
      <c r="P82" s="287"/>
      <c r="Q82" s="287"/>
      <c r="R82" s="287"/>
      <c r="S82" s="287"/>
      <c r="T82" s="287"/>
      <c r="U82" s="287"/>
      <c r="V82" s="287"/>
      <c r="W82" s="287"/>
      <c r="X82" s="287"/>
      <c r="Y82" s="287"/>
      <c r="Z82" s="287"/>
      <c r="AA82" s="269"/>
      <c r="AB82" s="269"/>
      <c r="AC82" s="269"/>
    </row>
    <row r="83" spans="1:68" ht="14.25" hidden="1" customHeight="1" x14ac:dyDescent="0.25">
      <c r="A83" s="286" t="s">
        <v>144</v>
      </c>
      <c r="B83" s="287"/>
      <c r="C83" s="287"/>
      <c r="D83" s="287"/>
      <c r="E83" s="287"/>
      <c r="F83" s="287"/>
      <c r="G83" s="287"/>
      <c r="H83" s="287"/>
      <c r="I83" s="287"/>
      <c r="J83" s="287"/>
      <c r="K83" s="287"/>
      <c r="L83" s="287"/>
      <c r="M83" s="287"/>
      <c r="N83" s="287"/>
      <c r="O83" s="287"/>
      <c r="P83" s="287"/>
      <c r="Q83" s="287"/>
      <c r="R83" s="287"/>
      <c r="S83" s="287"/>
      <c r="T83" s="287"/>
      <c r="U83" s="287"/>
      <c r="V83" s="287"/>
      <c r="W83" s="287"/>
      <c r="X83" s="287"/>
      <c r="Y83" s="287"/>
      <c r="Z83" s="287"/>
      <c r="AA83" s="270"/>
      <c r="AB83" s="270"/>
      <c r="AC83" s="270"/>
    </row>
    <row r="84" spans="1:68" ht="27" hidden="1" customHeight="1" x14ac:dyDescent="0.25">
      <c r="A84" s="54" t="s">
        <v>157</v>
      </c>
      <c r="B84" s="54" t="s">
        <v>158</v>
      </c>
      <c r="C84" s="31">
        <v>4301135763</v>
      </c>
      <c r="D84" s="281">
        <v>4620207491027</v>
      </c>
      <c r="E84" s="282"/>
      <c r="F84" s="273">
        <v>0.24</v>
      </c>
      <c r="G84" s="32">
        <v>12</v>
      </c>
      <c r="H84" s="273">
        <v>2.88</v>
      </c>
      <c r="I84" s="273">
        <v>3.5836000000000001</v>
      </c>
      <c r="J84" s="32">
        <v>70</v>
      </c>
      <c r="K84" s="32" t="s">
        <v>105</v>
      </c>
      <c r="L84" s="32" t="s">
        <v>106</v>
      </c>
      <c r="M84" s="33" t="s">
        <v>67</v>
      </c>
      <c r="N84" s="33"/>
      <c r="O84" s="32">
        <v>180</v>
      </c>
      <c r="P84" s="410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4" s="279"/>
      <c r="R84" s="279"/>
      <c r="S84" s="279"/>
      <c r="T84" s="280"/>
      <c r="U84" s="34"/>
      <c r="V84" s="34"/>
      <c r="W84" s="35" t="s">
        <v>68</v>
      </c>
      <c r="X84" s="274">
        <v>0</v>
      </c>
      <c r="Y84" s="275">
        <f t="shared" ref="Y84:Y89" si="6">IFERROR(IF(X84="","",X84),"")</f>
        <v>0</v>
      </c>
      <c r="Z84" s="36">
        <f t="shared" ref="Z84:Z89" si="7">IFERROR(IF(X84="","",X84*0.01788),"")</f>
        <v>0</v>
      </c>
      <c r="AA84" s="56"/>
      <c r="AB84" s="57"/>
      <c r="AC84" s="124" t="s">
        <v>159</v>
      </c>
      <c r="AG84" s="67"/>
      <c r="AJ84" s="71" t="s">
        <v>108</v>
      </c>
      <c r="AK84" s="71">
        <v>14</v>
      </c>
      <c r="BB84" s="125" t="s">
        <v>109</v>
      </c>
      <c r="BM84" s="67">
        <f t="shared" ref="BM84:BM89" si="8">IFERROR(X84*I84,"0")</f>
        <v>0</v>
      </c>
      <c r="BN84" s="67">
        <f t="shared" ref="BN84:BN89" si="9">IFERROR(Y84*I84,"0")</f>
        <v>0</v>
      </c>
      <c r="BO84" s="67">
        <f t="shared" ref="BO84:BO89" si="10">IFERROR(X84/J84,"0")</f>
        <v>0</v>
      </c>
      <c r="BP84" s="67">
        <f t="shared" ref="BP84:BP89" si="11">IFERROR(Y84/J84,"0")</f>
        <v>0</v>
      </c>
    </row>
    <row r="85" spans="1:68" ht="27" customHeight="1" x14ac:dyDescent="0.25">
      <c r="A85" s="54" t="s">
        <v>160</v>
      </c>
      <c r="B85" s="54" t="s">
        <v>161</v>
      </c>
      <c r="C85" s="31">
        <v>4301135914</v>
      </c>
      <c r="D85" s="281">
        <v>4620207491621</v>
      </c>
      <c r="E85" s="282"/>
      <c r="F85" s="273">
        <v>0.24</v>
      </c>
      <c r="G85" s="32">
        <v>12</v>
      </c>
      <c r="H85" s="273">
        <v>2.88</v>
      </c>
      <c r="I85" s="273">
        <v>3.5836000000000001</v>
      </c>
      <c r="J85" s="32">
        <v>70</v>
      </c>
      <c r="K85" s="32" t="s">
        <v>105</v>
      </c>
      <c r="L85" s="32" t="s">
        <v>66</v>
      </c>
      <c r="M85" s="33" t="s">
        <v>67</v>
      </c>
      <c r="N85" s="33"/>
      <c r="O85" s="32">
        <v>180</v>
      </c>
      <c r="P85" s="45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5" s="279"/>
      <c r="R85" s="279"/>
      <c r="S85" s="279"/>
      <c r="T85" s="280"/>
      <c r="U85" s="34"/>
      <c r="V85" s="34"/>
      <c r="W85" s="35" t="s">
        <v>68</v>
      </c>
      <c r="X85" s="274">
        <v>42</v>
      </c>
      <c r="Y85" s="275">
        <f t="shared" si="6"/>
        <v>42</v>
      </c>
      <c r="Z85" s="36">
        <f t="shared" si="7"/>
        <v>0.75095999999999996</v>
      </c>
      <c r="AA85" s="56"/>
      <c r="AB85" s="57"/>
      <c r="AC85" s="126" t="s">
        <v>162</v>
      </c>
      <c r="AG85" s="67"/>
      <c r="AJ85" s="71" t="s">
        <v>70</v>
      </c>
      <c r="AK85" s="71">
        <v>1</v>
      </c>
      <c r="BB85" s="127" t="s">
        <v>109</v>
      </c>
      <c r="BM85" s="67">
        <f t="shared" si="8"/>
        <v>150.5112</v>
      </c>
      <c r="BN85" s="67">
        <f t="shared" si="9"/>
        <v>150.5112</v>
      </c>
      <c r="BO85" s="67">
        <f t="shared" si="10"/>
        <v>0.6</v>
      </c>
      <c r="BP85" s="67">
        <f t="shared" si="11"/>
        <v>0.6</v>
      </c>
    </row>
    <row r="86" spans="1:68" ht="27" hidden="1" customHeight="1" x14ac:dyDescent="0.25">
      <c r="A86" s="54" t="s">
        <v>163</v>
      </c>
      <c r="B86" s="54" t="s">
        <v>164</v>
      </c>
      <c r="C86" s="31">
        <v>4301135990</v>
      </c>
      <c r="D86" s="281">
        <v>4620207491881</v>
      </c>
      <c r="E86" s="282"/>
      <c r="F86" s="273">
        <v>0.24</v>
      </c>
      <c r="G86" s="32">
        <v>12</v>
      </c>
      <c r="H86" s="273">
        <v>2.88</v>
      </c>
      <c r="I86" s="273">
        <v>3.5836000000000001</v>
      </c>
      <c r="J86" s="32">
        <v>70</v>
      </c>
      <c r="K86" s="32" t="s">
        <v>105</v>
      </c>
      <c r="L86" s="32" t="s">
        <v>66</v>
      </c>
      <c r="M86" s="33" t="s">
        <v>67</v>
      </c>
      <c r="N86" s="33"/>
      <c r="O86" s="32">
        <v>180</v>
      </c>
      <c r="P86" s="297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86" s="279"/>
      <c r="R86" s="279"/>
      <c r="S86" s="279"/>
      <c r="T86" s="280"/>
      <c r="U86" s="34"/>
      <c r="V86" s="34"/>
      <c r="W86" s="35" t="s">
        <v>68</v>
      </c>
      <c r="X86" s="274">
        <v>0</v>
      </c>
      <c r="Y86" s="275">
        <f t="shared" si="6"/>
        <v>0</v>
      </c>
      <c r="Z86" s="36">
        <f t="shared" si="7"/>
        <v>0</v>
      </c>
      <c r="AA86" s="56"/>
      <c r="AB86" s="57"/>
      <c r="AC86" s="128" t="s">
        <v>162</v>
      </c>
      <c r="AG86" s="67"/>
      <c r="AJ86" s="71" t="s">
        <v>70</v>
      </c>
      <c r="AK86" s="71">
        <v>1</v>
      </c>
      <c r="BB86" s="129" t="s">
        <v>109</v>
      </c>
      <c r="BM86" s="67">
        <f t="shared" si="8"/>
        <v>0</v>
      </c>
      <c r="BN86" s="67">
        <f t="shared" si="9"/>
        <v>0</v>
      </c>
      <c r="BO86" s="67">
        <f t="shared" si="10"/>
        <v>0</v>
      </c>
      <c r="BP86" s="67">
        <f t="shared" si="11"/>
        <v>0</v>
      </c>
    </row>
    <row r="87" spans="1:68" ht="27" hidden="1" customHeight="1" x14ac:dyDescent="0.25">
      <c r="A87" s="54" t="s">
        <v>165</v>
      </c>
      <c r="B87" s="54" t="s">
        <v>166</v>
      </c>
      <c r="C87" s="31">
        <v>4301135920</v>
      </c>
      <c r="D87" s="281">
        <v>4620207491577</v>
      </c>
      <c r="E87" s="282"/>
      <c r="F87" s="273">
        <v>0.24</v>
      </c>
      <c r="G87" s="32">
        <v>12</v>
      </c>
      <c r="H87" s="273">
        <v>2.88</v>
      </c>
      <c r="I87" s="273">
        <v>3.5836000000000001</v>
      </c>
      <c r="J87" s="32">
        <v>70</v>
      </c>
      <c r="K87" s="32" t="s">
        <v>105</v>
      </c>
      <c r="L87" s="32" t="s">
        <v>66</v>
      </c>
      <c r="M87" s="33" t="s">
        <v>67</v>
      </c>
      <c r="N87" s="33"/>
      <c r="O87" s="32">
        <v>180</v>
      </c>
      <c r="P87" s="38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7" s="279"/>
      <c r="R87" s="279"/>
      <c r="S87" s="279"/>
      <c r="T87" s="280"/>
      <c r="U87" s="34"/>
      <c r="V87" s="34"/>
      <c r="W87" s="35" t="s">
        <v>68</v>
      </c>
      <c r="X87" s="274">
        <v>0</v>
      </c>
      <c r="Y87" s="275">
        <f t="shared" si="6"/>
        <v>0</v>
      </c>
      <c r="Z87" s="36">
        <f t="shared" si="7"/>
        <v>0</v>
      </c>
      <c r="AA87" s="56"/>
      <c r="AB87" s="57"/>
      <c r="AC87" s="130" t="s">
        <v>162</v>
      </c>
      <c r="AG87" s="67"/>
      <c r="AJ87" s="71" t="s">
        <v>70</v>
      </c>
      <c r="AK87" s="71">
        <v>1</v>
      </c>
      <c r="BB87" s="131" t="s">
        <v>109</v>
      </c>
      <c r="BM87" s="67">
        <f t="shared" si="8"/>
        <v>0</v>
      </c>
      <c r="BN87" s="67">
        <f t="shared" si="9"/>
        <v>0</v>
      </c>
      <c r="BO87" s="67">
        <f t="shared" si="10"/>
        <v>0</v>
      </c>
      <c r="BP87" s="67">
        <f t="shared" si="11"/>
        <v>0</v>
      </c>
    </row>
    <row r="88" spans="1:68" ht="27" customHeight="1" x14ac:dyDescent="0.25">
      <c r="A88" s="54" t="s">
        <v>167</v>
      </c>
      <c r="B88" s="54" t="s">
        <v>168</v>
      </c>
      <c r="C88" s="31">
        <v>4301135984</v>
      </c>
      <c r="D88" s="281">
        <v>4620207491874</v>
      </c>
      <c r="E88" s="282"/>
      <c r="F88" s="273">
        <v>0.48</v>
      </c>
      <c r="G88" s="32">
        <v>8</v>
      </c>
      <c r="H88" s="273">
        <v>3.84</v>
      </c>
      <c r="I88" s="273">
        <v>4.4488000000000003</v>
      </c>
      <c r="J88" s="32">
        <v>70</v>
      </c>
      <c r="K88" s="32" t="s">
        <v>105</v>
      </c>
      <c r="L88" s="32" t="s">
        <v>66</v>
      </c>
      <c r="M88" s="33" t="s">
        <v>67</v>
      </c>
      <c r="N88" s="33"/>
      <c r="O88" s="32">
        <v>180</v>
      </c>
      <c r="P88" s="38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88" s="279"/>
      <c r="R88" s="279"/>
      <c r="S88" s="279"/>
      <c r="T88" s="280"/>
      <c r="U88" s="34"/>
      <c r="V88" s="34"/>
      <c r="W88" s="35" t="s">
        <v>68</v>
      </c>
      <c r="X88" s="274">
        <v>98</v>
      </c>
      <c r="Y88" s="275">
        <f t="shared" si="6"/>
        <v>98</v>
      </c>
      <c r="Z88" s="36">
        <f t="shared" si="7"/>
        <v>1.75224</v>
      </c>
      <c r="AA88" s="56"/>
      <c r="AB88" s="57"/>
      <c r="AC88" s="132" t="s">
        <v>162</v>
      </c>
      <c r="AG88" s="67"/>
      <c r="AJ88" s="71" t="s">
        <v>70</v>
      </c>
      <c r="AK88" s="71">
        <v>1</v>
      </c>
      <c r="BB88" s="133" t="s">
        <v>109</v>
      </c>
      <c r="BM88" s="67">
        <f t="shared" si="8"/>
        <v>435.98240000000004</v>
      </c>
      <c r="BN88" s="67">
        <f t="shared" si="9"/>
        <v>435.98240000000004</v>
      </c>
      <c r="BO88" s="67">
        <f t="shared" si="10"/>
        <v>1.4</v>
      </c>
      <c r="BP88" s="67">
        <f t="shared" si="11"/>
        <v>1.4</v>
      </c>
    </row>
    <row r="89" spans="1:68" ht="27" hidden="1" customHeight="1" x14ac:dyDescent="0.25">
      <c r="A89" s="54" t="s">
        <v>169</v>
      </c>
      <c r="B89" s="54" t="s">
        <v>170</v>
      </c>
      <c r="C89" s="31">
        <v>4301137008</v>
      </c>
      <c r="D89" s="281">
        <v>4620207491782</v>
      </c>
      <c r="E89" s="282"/>
      <c r="F89" s="273">
        <v>0.3</v>
      </c>
      <c r="G89" s="32">
        <v>14</v>
      </c>
      <c r="H89" s="273">
        <v>4.2</v>
      </c>
      <c r="I89" s="273">
        <v>4.5292000000000003</v>
      </c>
      <c r="J89" s="32">
        <v>70</v>
      </c>
      <c r="K89" s="32" t="s">
        <v>105</v>
      </c>
      <c r="L89" s="32" t="s">
        <v>66</v>
      </c>
      <c r="M89" s="33" t="s">
        <v>67</v>
      </c>
      <c r="N89" s="33"/>
      <c r="O89" s="32">
        <v>180</v>
      </c>
      <c r="P89" s="387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89" s="279"/>
      <c r="R89" s="279"/>
      <c r="S89" s="279"/>
      <c r="T89" s="280"/>
      <c r="U89" s="34"/>
      <c r="V89" s="34"/>
      <c r="W89" s="35" t="s">
        <v>68</v>
      </c>
      <c r="X89" s="274">
        <v>0</v>
      </c>
      <c r="Y89" s="275">
        <f t="shared" si="6"/>
        <v>0</v>
      </c>
      <c r="Z89" s="36">
        <f t="shared" si="7"/>
        <v>0</v>
      </c>
      <c r="AA89" s="56"/>
      <c r="AB89" s="57"/>
      <c r="AC89" s="134" t="s">
        <v>162</v>
      </c>
      <c r="AG89" s="67"/>
      <c r="AJ89" s="71" t="s">
        <v>70</v>
      </c>
      <c r="AK89" s="71">
        <v>1</v>
      </c>
      <c r="BB89" s="135" t="s">
        <v>109</v>
      </c>
      <c r="BM89" s="67">
        <f t="shared" si="8"/>
        <v>0</v>
      </c>
      <c r="BN89" s="67">
        <f t="shared" si="9"/>
        <v>0</v>
      </c>
      <c r="BO89" s="67">
        <f t="shared" si="10"/>
        <v>0</v>
      </c>
      <c r="BP89" s="67">
        <f t="shared" si="11"/>
        <v>0</v>
      </c>
    </row>
    <row r="90" spans="1:68" x14ac:dyDescent="0.2">
      <c r="A90" s="303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304"/>
      <c r="P90" s="288" t="s">
        <v>87</v>
      </c>
      <c r="Q90" s="289"/>
      <c r="R90" s="289"/>
      <c r="S90" s="289"/>
      <c r="T90" s="289"/>
      <c r="U90" s="289"/>
      <c r="V90" s="290"/>
      <c r="W90" s="37" t="s">
        <v>68</v>
      </c>
      <c r="X90" s="276">
        <f>IFERROR(SUM(X84:X89),"0")</f>
        <v>140</v>
      </c>
      <c r="Y90" s="276">
        <f>IFERROR(SUM(Y84:Y89),"0")</f>
        <v>140</v>
      </c>
      <c r="Z90" s="276">
        <f>IFERROR(IF(Z84="",0,Z84),"0")+IFERROR(IF(Z85="",0,Z85),"0")+IFERROR(IF(Z86="",0,Z86),"0")+IFERROR(IF(Z87="",0,Z87),"0")+IFERROR(IF(Z88="",0,Z88),"0")+IFERROR(IF(Z89="",0,Z89),"0")</f>
        <v>2.5032000000000001</v>
      </c>
      <c r="AA90" s="277"/>
      <c r="AB90" s="277"/>
      <c r="AC90" s="277"/>
    </row>
    <row r="91" spans="1:68" x14ac:dyDescent="0.2">
      <c r="A91" s="287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304"/>
      <c r="P91" s="288" t="s">
        <v>87</v>
      </c>
      <c r="Q91" s="289"/>
      <c r="R91" s="289"/>
      <c r="S91" s="289"/>
      <c r="T91" s="289"/>
      <c r="U91" s="289"/>
      <c r="V91" s="290"/>
      <c r="W91" s="37" t="s">
        <v>88</v>
      </c>
      <c r="X91" s="276">
        <f>IFERROR(SUMPRODUCT(X84:X89*H84:H89),"0")</f>
        <v>497.28</v>
      </c>
      <c r="Y91" s="276">
        <f>IFERROR(SUMPRODUCT(Y84:Y89*H84:H89),"0")</f>
        <v>497.28</v>
      </c>
      <c r="Z91" s="37"/>
      <c r="AA91" s="277"/>
      <c r="AB91" s="277"/>
      <c r="AC91" s="277"/>
    </row>
    <row r="92" spans="1:68" ht="16.5" hidden="1" customHeight="1" x14ac:dyDescent="0.25">
      <c r="A92" s="295" t="s">
        <v>171</v>
      </c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87"/>
      <c r="S92" s="287"/>
      <c r="T92" s="287"/>
      <c r="U92" s="287"/>
      <c r="V92" s="287"/>
      <c r="W92" s="287"/>
      <c r="X92" s="287"/>
      <c r="Y92" s="287"/>
      <c r="Z92" s="287"/>
      <c r="AA92" s="269"/>
      <c r="AB92" s="269"/>
      <c r="AC92" s="269"/>
    </row>
    <row r="93" spans="1:68" ht="14.25" hidden="1" customHeight="1" x14ac:dyDescent="0.25">
      <c r="A93" s="286" t="s">
        <v>172</v>
      </c>
      <c r="B93" s="287"/>
      <c r="C93" s="287"/>
      <c r="D93" s="287"/>
      <c r="E93" s="287"/>
      <c r="F93" s="287"/>
      <c r="G93" s="287"/>
      <c r="H93" s="287"/>
      <c r="I93" s="287"/>
      <c r="J93" s="287"/>
      <c r="K93" s="287"/>
      <c r="L93" s="287"/>
      <c r="M93" s="287"/>
      <c r="N93" s="287"/>
      <c r="O93" s="287"/>
      <c r="P93" s="287"/>
      <c r="Q93" s="287"/>
      <c r="R93" s="287"/>
      <c r="S93" s="287"/>
      <c r="T93" s="287"/>
      <c r="U93" s="287"/>
      <c r="V93" s="287"/>
      <c r="W93" s="287"/>
      <c r="X93" s="287"/>
      <c r="Y93" s="287"/>
      <c r="Z93" s="287"/>
      <c r="AA93" s="270"/>
      <c r="AB93" s="270"/>
      <c r="AC93" s="270"/>
    </row>
    <row r="94" spans="1:68" ht="27" hidden="1" customHeight="1" x14ac:dyDescent="0.25">
      <c r="A94" s="54" t="s">
        <v>173</v>
      </c>
      <c r="B94" s="54" t="s">
        <v>174</v>
      </c>
      <c r="C94" s="31">
        <v>4301136101</v>
      </c>
      <c r="D94" s="281">
        <v>4620207491652</v>
      </c>
      <c r="E94" s="282"/>
      <c r="F94" s="273">
        <v>0.09</v>
      </c>
      <c r="G94" s="32">
        <v>24</v>
      </c>
      <c r="H94" s="273">
        <v>2.16</v>
      </c>
      <c r="I94" s="273">
        <v>2.4912000000000001</v>
      </c>
      <c r="J94" s="32">
        <v>126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2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94" s="279"/>
      <c r="R94" s="279"/>
      <c r="S94" s="279"/>
      <c r="T94" s="280"/>
      <c r="U94" s="34"/>
      <c r="V94" s="34"/>
      <c r="W94" s="35" t="s">
        <v>68</v>
      </c>
      <c r="X94" s="274">
        <v>0</v>
      </c>
      <c r="Y94" s="275">
        <f>IFERROR(IF(X94="","",X94),"")</f>
        <v>0</v>
      </c>
      <c r="Z94" s="36">
        <f>IFERROR(IF(X94="","",X94*0.00936),"")</f>
        <v>0</v>
      </c>
      <c r="AA94" s="56"/>
      <c r="AB94" s="57"/>
      <c r="AC94" s="136" t="s">
        <v>175</v>
      </c>
      <c r="AG94" s="67"/>
      <c r="AJ94" s="71" t="s">
        <v>70</v>
      </c>
      <c r="AK94" s="71">
        <v>1</v>
      </c>
      <c r="BB94" s="137" t="s">
        <v>109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4301136103</v>
      </c>
      <c r="D95" s="281">
        <v>4620207491645</v>
      </c>
      <c r="E95" s="282"/>
      <c r="F95" s="273">
        <v>0.36</v>
      </c>
      <c r="G95" s="32">
        <v>10</v>
      </c>
      <c r="H95" s="273">
        <v>3.6</v>
      </c>
      <c r="I95" s="273">
        <v>4.2439999999999998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3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95" s="279"/>
      <c r="R95" s="279"/>
      <c r="S95" s="279"/>
      <c r="T95" s="280"/>
      <c r="U95" s="34"/>
      <c r="V95" s="34"/>
      <c r="W95" s="35" t="s">
        <v>68</v>
      </c>
      <c r="X95" s="274">
        <v>0</v>
      </c>
      <c r="Y95" s="275">
        <f>IFERROR(IF(X95="","",X95),"")</f>
        <v>0</v>
      </c>
      <c r="Z95" s="36">
        <f>IFERROR(IF(X95="","",X95*0.01788),"")</f>
        <v>0</v>
      </c>
      <c r="AA95" s="56"/>
      <c r="AB95" s="57"/>
      <c r="AC95" s="138" t="s">
        <v>175</v>
      </c>
      <c r="AG95" s="67"/>
      <c r="AJ95" s="71" t="s">
        <v>70</v>
      </c>
      <c r="AK95" s="71">
        <v>1</v>
      </c>
      <c r="BB95" s="139" t="s">
        <v>109</v>
      </c>
      <c r="BM95" s="67">
        <f>IFERROR(X95*I95,"0")</f>
        <v>0</v>
      </c>
      <c r="BN95" s="67">
        <f>IFERROR(Y95*I95,"0")</f>
        <v>0</v>
      </c>
      <c r="BO95" s="67">
        <f>IFERROR(X95/J95,"0")</f>
        <v>0</v>
      </c>
      <c r="BP95" s="67">
        <f>IFERROR(Y95/J95,"0")</f>
        <v>0</v>
      </c>
    </row>
    <row r="96" spans="1:68" hidden="1" x14ac:dyDescent="0.2">
      <c r="A96" s="303"/>
      <c r="B96" s="287"/>
      <c r="C96" s="287"/>
      <c r="D96" s="287"/>
      <c r="E96" s="287"/>
      <c r="F96" s="287"/>
      <c r="G96" s="287"/>
      <c r="H96" s="287"/>
      <c r="I96" s="287"/>
      <c r="J96" s="287"/>
      <c r="K96" s="287"/>
      <c r="L96" s="287"/>
      <c r="M96" s="287"/>
      <c r="N96" s="287"/>
      <c r="O96" s="304"/>
      <c r="P96" s="288" t="s">
        <v>87</v>
      </c>
      <c r="Q96" s="289"/>
      <c r="R96" s="289"/>
      <c r="S96" s="289"/>
      <c r="T96" s="289"/>
      <c r="U96" s="289"/>
      <c r="V96" s="290"/>
      <c r="W96" s="37" t="s">
        <v>68</v>
      </c>
      <c r="X96" s="276">
        <f>IFERROR(SUM(X94:X95),"0")</f>
        <v>0</v>
      </c>
      <c r="Y96" s="276">
        <f>IFERROR(SUM(Y94:Y95),"0")</f>
        <v>0</v>
      </c>
      <c r="Z96" s="276">
        <f>IFERROR(IF(Z94="",0,Z94),"0")+IFERROR(IF(Z95="",0,Z95),"0")</f>
        <v>0</v>
      </c>
      <c r="AA96" s="277"/>
      <c r="AB96" s="277"/>
      <c r="AC96" s="277"/>
    </row>
    <row r="97" spans="1:68" hidden="1" x14ac:dyDescent="0.2">
      <c r="A97" s="287"/>
      <c r="B97" s="287"/>
      <c r="C97" s="287"/>
      <c r="D97" s="287"/>
      <c r="E97" s="287"/>
      <c r="F97" s="287"/>
      <c r="G97" s="287"/>
      <c r="H97" s="287"/>
      <c r="I97" s="287"/>
      <c r="J97" s="287"/>
      <c r="K97" s="287"/>
      <c r="L97" s="287"/>
      <c r="M97" s="287"/>
      <c r="N97" s="287"/>
      <c r="O97" s="304"/>
      <c r="P97" s="288" t="s">
        <v>87</v>
      </c>
      <c r="Q97" s="289"/>
      <c r="R97" s="289"/>
      <c r="S97" s="289"/>
      <c r="T97" s="289"/>
      <c r="U97" s="289"/>
      <c r="V97" s="290"/>
      <c r="W97" s="37" t="s">
        <v>88</v>
      </c>
      <c r="X97" s="276">
        <f>IFERROR(SUMPRODUCT(X94:X95*H94:H95),"0")</f>
        <v>0</v>
      </c>
      <c r="Y97" s="276">
        <f>IFERROR(SUMPRODUCT(Y94:Y95*H94:H95),"0")</f>
        <v>0</v>
      </c>
      <c r="Z97" s="37"/>
      <c r="AA97" s="277"/>
      <c r="AB97" s="277"/>
      <c r="AC97" s="277"/>
    </row>
    <row r="98" spans="1:68" ht="16.5" hidden="1" customHeight="1" x14ac:dyDescent="0.25">
      <c r="A98" s="295" t="s">
        <v>178</v>
      </c>
      <c r="B98" s="287"/>
      <c r="C98" s="287"/>
      <c r="D98" s="287"/>
      <c r="E98" s="287"/>
      <c r="F98" s="287"/>
      <c r="G98" s="287"/>
      <c r="H98" s="287"/>
      <c r="I98" s="287"/>
      <c r="J98" s="287"/>
      <c r="K98" s="287"/>
      <c r="L98" s="287"/>
      <c r="M98" s="287"/>
      <c r="N98" s="287"/>
      <c r="O98" s="287"/>
      <c r="P98" s="287"/>
      <c r="Q98" s="287"/>
      <c r="R98" s="287"/>
      <c r="S98" s="287"/>
      <c r="T98" s="287"/>
      <c r="U98" s="287"/>
      <c r="V98" s="287"/>
      <c r="W98" s="287"/>
      <c r="X98" s="287"/>
      <c r="Y98" s="287"/>
      <c r="Z98" s="287"/>
      <c r="AA98" s="269"/>
      <c r="AB98" s="269"/>
      <c r="AC98" s="269"/>
    </row>
    <row r="99" spans="1:68" ht="14.25" hidden="1" customHeight="1" x14ac:dyDescent="0.25">
      <c r="A99" s="286" t="s">
        <v>62</v>
      </c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87"/>
      <c r="S99" s="287"/>
      <c r="T99" s="287"/>
      <c r="U99" s="287"/>
      <c r="V99" s="287"/>
      <c r="W99" s="287"/>
      <c r="X99" s="287"/>
      <c r="Y99" s="287"/>
      <c r="Z99" s="287"/>
      <c r="AA99" s="270"/>
      <c r="AB99" s="270"/>
      <c r="AC99" s="270"/>
    </row>
    <row r="100" spans="1:68" ht="27" hidden="1" customHeight="1" x14ac:dyDescent="0.25">
      <c r="A100" s="54" t="s">
        <v>179</v>
      </c>
      <c r="B100" s="54" t="s">
        <v>180</v>
      </c>
      <c r="C100" s="31">
        <v>4301071074</v>
      </c>
      <c r="D100" s="281">
        <v>4620207491157</v>
      </c>
      <c r="E100" s="282"/>
      <c r="F100" s="273">
        <v>0.7</v>
      </c>
      <c r="G100" s="32">
        <v>10</v>
      </c>
      <c r="H100" s="273">
        <v>7</v>
      </c>
      <c r="I100" s="273">
        <v>7.28</v>
      </c>
      <c r="J100" s="32">
        <v>84</v>
      </c>
      <c r="K100" s="32" t="s">
        <v>65</v>
      </c>
      <c r="L100" s="32" t="s">
        <v>106</v>
      </c>
      <c r="M100" s="33" t="s">
        <v>67</v>
      </c>
      <c r="N100" s="33"/>
      <c r="O100" s="32">
        <v>180</v>
      </c>
      <c r="P100" s="32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0" s="279"/>
      <c r="R100" s="279"/>
      <c r="S100" s="279"/>
      <c r="T100" s="280"/>
      <c r="U100" s="34"/>
      <c r="V100" s="34"/>
      <c r="W100" s="35" t="s">
        <v>68</v>
      </c>
      <c r="X100" s="274">
        <v>0</v>
      </c>
      <c r="Y100" s="275">
        <f t="shared" ref="Y100:Y106" si="12">IFERROR(IF(X100="","",X100),"")</f>
        <v>0</v>
      </c>
      <c r="Z100" s="36">
        <f t="shared" ref="Z100:Z106" si="13">IFERROR(IF(X100="","",X100*0.0155),"")</f>
        <v>0</v>
      </c>
      <c r="AA100" s="56"/>
      <c r="AB100" s="57"/>
      <c r="AC100" s="140" t="s">
        <v>181</v>
      </c>
      <c r="AG100" s="67"/>
      <c r="AJ100" s="71" t="s">
        <v>108</v>
      </c>
      <c r="AK100" s="71">
        <v>12</v>
      </c>
      <c r="BB100" s="141" t="s">
        <v>1</v>
      </c>
      <c r="BM100" s="67">
        <f t="shared" ref="BM100:BM106" si="14">IFERROR(X100*I100,"0")</f>
        <v>0</v>
      </c>
      <c r="BN100" s="67">
        <f t="shared" ref="BN100:BN106" si="15">IFERROR(Y100*I100,"0")</f>
        <v>0</v>
      </c>
      <c r="BO100" s="67">
        <f t="shared" ref="BO100:BO106" si="16">IFERROR(X100/J100,"0")</f>
        <v>0</v>
      </c>
      <c r="BP100" s="67">
        <f t="shared" ref="BP100:BP106" si="17">IFERROR(Y100/J100,"0")</f>
        <v>0</v>
      </c>
    </row>
    <row r="101" spans="1:68" ht="27" hidden="1" customHeight="1" x14ac:dyDescent="0.25">
      <c r="A101" s="54" t="s">
        <v>182</v>
      </c>
      <c r="B101" s="54" t="s">
        <v>183</v>
      </c>
      <c r="C101" s="31">
        <v>4301071121</v>
      </c>
      <c r="D101" s="281">
        <v>4620207491393</v>
      </c>
      <c r="E101" s="282"/>
      <c r="F101" s="273">
        <v>0.4</v>
      </c>
      <c r="G101" s="32">
        <v>16</v>
      </c>
      <c r="H101" s="273">
        <v>6.4</v>
      </c>
      <c r="I101" s="273">
        <v>6.71</v>
      </c>
      <c r="J101" s="32">
        <v>84</v>
      </c>
      <c r="K101" s="32" t="s">
        <v>65</v>
      </c>
      <c r="L101" s="32" t="s">
        <v>66</v>
      </c>
      <c r="M101" s="33" t="s">
        <v>67</v>
      </c>
      <c r="N101" s="33"/>
      <c r="O101" s="32">
        <v>180</v>
      </c>
      <c r="P101" s="434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1" s="279"/>
      <c r="R101" s="279"/>
      <c r="S101" s="279"/>
      <c r="T101" s="280"/>
      <c r="U101" s="34"/>
      <c r="V101" s="34"/>
      <c r="W101" s="35" t="s">
        <v>68</v>
      </c>
      <c r="X101" s="274">
        <v>0</v>
      </c>
      <c r="Y101" s="275">
        <f t="shared" si="12"/>
        <v>0</v>
      </c>
      <c r="Z101" s="36">
        <f t="shared" si="13"/>
        <v>0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</v>
      </c>
      <c r="BM101" s="67">
        <f t="shared" si="14"/>
        <v>0</v>
      </c>
      <c r="BN101" s="67">
        <f t="shared" si="15"/>
        <v>0</v>
      </c>
      <c r="BO101" s="67">
        <f t="shared" si="16"/>
        <v>0</v>
      </c>
      <c r="BP101" s="67">
        <f t="shared" si="17"/>
        <v>0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4301071051</v>
      </c>
      <c r="D102" s="281">
        <v>4607111039262</v>
      </c>
      <c r="E102" s="282"/>
      <c r="F102" s="273">
        <v>0.4</v>
      </c>
      <c r="G102" s="32">
        <v>16</v>
      </c>
      <c r="H102" s="273">
        <v>6.4</v>
      </c>
      <c r="I102" s="273">
        <v>6.7195999999999998</v>
      </c>
      <c r="J102" s="32">
        <v>84</v>
      </c>
      <c r="K102" s="32" t="s">
        <v>65</v>
      </c>
      <c r="L102" s="32" t="s">
        <v>106</v>
      </c>
      <c r="M102" s="33" t="s">
        <v>67</v>
      </c>
      <c r="N102" s="33"/>
      <c r="O102" s="32">
        <v>180</v>
      </c>
      <c r="P102" s="43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2" s="279"/>
      <c r="R102" s="279"/>
      <c r="S102" s="279"/>
      <c r="T102" s="280"/>
      <c r="U102" s="34"/>
      <c r="V102" s="34"/>
      <c r="W102" s="35" t="s">
        <v>68</v>
      </c>
      <c r="X102" s="274">
        <v>0</v>
      </c>
      <c r="Y102" s="275">
        <f t="shared" si="12"/>
        <v>0</v>
      </c>
      <c r="Z102" s="36">
        <f t="shared" si="13"/>
        <v>0</v>
      </c>
      <c r="AA102" s="56"/>
      <c r="AB102" s="57"/>
      <c r="AC102" s="144" t="s">
        <v>140</v>
      </c>
      <c r="AG102" s="67"/>
      <c r="AJ102" s="71" t="s">
        <v>108</v>
      </c>
      <c r="AK102" s="71">
        <v>12</v>
      </c>
      <c r="BB102" s="145" t="s">
        <v>1</v>
      </c>
      <c r="BM102" s="67">
        <f t="shared" si="14"/>
        <v>0</v>
      </c>
      <c r="BN102" s="67">
        <f t="shared" si="15"/>
        <v>0</v>
      </c>
      <c r="BO102" s="67">
        <f t="shared" si="16"/>
        <v>0</v>
      </c>
      <c r="BP102" s="67">
        <f t="shared" si="17"/>
        <v>0</v>
      </c>
    </row>
    <row r="103" spans="1:68" ht="27" hidden="1" customHeight="1" x14ac:dyDescent="0.25">
      <c r="A103" s="54" t="s">
        <v>187</v>
      </c>
      <c r="B103" s="54" t="s">
        <v>188</v>
      </c>
      <c r="C103" s="31">
        <v>4301071038</v>
      </c>
      <c r="D103" s="281">
        <v>4607111039248</v>
      </c>
      <c r="E103" s="282"/>
      <c r="F103" s="273">
        <v>0.7</v>
      </c>
      <c r="G103" s="32">
        <v>10</v>
      </c>
      <c r="H103" s="273">
        <v>7</v>
      </c>
      <c r="I103" s="273">
        <v>7.3</v>
      </c>
      <c r="J103" s="32">
        <v>84</v>
      </c>
      <c r="K103" s="32" t="s">
        <v>65</v>
      </c>
      <c r="L103" s="32" t="s">
        <v>106</v>
      </c>
      <c r="M103" s="33" t="s">
        <v>67</v>
      </c>
      <c r="N103" s="33"/>
      <c r="O103" s="32">
        <v>180</v>
      </c>
      <c r="P103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3" s="279"/>
      <c r="R103" s="279"/>
      <c r="S103" s="279"/>
      <c r="T103" s="280"/>
      <c r="U103" s="34"/>
      <c r="V103" s="34"/>
      <c r="W103" s="35" t="s">
        <v>68</v>
      </c>
      <c r="X103" s="274">
        <v>0</v>
      </c>
      <c r="Y103" s="275">
        <f t="shared" si="12"/>
        <v>0</v>
      </c>
      <c r="Z103" s="36">
        <f t="shared" si="13"/>
        <v>0</v>
      </c>
      <c r="AA103" s="56"/>
      <c r="AB103" s="57"/>
      <c r="AC103" s="146" t="s">
        <v>140</v>
      </c>
      <c r="AG103" s="67"/>
      <c r="AJ103" s="71" t="s">
        <v>108</v>
      </c>
      <c r="AK103" s="71">
        <v>12</v>
      </c>
      <c r="BB103" s="147" t="s">
        <v>1</v>
      </c>
      <c r="BM103" s="67">
        <f t="shared" si="14"/>
        <v>0</v>
      </c>
      <c r="BN103" s="67">
        <f t="shared" si="15"/>
        <v>0</v>
      </c>
      <c r="BO103" s="67">
        <f t="shared" si="16"/>
        <v>0</v>
      </c>
      <c r="BP103" s="67">
        <f t="shared" si="17"/>
        <v>0</v>
      </c>
    </row>
    <row r="104" spans="1:68" ht="27" hidden="1" customHeight="1" x14ac:dyDescent="0.25">
      <c r="A104" s="54" t="s">
        <v>189</v>
      </c>
      <c r="B104" s="54" t="s">
        <v>190</v>
      </c>
      <c r="C104" s="31">
        <v>4301070979</v>
      </c>
      <c r="D104" s="281">
        <v>4607111037145</v>
      </c>
      <c r="E104" s="282"/>
      <c r="F104" s="273">
        <v>0.8</v>
      </c>
      <c r="G104" s="32">
        <v>8</v>
      </c>
      <c r="H104" s="273">
        <v>6.4</v>
      </c>
      <c r="I104" s="273">
        <v>6.6748000000000003</v>
      </c>
      <c r="J104" s="32">
        <v>84</v>
      </c>
      <c r="K104" s="32" t="s">
        <v>65</v>
      </c>
      <c r="L104" s="32" t="s">
        <v>66</v>
      </c>
      <c r="M104" s="33" t="s">
        <v>67</v>
      </c>
      <c r="N104" s="33"/>
      <c r="O104" s="32">
        <v>180</v>
      </c>
      <c r="P104" s="3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4" s="279"/>
      <c r="R104" s="279"/>
      <c r="S104" s="279"/>
      <c r="T104" s="280"/>
      <c r="U104" s="34"/>
      <c r="V104" s="34"/>
      <c r="W104" s="35" t="s">
        <v>68</v>
      </c>
      <c r="X104" s="274">
        <v>0</v>
      </c>
      <c r="Y104" s="275">
        <f t="shared" si="12"/>
        <v>0</v>
      </c>
      <c r="Z104" s="36">
        <f t="shared" si="13"/>
        <v>0</v>
      </c>
      <c r="AA104" s="56"/>
      <c r="AB104" s="57"/>
      <c r="AC104" s="148" t="s">
        <v>191</v>
      </c>
      <c r="AG104" s="67"/>
      <c r="AJ104" s="71" t="s">
        <v>70</v>
      </c>
      <c r="AK104" s="71">
        <v>1</v>
      </c>
      <c r="BB104" s="149" t="s">
        <v>1</v>
      </c>
      <c r="BM104" s="67">
        <f t="shared" si="14"/>
        <v>0</v>
      </c>
      <c r="BN104" s="67">
        <f t="shared" si="15"/>
        <v>0</v>
      </c>
      <c r="BO104" s="67">
        <f t="shared" si="16"/>
        <v>0</v>
      </c>
      <c r="BP104" s="67">
        <f t="shared" si="17"/>
        <v>0</v>
      </c>
    </row>
    <row r="105" spans="1:68" ht="27" hidden="1" customHeight="1" x14ac:dyDescent="0.25">
      <c r="A105" s="54" t="s">
        <v>192</v>
      </c>
      <c r="B105" s="54" t="s">
        <v>193</v>
      </c>
      <c r="C105" s="31">
        <v>4301071139</v>
      </c>
      <c r="D105" s="281">
        <v>4607111039293</v>
      </c>
      <c r="E105" s="282"/>
      <c r="F105" s="273">
        <v>0.4</v>
      </c>
      <c r="G105" s="32">
        <v>16</v>
      </c>
      <c r="H105" s="273">
        <v>6.4</v>
      </c>
      <c r="I105" s="273">
        <v>6.7195999999999998</v>
      </c>
      <c r="J105" s="32">
        <v>84</v>
      </c>
      <c r="K105" s="32" t="s">
        <v>65</v>
      </c>
      <c r="L105" s="32" t="s">
        <v>66</v>
      </c>
      <c r="M105" s="33" t="s">
        <v>67</v>
      </c>
      <c r="N105" s="33"/>
      <c r="O105" s="32">
        <v>180</v>
      </c>
      <c r="P105" s="432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5" s="279"/>
      <c r="R105" s="279"/>
      <c r="S105" s="279"/>
      <c r="T105" s="280"/>
      <c r="U105" s="34"/>
      <c r="V105" s="34"/>
      <c r="W105" s="35" t="s">
        <v>68</v>
      </c>
      <c r="X105" s="274">
        <v>0</v>
      </c>
      <c r="Y105" s="275">
        <f t="shared" si="12"/>
        <v>0</v>
      </c>
      <c r="Z105" s="36">
        <f t="shared" si="13"/>
        <v>0</v>
      </c>
      <c r="AA105" s="56"/>
      <c r="AB105" s="57"/>
      <c r="AC105" s="150" t="s">
        <v>194</v>
      </c>
      <c r="AG105" s="67"/>
      <c r="AJ105" s="71" t="s">
        <v>70</v>
      </c>
      <c r="AK105" s="71">
        <v>1</v>
      </c>
      <c r="BB105" s="151" t="s">
        <v>1</v>
      </c>
      <c r="BM105" s="67">
        <f t="shared" si="14"/>
        <v>0</v>
      </c>
      <c r="BN105" s="67">
        <f t="shared" si="15"/>
        <v>0</v>
      </c>
      <c r="BO105" s="67">
        <f t="shared" si="16"/>
        <v>0</v>
      </c>
      <c r="BP105" s="67">
        <f t="shared" si="17"/>
        <v>0</v>
      </c>
    </row>
    <row r="106" spans="1:68" ht="27" customHeight="1" x14ac:dyDescent="0.25">
      <c r="A106" s="54" t="s">
        <v>195</v>
      </c>
      <c r="B106" s="54" t="s">
        <v>196</v>
      </c>
      <c r="C106" s="31">
        <v>4301071138</v>
      </c>
      <c r="D106" s="281">
        <v>4607111039279</v>
      </c>
      <c r="E106" s="282"/>
      <c r="F106" s="273">
        <v>0.7</v>
      </c>
      <c r="G106" s="32">
        <v>10</v>
      </c>
      <c r="H106" s="273">
        <v>7</v>
      </c>
      <c r="I106" s="273">
        <v>7.3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20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6" s="279"/>
      <c r="R106" s="279"/>
      <c r="S106" s="279"/>
      <c r="T106" s="280"/>
      <c r="U106" s="34"/>
      <c r="V106" s="34"/>
      <c r="W106" s="35" t="s">
        <v>68</v>
      </c>
      <c r="X106" s="274">
        <v>180</v>
      </c>
      <c r="Y106" s="275">
        <f t="shared" si="12"/>
        <v>180</v>
      </c>
      <c r="Z106" s="36">
        <f t="shared" si="13"/>
        <v>2.79</v>
      </c>
      <c r="AA106" s="56"/>
      <c r="AB106" s="57"/>
      <c r="AC106" s="152" t="s">
        <v>194</v>
      </c>
      <c r="AG106" s="67"/>
      <c r="AJ106" s="71" t="s">
        <v>70</v>
      </c>
      <c r="AK106" s="71">
        <v>1</v>
      </c>
      <c r="BB106" s="153" t="s">
        <v>1</v>
      </c>
      <c r="BM106" s="67">
        <f t="shared" si="14"/>
        <v>1314</v>
      </c>
      <c r="BN106" s="67">
        <f t="shared" si="15"/>
        <v>1314</v>
      </c>
      <c r="BO106" s="67">
        <f t="shared" si="16"/>
        <v>2.1428571428571428</v>
      </c>
      <c r="BP106" s="67">
        <f t="shared" si="17"/>
        <v>2.1428571428571428</v>
      </c>
    </row>
    <row r="107" spans="1:68" x14ac:dyDescent="0.2">
      <c r="A107" s="303"/>
      <c r="B107" s="287"/>
      <c r="C107" s="287"/>
      <c r="D107" s="287"/>
      <c r="E107" s="287"/>
      <c r="F107" s="287"/>
      <c r="G107" s="287"/>
      <c r="H107" s="287"/>
      <c r="I107" s="287"/>
      <c r="J107" s="287"/>
      <c r="K107" s="287"/>
      <c r="L107" s="287"/>
      <c r="M107" s="287"/>
      <c r="N107" s="287"/>
      <c r="O107" s="304"/>
      <c r="P107" s="288" t="s">
        <v>87</v>
      </c>
      <c r="Q107" s="289"/>
      <c r="R107" s="289"/>
      <c r="S107" s="289"/>
      <c r="T107" s="289"/>
      <c r="U107" s="289"/>
      <c r="V107" s="290"/>
      <c r="W107" s="37" t="s">
        <v>68</v>
      </c>
      <c r="X107" s="276">
        <f>IFERROR(SUM(X100:X106),"0")</f>
        <v>180</v>
      </c>
      <c r="Y107" s="276">
        <f>IFERROR(SUM(Y100:Y106),"0")</f>
        <v>180</v>
      </c>
      <c r="Z107" s="276">
        <f>IFERROR(IF(Z100="",0,Z100),"0")+IFERROR(IF(Z101="",0,Z101),"0")+IFERROR(IF(Z102="",0,Z102),"0")+IFERROR(IF(Z103="",0,Z103),"0")+IFERROR(IF(Z104="",0,Z104),"0")+IFERROR(IF(Z105="",0,Z105),"0")+IFERROR(IF(Z106="",0,Z106),"0")</f>
        <v>2.79</v>
      </c>
      <c r="AA107" s="277"/>
      <c r="AB107" s="277"/>
      <c r="AC107" s="277"/>
    </row>
    <row r="108" spans="1:68" x14ac:dyDescent="0.2">
      <c r="A108" s="287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304"/>
      <c r="P108" s="288" t="s">
        <v>87</v>
      </c>
      <c r="Q108" s="289"/>
      <c r="R108" s="289"/>
      <c r="S108" s="289"/>
      <c r="T108" s="289"/>
      <c r="U108" s="289"/>
      <c r="V108" s="290"/>
      <c r="W108" s="37" t="s">
        <v>88</v>
      </c>
      <c r="X108" s="276">
        <f>IFERROR(SUMPRODUCT(X100:X106*H100:H106),"0")</f>
        <v>1260</v>
      </c>
      <c r="Y108" s="276">
        <f>IFERROR(SUMPRODUCT(Y100:Y106*H100:H106),"0")</f>
        <v>1260</v>
      </c>
      <c r="Z108" s="37"/>
      <c r="AA108" s="277"/>
      <c r="AB108" s="277"/>
      <c r="AC108" s="277"/>
    </row>
    <row r="109" spans="1:68" ht="14.25" hidden="1" customHeight="1" x14ac:dyDescent="0.25">
      <c r="A109" s="286" t="s">
        <v>144</v>
      </c>
      <c r="B109" s="287"/>
      <c r="C109" s="287"/>
      <c r="D109" s="287"/>
      <c r="E109" s="287"/>
      <c r="F109" s="287"/>
      <c r="G109" s="287"/>
      <c r="H109" s="287"/>
      <c r="I109" s="287"/>
      <c r="J109" s="287"/>
      <c r="K109" s="287"/>
      <c r="L109" s="287"/>
      <c r="M109" s="287"/>
      <c r="N109" s="287"/>
      <c r="O109" s="287"/>
      <c r="P109" s="287"/>
      <c r="Q109" s="287"/>
      <c r="R109" s="287"/>
      <c r="S109" s="287"/>
      <c r="T109" s="287"/>
      <c r="U109" s="287"/>
      <c r="V109" s="287"/>
      <c r="W109" s="287"/>
      <c r="X109" s="287"/>
      <c r="Y109" s="287"/>
      <c r="Z109" s="287"/>
      <c r="AA109" s="270"/>
      <c r="AB109" s="270"/>
      <c r="AC109" s="270"/>
    </row>
    <row r="110" spans="1:68" ht="27" hidden="1" customHeight="1" x14ac:dyDescent="0.25">
      <c r="A110" s="54" t="s">
        <v>197</v>
      </c>
      <c r="B110" s="54" t="s">
        <v>198</v>
      </c>
      <c r="C110" s="31">
        <v>4301135826</v>
      </c>
      <c r="D110" s="281">
        <v>4620207490983</v>
      </c>
      <c r="E110" s="282"/>
      <c r="F110" s="273">
        <v>0.22</v>
      </c>
      <c r="G110" s="32">
        <v>12</v>
      </c>
      <c r="H110" s="273">
        <v>2.64</v>
      </c>
      <c r="I110" s="273">
        <v>3.3435999999999999</v>
      </c>
      <c r="J110" s="32">
        <v>70</v>
      </c>
      <c r="K110" s="32" t="s">
        <v>105</v>
      </c>
      <c r="L110" s="32" t="s">
        <v>66</v>
      </c>
      <c r="M110" s="33" t="s">
        <v>67</v>
      </c>
      <c r="N110" s="33"/>
      <c r="O110" s="32">
        <v>180</v>
      </c>
      <c r="P110" s="44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0" s="279"/>
      <c r="R110" s="279"/>
      <c r="S110" s="279"/>
      <c r="T110" s="280"/>
      <c r="U110" s="34"/>
      <c r="V110" s="34"/>
      <c r="W110" s="35" t="s">
        <v>68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54" t="s">
        <v>199</v>
      </c>
      <c r="AG110" s="67"/>
      <c r="AJ110" s="71" t="s">
        <v>70</v>
      </c>
      <c r="AK110" s="71">
        <v>1</v>
      </c>
      <c r="BB110" s="155" t="s">
        <v>109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3"/>
      <c r="B111" s="287"/>
      <c r="C111" s="287"/>
      <c r="D111" s="287"/>
      <c r="E111" s="287"/>
      <c r="F111" s="287"/>
      <c r="G111" s="287"/>
      <c r="H111" s="287"/>
      <c r="I111" s="287"/>
      <c r="J111" s="287"/>
      <c r="K111" s="287"/>
      <c r="L111" s="287"/>
      <c r="M111" s="287"/>
      <c r="N111" s="287"/>
      <c r="O111" s="304"/>
      <c r="P111" s="288" t="s">
        <v>87</v>
      </c>
      <c r="Q111" s="289"/>
      <c r="R111" s="289"/>
      <c r="S111" s="289"/>
      <c r="T111" s="289"/>
      <c r="U111" s="289"/>
      <c r="V111" s="290"/>
      <c r="W111" s="37" t="s">
        <v>68</v>
      </c>
      <c r="X111" s="276">
        <f>IFERROR(SUM(X110:X110),"0")</f>
        <v>0</v>
      </c>
      <c r="Y111" s="276">
        <f>IFERROR(SUM(Y110:Y110),"0")</f>
        <v>0</v>
      </c>
      <c r="Z111" s="276">
        <f>IFERROR(IF(Z110="",0,Z110),"0")</f>
        <v>0</v>
      </c>
      <c r="AA111" s="277"/>
      <c r="AB111" s="277"/>
      <c r="AC111" s="277"/>
    </row>
    <row r="112" spans="1:68" hidden="1" x14ac:dyDescent="0.2">
      <c r="A112" s="287"/>
      <c r="B112" s="287"/>
      <c r="C112" s="287"/>
      <c r="D112" s="287"/>
      <c r="E112" s="287"/>
      <c r="F112" s="287"/>
      <c r="G112" s="287"/>
      <c r="H112" s="287"/>
      <c r="I112" s="287"/>
      <c r="J112" s="287"/>
      <c r="K112" s="287"/>
      <c r="L112" s="287"/>
      <c r="M112" s="287"/>
      <c r="N112" s="287"/>
      <c r="O112" s="304"/>
      <c r="P112" s="288" t="s">
        <v>87</v>
      </c>
      <c r="Q112" s="289"/>
      <c r="R112" s="289"/>
      <c r="S112" s="289"/>
      <c r="T112" s="289"/>
      <c r="U112" s="289"/>
      <c r="V112" s="290"/>
      <c r="W112" s="37" t="s">
        <v>88</v>
      </c>
      <c r="X112" s="276">
        <f>IFERROR(SUMPRODUCT(X110:X110*H110:H110),"0")</f>
        <v>0</v>
      </c>
      <c r="Y112" s="276">
        <f>IFERROR(SUMPRODUCT(Y110:Y110*H110:H110),"0")</f>
        <v>0</v>
      </c>
      <c r="Z112" s="37"/>
      <c r="AA112" s="277"/>
      <c r="AB112" s="277"/>
      <c r="AC112" s="277"/>
    </row>
    <row r="113" spans="1:68" ht="14.25" hidden="1" customHeight="1" x14ac:dyDescent="0.25">
      <c r="A113" s="286" t="s">
        <v>200</v>
      </c>
      <c r="B113" s="287"/>
      <c r="C113" s="287"/>
      <c r="D113" s="287"/>
      <c r="E113" s="287"/>
      <c r="F113" s="287"/>
      <c r="G113" s="287"/>
      <c r="H113" s="287"/>
      <c r="I113" s="287"/>
      <c r="J113" s="287"/>
      <c r="K113" s="287"/>
      <c r="L113" s="287"/>
      <c r="M113" s="287"/>
      <c r="N113" s="287"/>
      <c r="O113" s="287"/>
      <c r="P113" s="287"/>
      <c r="Q113" s="287"/>
      <c r="R113" s="287"/>
      <c r="S113" s="287"/>
      <c r="T113" s="287"/>
      <c r="U113" s="287"/>
      <c r="V113" s="287"/>
      <c r="W113" s="287"/>
      <c r="X113" s="287"/>
      <c r="Y113" s="287"/>
      <c r="Z113" s="287"/>
      <c r="AA113" s="270"/>
      <c r="AB113" s="270"/>
      <c r="AC113" s="270"/>
    </row>
    <row r="114" spans="1:68" ht="27" hidden="1" customHeight="1" x14ac:dyDescent="0.25">
      <c r="A114" s="54" t="s">
        <v>201</v>
      </c>
      <c r="B114" s="54" t="s">
        <v>202</v>
      </c>
      <c r="C114" s="31">
        <v>4301071094</v>
      </c>
      <c r="D114" s="281">
        <v>4620207491140</v>
      </c>
      <c r="E114" s="282"/>
      <c r="F114" s="273">
        <v>0.6</v>
      </c>
      <c r="G114" s="32">
        <v>10</v>
      </c>
      <c r="H114" s="273">
        <v>6</v>
      </c>
      <c r="I114" s="273">
        <v>6.28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3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4" s="279"/>
      <c r="R114" s="279"/>
      <c r="S114" s="279"/>
      <c r="T114" s="280"/>
      <c r="U114" s="34"/>
      <c r="V114" s="34"/>
      <c r="W114" s="35" t="s">
        <v>68</v>
      </c>
      <c r="X114" s="274">
        <v>0</v>
      </c>
      <c r="Y114" s="275">
        <f>IFERROR(IF(X114="","",X114),"")</f>
        <v>0</v>
      </c>
      <c r="Z114" s="36">
        <f>IFERROR(IF(X114="","",X114*0.0155),"")</f>
        <v>0</v>
      </c>
      <c r="AA114" s="56"/>
      <c r="AB114" s="57"/>
      <c r="AC114" s="156" t="s">
        <v>203</v>
      </c>
      <c r="AG114" s="67"/>
      <c r="AJ114" s="71" t="s">
        <v>70</v>
      </c>
      <c r="AK114" s="71">
        <v>1</v>
      </c>
      <c r="BB114" s="157" t="s">
        <v>109</v>
      </c>
      <c r="BM114" s="67">
        <f>IFERROR(X114*I114,"0")</f>
        <v>0</v>
      </c>
      <c r="BN114" s="67">
        <f>IFERROR(Y114*I114,"0")</f>
        <v>0</v>
      </c>
      <c r="BO114" s="67">
        <f>IFERROR(X114/J114,"0")</f>
        <v>0</v>
      </c>
      <c r="BP114" s="67">
        <f>IFERROR(Y114/J114,"0")</f>
        <v>0</v>
      </c>
    </row>
    <row r="115" spans="1:68" hidden="1" x14ac:dyDescent="0.2">
      <c r="A115" s="303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304"/>
      <c r="P115" s="288" t="s">
        <v>87</v>
      </c>
      <c r="Q115" s="289"/>
      <c r="R115" s="289"/>
      <c r="S115" s="289"/>
      <c r="T115" s="289"/>
      <c r="U115" s="289"/>
      <c r="V115" s="290"/>
      <c r="W115" s="37" t="s">
        <v>68</v>
      </c>
      <c r="X115" s="276">
        <f>IFERROR(SUM(X114:X114),"0")</f>
        <v>0</v>
      </c>
      <c r="Y115" s="276">
        <f>IFERROR(SUM(Y114:Y114),"0")</f>
        <v>0</v>
      </c>
      <c r="Z115" s="276">
        <f>IFERROR(IF(Z114="",0,Z114),"0")</f>
        <v>0</v>
      </c>
      <c r="AA115" s="277"/>
      <c r="AB115" s="277"/>
      <c r="AC115" s="277"/>
    </row>
    <row r="116" spans="1:68" hidden="1" x14ac:dyDescent="0.2">
      <c r="A116" s="287"/>
      <c r="B116" s="287"/>
      <c r="C116" s="287"/>
      <c r="D116" s="287"/>
      <c r="E116" s="287"/>
      <c r="F116" s="287"/>
      <c r="G116" s="287"/>
      <c r="H116" s="287"/>
      <c r="I116" s="287"/>
      <c r="J116" s="287"/>
      <c r="K116" s="287"/>
      <c r="L116" s="287"/>
      <c r="M116" s="287"/>
      <c r="N116" s="287"/>
      <c r="O116" s="304"/>
      <c r="P116" s="288" t="s">
        <v>87</v>
      </c>
      <c r="Q116" s="289"/>
      <c r="R116" s="289"/>
      <c r="S116" s="289"/>
      <c r="T116" s="289"/>
      <c r="U116" s="289"/>
      <c r="V116" s="290"/>
      <c r="W116" s="37" t="s">
        <v>88</v>
      </c>
      <c r="X116" s="276">
        <f>IFERROR(SUMPRODUCT(X114:X114*H114:H114),"0")</f>
        <v>0</v>
      </c>
      <c r="Y116" s="276">
        <f>IFERROR(SUMPRODUCT(Y114:Y114*H114:H114),"0")</f>
        <v>0</v>
      </c>
      <c r="Z116" s="37"/>
      <c r="AA116" s="277"/>
      <c r="AB116" s="277"/>
      <c r="AC116" s="277"/>
    </row>
    <row r="117" spans="1:68" ht="16.5" hidden="1" customHeight="1" x14ac:dyDescent="0.25">
      <c r="A117" s="295" t="s">
        <v>204</v>
      </c>
      <c r="B117" s="287"/>
      <c r="C117" s="287"/>
      <c r="D117" s="287"/>
      <c r="E117" s="287"/>
      <c r="F117" s="287"/>
      <c r="G117" s="287"/>
      <c r="H117" s="287"/>
      <c r="I117" s="287"/>
      <c r="J117" s="287"/>
      <c r="K117" s="287"/>
      <c r="L117" s="287"/>
      <c r="M117" s="287"/>
      <c r="N117" s="287"/>
      <c r="O117" s="287"/>
      <c r="P117" s="287"/>
      <c r="Q117" s="287"/>
      <c r="R117" s="287"/>
      <c r="S117" s="287"/>
      <c r="T117" s="287"/>
      <c r="U117" s="287"/>
      <c r="V117" s="287"/>
      <c r="W117" s="287"/>
      <c r="X117" s="287"/>
      <c r="Y117" s="287"/>
      <c r="Z117" s="287"/>
      <c r="AA117" s="269"/>
      <c r="AB117" s="269"/>
      <c r="AC117" s="269"/>
    </row>
    <row r="118" spans="1:68" ht="14.25" hidden="1" customHeight="1" x14ac:dyDescent="0.25">
      <c r="A118" s="286" t="s">
        <v>62</v>
      </c>
      <c r="B118" s="287"/>
      <c r="C118" s="287"/>
      <c r="D118" s="287"/>
      <c r="E118" s="287"/>
      <c r="F118" s="287"/>
      <c r="G118" s="287"/>
      <c r="H118" s="287"/>
      <c r="I118" s="287"/>
      <c r="J118" s="287"/>
      <c r="K118" s="287"/>
      <c r="L118" s="287"/>
      <c r="M118" s="287"/>
      <c r="N118" s="287"/>
      <c r="O118" s="287"/>
      <c r="P118" s="287"/>
      <c r="Q118" s="287"/>
      <c r="R118" s="287"/>
      <c r="S118" s="287"/>
      <c r="T118" s="287"/>
      <c r="U118" s="287"/>
      <c r="V118" s="287"/>
      <c r="W118" s="287"/>
      <c r="X118" s="287"/>
      <c r="Y118" s="287"/>
      <c r="Z118" s="287"/>
      <c r="AA118" s="270"/>
      <c r="AB118" s="270"/>
      <c r="AC118" s="270"/>
    </row>
    <row r="119" spans="1:68" ht="27" hidden="1" customHeight="1" x14ac:dyDescent="0.25">
      <c r="A119" s="54" t="s">
        <v>205</v>
      </c>
      <c r="B119" s="54" t="s">
        <v>206</v>
      </c>
      <c r="C119" s="31">
        <v>4301071142</v>
      </c>
      <c r="D119" s="281">
        <v>4620207491904</v>
      </c>
      <c r="E119" s="282"/>
      <c r="F119" s="273">
        <v>0.56999999999999995</v>
      </c>
      <c r="G119" s="32">
        <v>10</v>
      </c>
      <c r="H119" s="273">
        <v>5.7</v>
      </c>
      <c r="I119" s="273">
        <v>5.98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61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19" s="279"/>
      <c r="R119" s="279"/>
      <c r="S119" s="279"/>
      <c r="T119" s="280"/>
      <c r="U119" s="34"/>
      <c r="V119" s="34"/>
      <c r="W119" s="35" t="s">
        <v>68</v>
      </c>
      <c r="X119" s="274">
        <v>0</v>
      </c>
      <c r="Y119" s="275">
        <f>IFERROR(IF(X119="","",X119),"")</f>
        <v>0</v>
      </c>
      <c r="Z119" s="36">
        <f>IFERROR(IF(X119="","",X119*0.0155),"")</f>
        <v>0</v>
      </c>
      <c r="AA119" s="56"/>
      <c r="AB119" s="57" t="s">
        <v>92</v>
      </c>
      <c r="AC119" s="158" t="s">
        <v>207</v>
      </c>
      <c r="AG119" s="67"/>
      <c r="AJ119" s="71" t="s">
        <v>70</v>
      </c>
      <c r="AK119" s="71">
        <v>1</v>
      </c>
      <c r="BB119" s="159" t="s">
        <v>1</v>
      </c>
      <c r="BM119" s="67">
        <f>IFERROR(X119*I119,"0")</f>
        <v>0</v>
      </c>
      <c r="BN119" s="67">
        <f>IFERROR(Y119*I119,"0")</f>
        <v>0</v>
      </c>
      <c r="BO119" s="67">
        <f>IFERROR(X119/J119,"0")</f>
        <v>0</v>
      </c>
      <c r="BP119" s="67">
        <f>IFERROR(Y119/J119,"0")</f>
        <v>0</v>
      </c>
    </row>
    <row r="120" spans="1:68" hidden="1" x14ac:dyDescent="0.2">
      <c r="A120" s="303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304"/>
      <c r="P120" s="288" t="s">
        <v>87</v>
      </c>
      <c r="Q120" s="289"/>
      <c r="R120" s="289"/>
      <c r="S120" s="289"/>
      <c r="T120" s="289"/>
      <c r="U120" s="289"/>
      <c r="V120" s="290"/>
      <c r="W120" s="37" t="s">
        <v>68</v>
      </c>
      <c r="X120" s="276">
        <f>IFERROR(SUM(X119:X119),"0")</f>
        <v>0</v>
      </c>
      <c r="Y120" s="276">
        <f>IFERROR(SUM(Y119:Y119),"0")</f>
        <v>0</v>
      </c>
      <c r="Z120" s="276">
        <f>IFERROR(IF(Z119="",0,Z119),"0")</f>
        <v>0</v>
      </c>
      <c r="AA120" s="277"/>
      <c r="AB120" s="277"/>
      <c r="AC120" s="277"/>
    </row>
    <row r="121" spans="1:68" hidden="1" x14ac:dyDescent="0.2">
      <c r="A121" s="287"/>
      <c r="B121" s="287"/>
      <c r="C121" s="287"/>
      <c r="D121" s="287"/>
      <c r="E121" s="287"/>
      <c r="F121" s="287"/>
      <c r="G121" s="287"/>
      <c r="H121" s="287"/>
      <c r="I121" s="287"/>
      <c r="J121" s="287"/>
      <c r="K121" s="287"/>
      <c r="L121" s="287"/>
      <c r="M121" s="287"/>
      <c r="N121" s="287"/>
      <c r="O121" s="304"/>
      <c r="P121" s="288" t="s">
        <v>87</v>
      </c>
      <c r="Q121" s="289"/>
      <c r="R121" s="289"/>
      <c r="S121" s="289"/>
      <c r="T121" s="289"/>
      <c r="U121" s="289"/>
      <c r="V121" s="290"/>
      <c r="W121" s="37" t="s">
        <v>88</v>
      </c>
      <c r="X121" s="276">
        <f>IFERROR(SUMPRODUCT(X119:X119*H119:H119),"0")</f>
        <v>0</v>
      </c>
      <c r="Y121" s="276">
        <f>IFERROR(SUMPRODUCT(Y119:Y119*H119:H119),"0")</f>
        <v>0</v>
      </c>
      <c r="Z121" s="37"/>
      <c r="AA121" s="277"/>
      <c r="AB121" s="277"/>
      <c r="AC121" s="277"/>
    </row>
    <row r="122" spans="1:68" ht="14.25" hidden="1" customHeight="1" x14ac:dyDescent="0.25">
      <c r="A122" s="286" t="s">
        <v>144</v>
      </c>
      <c r="B122" s="287"/>
      <c r="C122" s="287"/>
      <c r="D122" s="287"/>
      <c r="E122" s="287"/>
      <c r="F122" s="287"/>
      <c r="G122" s="287"/>
      <c r="H122" s="287"/>
      <c r="I122" s="287"/>
      <c r="J122" s="287"/>
      <c r="K122" s="287"/>
      <c r="L122" s="287"/>
      <c r="M122" s="287"/>
      <c r="N122" s="287"/>
      <c r="O122" s="287"/>
      <c r="P122" s="287"/>
      <c r="Q122" s="287"/>
      <c r="R122" s="287"/>
      <c r="S122" s="287"/>
      <c r="T122" s="287"/>
      <c r="U122" s="287"/>
      <c r="V122" s="287"/>
      <c r="W122" s="287"/>
      <c r="X122" s="287"/>
      <c r="Y122" s="287"/>
      <c r="Z122" s="287"/>
      <c r="AA122" s="270"/>
      <c r="AB122" s="270"/>
      <c r="AC122" s="270"/>
    </row>
    <row r="123" spans="1:68" ht="27" customHeight="1" x14ac:dyDescent="0.25">
      <c r="A123" s="54" t="s">
        <v>208</v>
      </c>
      <c r="B123" s="54" t="s">
        <v>209</v>
      </c>
      <c r="C123" s="31">
        <v>4301135850</v>
      </c>
      <c r="D123" s="281">
        <v>4620207491492</v>
      </c>
      <c r="E123" s="282"/>
      <c r="F123" s="273">
        <v>0.23</v>
      </c>
      <c r="G123" s="32">
        <v>6</v>
      </c>
      <c r="H123" s="273">
        <v>1.38</v>
      </c>
      <c r="I123" s="273">
        <v>1.8</v>
      </c>
      <c r="J123" s="32">
        <v>140</v>
      </c>
      <c r="K123" s="32" t="s">
        <v>105</v>
      </c>
      <c r="L123" s="32" t="s">
        <v>66</v>
      </c>
      <c r="M123" s="33" t="s">
        <v>67</v>
      </c>
      <c r="N123" s="33"/>
      <c r="O123" s="32">
        <v>180</v>
      </c>
      <c r="P123" s="44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23" s="279"/>
      <c r="R123" s="279"/>
      <c r="S123" s="279"/>
      <c r="T123" s="280"/>
      <c r="U123" s="34"/>
      <c r="V123" s="34"/>
      <c r="W123" s="35" t="s">
        <v>68</v>
      </c>
      <c r="X123" s="274">
        <v>28</v>
      </c>
      <c r="Y123" s="275">
        <f>IFERROR(IF(X123="","",X123),"")</f>
        <v>28</v>
      </c>
      <c r="Z123" s="36">
        <f>IFERROR(IF(X123="","",X123*0.00941),"")</f>
        <v>0.26347999999999999</v>
      </c>
      <c r="AA123" s="56"/>
      <c r="AB123" s="57"/>
      <c r="AC123" s="160" t="s">
        <v>210</v>
      </c>
      <c r="AG123" s="67"/>
      <c r="AJ123" s="71" t="s">
        <v>70</v>
      </c>
      <c r="AK123" s="71">
        <v>1</v>
      </c>
      <c r="BB123" s="161" t="s">
        <v>109</v>
      </c>
      <c r="BM123" s="67">
        <f>IFERROR(X123*I123,"0")</f>
        <v>50.4</v>
      </c>
      <c r="BN123" s="67">
        <f>IFERROR(Y123*I123,"0")</f>
        <v>50.4</v>
      </c>
      <c r="BO123" s="67">
        <f>IFERROR(X123/J123,"0")</f>
        <v>0.2</v>
      </c>
      <c r="BP123" s="67">
        <f>IFERROR(Y123/J123,"0")</f>
        <v>0.2</v>
      </c>
    </row>
    <row r="124" spans="1:68" ht="27" hidden="1" customHeight="1" x14ac:dyDescent="0.25">
      <c r="A124" s="54" t="s">
        <v>211</v>
      </c>
      <c r="B124" s="54" t="s">
        <v>212</v>
      </c>
      <c r="C124" s="31">
        <v>4301190118</v>
      </c>
      <c r="D124" s="281">
        <v>4620207491461</v>
      </c>
      <c r="E124" s="282"/>
      <c r="F124" s="273">
        <v>0.22</v>
      </c>
      <c r="G124" s="32">
        <v>6</v>
      </c>
      <c r="H124" s="273">
        <v>1.32</v>
      </c>
      <c r="I124" s="273">
        <v>1.74</v>
      </c>
      <c r="J124" s="32">
        <v>140</v>
      </c>
      <c r="K124" s="32" t="s">
        <v>105</v>
      </c>
      <c r="L124" s="32" t="s">
        <v>66</v>
      </c>
      <c r="M124" s="33" t="s">
        <v>67</v>
      </c>
      <c r="N124" s="33"/>
      <c r="O124" s="32">
        <v>180</v>
      </c>
      <c r="P124" s="46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24" s="279"/>
      <c r="R124" s="279"/>
      <c r="S124" s="279"/>
      <c r="T124" s="280"/>
      <c r="U124" s="34"/>
      <c r="V124" s="34"/>
      <c r="W124" s="35" t="s">
        <v>68</v>
      </c>
      <c r="X124" s="274">
        <v>0</v>
      </c>
      <c r="Y124" s="275">
        <f>IFERROR(IF(X124="","",X124),"")</f>
        <v>0</v>
      </c>
      <c r="Z124" s="36">
        <f>IFERROR(IF(X124="","",X124*0.00941),"")</f>
        <v>0</v>
      </c>
      <c r="AA124" s="56"/>
      <c r="AB124" s="57"/>
      <c r="AC124" s="162" t="s">
        <v>210</v>
      </c>
      <c r="AG124" s="67"/>
      <c r="AJ124" s="71" t="s">
        <v>70</v>
      </c>
      <c r="AK124" s="71">
        <v>1</v>
      </c>
      <c r="BB124" s="163" t="s">
        <v>109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213</v>
      </c>
      <c r="B125" s="54" t="s">
        <v>214</v>
      </c>
      <c r="C125" s="31">
        <v>4301135865</v>
      </c>
      <c r="D125" s="281">
        <v>4620207491485</v>
      </c>
      <c r="E125" s="282"/>
      <c r="F125" s="273">
        <v>0.23</v>
      </c>
      <c r="G125" s="32">
        <v>6</v>
      </c>
      <c r="H125" s="273">
        <v>1.38</v>
      </c>
      <c r="I125" s="273">
        <v>1.8</v>
      </c>
      <c r="J125" s="32">
        <v>140</v>
      </c>
      <c r="K125" s="32" t="s">
        <v>105</v>
      </c>
      <c r="L125" s="32" t="s">
        <v>66</v>
      </c>
      <c r="M125" s="33" t="s">
        <v>67</v>
      </c>
      <c r="N125" s="33"/>
      <c r="O125" s="32">
        <v>180</v>
      </c>
      <c r="P125" s="42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25" s="279"/>
      <c r="R125" s="279"/>
      <c r="S125" s="279"/>
      <c r="T125" s="280"/>
      <c r="U125" s="34"/>
      <c r="V125" s="34"/>
      <c r="W125" s="35" t="s">
        <v>68</v>
      </c>
      <c r="X125" s="274">
        <v>28</v>
      </c>
      <c r="Y125" s="275">
        <f>IFERROR(IF(X125="","",X125),"")</f>
        <v>28</v>
      </c>
      <c r="Z125" s="36">
        <f>IFERROR(IF(X125="","",X125*0.00941),"")</f>
        <v>0.26347999999999999</v>
      </c>
      <c r="AA125" s="56"/>
      <c r="AB125" s="57"/>
      <c r="AC125" s="164" t="s">
        <v>210</v>
      </c>
      <c r="AG125" s="67"/>
      <c r="AJ125" s="71" t="s">
        <v>70</v>
      </c>
      <c r="AK125" s="71">
        <v>1</v>
      </c>
      <c r="BB125" s="165" t="s">
        <v>109</v>
      </c>
      <c r="BM125" s="67">
        <f>IFERROR(X125*I125,"0")</f>
        <v>50.4</v>
      </c>
      <c r="BN125" s="67">
        <f>IFERROR(Y125*I125,"0")</f>
        <v>50.4</v>
      </c>
      <c r="BO125" s="67">
        <f>IFERROR(X125/J125,"0")</f>
        <v>0.2</v>
      </c>
      <c r="BP125" s="67">
        <f>IFERROR(Y125/J125,"0")</f>
        <v>0.2</v>
      </c>
    </row>
    <row r="126" spans="1:68" ht="27" customHeight="1" x14ac:dyDescent="0.25">
      <c r="A126" s="54" t="s">
        <v>215</v>
      </c>
      <c r="B126" s="54" t="s">
        <v>216</v>
      </c>
      <c r="C126" s="31">
        <v>4301135848</v>
      </c>
      <c r="D126" s="281">
        <v>4620207491799</v>
      </c>
      <c r="E126" s="282"/>
      <c r="F126" s="273">
        <v>0.23</v>
      </c>
      <c r="G126" s="32">
        <v>6</v>
      </c>
      <c r="H126" s="273">
        <v>1.38</v>
      </c>
      <c r="I126" s="273">
        <v>1.8</v>
      </c>
      <c r="J126" s="32">
        <v>140</v>
      </c>
      <c r="K126" s="32" t="s">
        <v>105</v>
      </c>
      <c r="L126" s="32" t="s">
        <v>66</v>
      </c>
      <c r="M126" s="33" t="s">
        <v>67</v>
      </c>
      <c r="N126" s="33"/>
      <c r="O126" s="32">
        <v>180</v>
      </c>
      <c r="P126" s="46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26" s="279"/>
      <c r="R126" s="279"/>
      <c r="S126" s="279"/>
      <c r="T126" s="280"/>
      <c r="U126" s="34"/>
      <c r="V126" s="34"/>
      <c r="W126" s="35" t="s">
        <v>68</v>
      </c>
      <c r="X126" s="274">
        <v>42</v>
      </c>
      <c r="Y126" s="275">
        <f>IFERROR(IF(X126="","",X126),"")</f>
        <v>42</v>
      </c>
      <c r="Z126" s="36">
        <f>IFERROR(IF(X126="","",X126*0.00941),"")</f>
        <v>0.39522000000000002</v>
      </c>
      <c r="AA126" s="56"/>
      <c r="AB126" s="57"/>
      <c r="AC126" s="166" t="s">
        <v>210</v>
      </c>
      <c r="AG126" s="67"/>
      <c r="AJ126" s="71" t="s">
        <v>70</v>
      </c>
      <c r="AK126" s="71">
        <v>1</v>
      </c>
      <c r="BB126" s="167" t="s">
        <v>109</v>
      </c>
      <c r="BM126" s="67">
        <f>IFERROR(X126*I126,"0")</f>
        <v>75.600000000000009</v>
      </c>
      <c r="BN126" s="67">
        <f>IFERROR(Y126*I126,"0")</f>
        <v>75.600000000000009</v>
      </c>
      <c r="BO126" s="67">
        <f>IFERROR(X126/J126,"0")</f>
        <v>0.3</v>
      </c>
      <c r="BP126" s="67">
        <f>IFERROR(Y126/J126,"0")</f>
        <v>0.3</v>
      </c>
    </row>
    <row r="127" spans="1:68" x14ac:dyDescent="0.2">
      <c r="A127" s="303"/>
      <c r="B127" s="287"/>
      <c r="C127" s="287"/>
      <c r="D127" s="287"/>
      <c r="E127" s="287"/>
      <c r="F127" s="287"/>
      <c r="G127" s="287"/>
      <c r="H127" s="287"/>
      <c r="I127" s="287"/>
      <c r="J127" s="287"/>
      <c r="K127" s="287"/>
      <c r="L127" s="287"/>
      <c r="M127" s="287"/>
      <c r="N127" s="287"/>
      <c r="O127" s="304"/>
      <c r="P127" s="288" t="s">
        <v>87</v>
      </c>
      <c r="Q127" s="289"/>
      <c r="R127" s="289"/>
      <c r="S127" s="289"/>
      <c r="T127" s="289"/>
      <c r="U127" s="289"/>
      <c r="V127" s="290"/>
      <c r="W127" s="37" t="s">
        <v>68</v>
      </c>
      <c r="X127" s="276">
        <f>IFERROR(SUM(X123:X126),"0")</f>
        <v>98</v>
      </c>
      <c r="Y127" s="276">
        <f>IFERROR(SUM(Y123:Y126),"0")</f>
        <v>98</v>
      </c>
      <c r="Z127" s="276">
        <f>IFERROR(IF(Z123="",0,Z123),"0")+IFERROR(IF(Z124="",0,Z124),"0")+IFERROR(IF(Z125="",0,Z125),"0")+IFERROR(IF(Z126="",0,Z126),"0")</f>
        <v>0.92218</v>
      </c>
      <c r="AA127" s="277"/>
      <c r="AB127" s="277"/>
      <c r="AC127" s="277"/>
    </row>
    <row r="128" spans="1:68" x14ac:dyDescent="0.2">
      <c r="A128" s="287"/>
      <c r="B128" s="287"/>
      <c r="C128" s="287"/>
      <c r="D128" s="287"/>
      <c r="E128" s="287"/>
      <c r="F128" s="287"/>
      <c r="G128" s="287"/>
      <c r="H128" s="287"/>
      <c r="I128" s="287"/>
      <c r="J128" s="287"/>
      <c r="K128" s="287"/>
      <c r="L128" s="287"/>
      <c r="M128" s="287"/>
      <c r="N128" s="287"/>
      <c r="O128" s="304"/>
      <c r="P128" s="288" t="s">
        <v>87</v>
      </c>
      <c r="Q128" s="289"/>
      <c r="R128" s="289"/>
      <c r="S128" s="289"/>
      <c r="T128" s="289"/>
      <c r="U128" s="289"/>
      <c r="V128" s="290"/>
      <c r="W128" s="37" t="s">
        <v>88</v>
      </c>
      <c r="X128" s="276">
        <f>IFERROR(SUMPRODUCT(X123:X126*H123:H126),"0")</f>
        <v>135.24</v>
      </c>
      <c r="Y128" s="276">
        <f>IFERROR(SUMPRODUCT(Y123:Y126*H123:H126),"0")</f>
        <v>135.24</v>
      </c>
      <c r="Z128" s="37"/>
      <c r="AA128" s="277"/>
      <c r="AB128" s="277"/>
      <c r="AC128" s="277"/>
    </row>
    <row r="129" spans="1:68" ht="14.25" hidden="1" customHeight="1" x14ac:dyDescent="0.25">
      <c r="A129" s="286" t="s">
        <v>217</v>
      </c>
      <c r="B129" s="287"/>
      <c r="C129" s="287"/>
      <c r="D129" s="287"/>
      <c r="E129" s="287"/>
      <c r="F129" s="287"/>
      <c r="G129" s="287"/>
      <c r="H129" s="287"/>
      <c r="I129" s="287"/>
      <c r="J129" s="287"/>
      <c r="K129" s="287"/>
      <c r="L129" s="287"/>
      <c r="M129" s="287"/>
      <c r="N129" s="287"/>
      <c r="O129" s="287"/>
      <c r="P129" s="287"/>
      <c r="Q129" s="287"/>
      <c r="R129" s="287"/>
      <c r="S129" s="287"/>
      <c r="T129" s="287"/>
      <c r="U129" s="287"/>
      <c r="V129" s="287"/>
      <c r="W129" s="287"/>
      <c r="X129" s="287"/>
      <c r="Y129" s="287"/>
      <c r="Z129" s="287"/>
      <c r="AA129" s="270"/>
      <c r="AB129" s="270"/>
      <c r="AC129" s="270"/>
    </row>
    <row r="130" spans="1:68" ht="27" hidden="1" customHeight="1" x14ac:dyDescent="0.25">
      <c r="A130" s="54" t="s">
        <v>218</v>
      </c>
      <c r="B130" s="54" t="s">
        <v>219</v>
      </c>
      <c r="C130" s="31">
        <v>4301190117</v>
      </c>
      <c r="D130" s="281">
        <v>4620207491386</v>
      </c>
      <c r="E130" s="282"/>
      <c r="F130" s="273">
        <v>0.18</v>
      </c>
      <c r="G130" s="32">
        <v>6</v>
      </c>
      <c r="H130" s="273">
        <v>1.08</v>
      </c>
      <c r="I130" s="273">
        <v>1.3979999999999999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2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0" s="279"/>
      <c r="R130" s="279"/>
      <c r="S130" s="279"/>
      <c r="T130" s="280"/>
      <c r="U130" s="34"/>
      <c r="V130" s="34"/>
      <c r="W130" s="35" t="s">
        <v>68</v>
      </c>
      <c r="X130" s="274">
        <v>0</v>
      </c>
      <c r="Y130" s="275">
        <f>IFERROR(IF(X130="","",X130),"")</f>
        <v>0</v>
      </c>
      <c r="Z130" s="36">
        <f>IFERROR(IF(X130="","",X130*0.00941),"")</f>
        <v>0</v>
      </c>
      <c r="AA130" s="56"/>
      <c r="AB130" s="57"/>
      <c r="AC130" s="168" t="s">
        <v>220</v>
      </c>
      <c r="AG130" s="67"/>
      <c r="AJ130" s="71" t="s">
        <v>70</v>
      </c>
      <c r="AK130" s="71">
        <v>1</v>
      </c>
      <c r="BB130" s="169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221</v>
      </c>
      <c r="B131" s="54" t="s">
        <v>222</v>
      </c>
      <c r="C131" s="31">
        <v>4301190115</v>
      </c>
      <c r="D131" s="281">
        <v>4620207491362</v>
      </c>
      <c r="E131" s="282"/>
      <c r="F131" s="273">
        <v>0.18</v>
      </c>
      <c r="G131" s="32">
        <v>6</v>
      </c>
      <c r="H131" s="273">
        <v>1.08</v>
      </c>
      <c r="I131" s="273">
        <v>1.3979999999999999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4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1" s="279"/>
      <c r="R131" s="279"/>
      <c r="S131" s="279"/>
      <c r="T131" s="280"/>
      <c r="U131" s="34"/>
      <c r="V131" s="34"/>
      <c r="W131" s="35" t="s">
        <v>68</v>
      </c>
      <c r="X131" s="274">
        <v>0</v>
      </c>
      <c r="Y131" s="275">
        <f>IFERROR(IF(X131="","",X131),"")</f>
        <v>0</v>
      </c>
      <c r="Z131" s="36">
        <f>IFERROR(IF(X131="","",X131*0.00941),"")</f>
        <v>0</v>
      </c>
      <c r="AA131" s="56"/>
      <c r="AB131" s="57"/>
      <c r="AC131" s="170" t="s">
        <v>220</v>
      </c>
      <c r="AG131" s="67"/>
      <c r="AJ131" s="71" t="s">
        <v>70</v>
      </c>
      <c r="AK131" s="71">
        <v>1</v>
      </c>
      <c r="BB131" s="171" t="s">
        <v>109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223</v>
      </c>
      <c r="B132" s="54" t="s">
        <v>224</v>
      </c>
      <c r="C132" s="31">
        <v>4301190116</v>
      </c>
      <c r="D132" s="281">
        <v>4620207491379</v>
      </c>
      <c r="E132" s="282"/>
      <c r="F132" s="273">
        <v>0.18</v>
      </c>
      <c r="G132" s="32">
        <v>6</v>
      </c>
      <c r="H132" s="273">
        <v>1.08</v>
      </c>
      <c r="I132" s="273">
        <v>1.3979999999999999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2" s="279"/>
      <c r="R132" s="279"/>
      <c r="S132" s="279"/>
      <c r="T132" s="280"/>
      <c r="U132" s="34"/>
      <c r="V132" s="34"/>
      <c r="W132" s="35" t="s">
        <v>68</v>
      </c>
      <c r="X132" s="274">
        <v>0</v>
      </c>
      <c r="Y132" s="275">
        <f>IFERROR(IF(X132="","",X132),"")</f>
        <v>0</v>
      </c>
      <c r="Z132" s="36">
        <f>IFERROR(IF(X132="","",X132*0.00941),"")</f>
        <v>0</v>
      </c>
      <c r="AA132" s="56"/>
      <c r="AB132" s="57"/>
      <c r="AC132" s="172" t="s">
        <v>220</v>
      </c>
      <c r="AG132" s="67"/>
      <c r="AJ132" s="71" t="s">
        <v>70</v>
      </c>
      <c r="AK132" s="71">
        <v>1</v>
      </c>
      <c r="BB132" s="173" t="s">
        <v>109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03"/>
      <c r="B133" s="287"/>
      <c r="C133" s="287"/>
      <c r="D133" s="287"/>
      <c r="E133" s="287"/>
      <c r="F133" s="287"/>
      <c r="G133" s="287"/>
      <c r="H133" s="287"/>
      <c r="I133" s="287"/>
      <c r="J133" s="287"/>
      <c r="K133" s="287"/>
      <c r="L133" s="287"/>
      <c r="M133" s="287"/>
      <c r="N133" s="287"/>
      <c r="O133" s="304"/>
      <c r="P133" s="288" t="s">
        <v>87</v>
      </c>
      <c r="Q133" s="289"/>
      <c r="R133" s="289"/>
      <c r="S133" s="289"/>
      <c r="T133" s="289"/>
      <c r="U133" s="289"/>
      <c r="V133" s="290"/>
      <c r="W133" s="37" t="s">
        <v>68</v>
      </c>
      <c r="X133" s="276">
        <f>IFERROR(SUM(X130:X132),"0")</f>
        <v>0</v>
      </c>
      <c r="Y133" s="276">
        <f>IFERROR(SUM(Y130:Y132),"0")</f>
        <v>0</v>
      </c>
      <c r="Z133" s="276">
        <f>IFERROR(IF(Z130="",0,Z130),"0")+IFERROR(IF(Z131="",0,Z131),"0")+IFERROR(IF(Z132="",0,Z132),"0")</f>
        <v>0</v>
      </c>
      <c r="AA133" s="277"/>
      <c r="AB133" s="277"/>
      <c r="AC133" s="277"/>
    </row>
    <row r="134" spans="1:68" hidden="1" x14ac:dyDescent="0.2">
      <c r="A134" s="287"/>
      <c r="B134" s="287"/>
      <c r="C134" s="287"/>
      <c r="D134" s="287"/>
      <c r="E134" s="287"/>
      <c r="F134" s="287"/>
      <c r="G134" s="287"/>
      <c r="H134" s="287"/>
      <c r="I134" s="287"/>
      <c r="J134" s="287"/>
      <c r="K134" s="287"/>
      <c r="L134" s="287"/>
      <c r="M134" s="287"/>
      <c r="N134" s="287"/>
      <c r="O134" s="304"/>
      <c r="P134" s="288" t="s">
        <v>87</v>
      </c>
      <c r="Q134" s="289"/>
      <c r="R134" s="289"/>
      <c r="S134" s="289"/>
      <c r="T134" s="289"/>
      <c r="U134" s="289"/>
      <c r="V134" s="290"/>
      <c r="W134" s="37" t="s">
        <v>88</v>
      </c>
      <c r="X134" s="276">
        <f>IFERROR(SUMPRODUCT(X130:X132*H130:H132),"0")</f>
        <v>0</v>
      </c>
      <c r="Y134" s="276">
        <f>IFERROR(SUMPRODUCT(Y130:Y132*H130:H132),"0")</f>
        <v>0</v>
      </c>
      <c r="Z134" s="37"/>
      <c r="AA134" s="277"/>
      <c r="AB134" s="277"/>
      <c r="AC134" s="277"/>
    </row>
    <row r="135" spans="1:68" ht="16.5" hidden="1" customHeight="1" x14ac:dyDescent="0.25">
      <c r="A135" s="295" t="s">
        <v>225</v>
      </c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87"/>
      <c r="S135" s="287"/>
      <c r="T135" s="287"/>
      <c r="U135" s="287"/>
      <c r="V135" s="287"/>
      <c r="W135" s="287"/>
      <c r="X135" s="287"/>
      <c r="Y135" s="287"/>
      <c r="Z135" s="287"/>
      <c r="AA135" s="269"/>
      <c r="AB135" s="269"/>
      <c r="AC135" s="269"/>
    </row>
    <row r="136" spans="1:68" ht="14.25" hidden="1" customHeight="1" x14ac:dyDescent="0.25">
      <c r="A136" s="286" t="s">
        <v>144</v>
      </c>
      <c r="B136" s="287"/>
      <c r="C136" s="287"/>
      <c r="D136" s="287"/>
      <c r="E136" s="287"/>
      <c r="F136" s="287"/>
      <c r="G136" s="287"/>
      <c r="H136" s="287"/>
      <c r="I136" s="287"/>
      <c r="J136" s="287"/>
      <c r="K136" s="287"/>
      <c r="L136" s="287"/>
      <c r="M136" s="287"/>
      <c r="N136" s="287"/>
      <c r="O136" s="287"/>
      <c r="P136" s="287"/>
      <c r="Q136" s="287"/>
      <c r="R136" s="287"/>
      <c r="S136" s="287"/>
      <c r="T136" s="287"/>
      <c r="U136" s="287"/>
      <c r="V136" s="287"/>
      <c r="W136" s="287"/>
      <c r="X136" s="287"/>
      <c r="Y136" s="287"/>
      <c r="Z136" s="287"/>
      <c r="AA136" s="270"/>
      <c r="AB136" s="270"/>
      <c r="AC136" s="270"/>
    </row>
    <row r="137" spans="1:68" ht="27" hidden="1" customHeight="1" x14ac:dyDescent="0.25">
      <c r="A137" s="54" t="s">
        <v>226</v>
      </c>
      <c r="B137" s="54" t="s">
        <v>227</v>
      </c>
      <c r="C137" s="31">
        <v>4301135956</v>
      </c>
      <c r="D137" s="281">
        <v>4620207491560</v>
      </c>
      <c r="E137" s="282"/>
      <c r="F137" s="273">
        <v>0.25</v>
      </c>
      <c r="G137" s="32">
        <v>12</v>
      </c>
      <c r="H137" s="273">
        <v>3</v>
      </c>
      <c r="I137" s="273">
        <v>3.7035999999999998</v>
      </c>
      <c r="J137" s="32">
        <v>70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6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37" s="279"/>
      <c r="R137" s="279"/>
      <c r="S137" s="279"/>
      <c r="T137" s="280"/>
      <c r="U137" s="34"/>
      <c r="V137" s="34"/>
      <c r="W137" s="35" t="s">
        <v>68</v>
      </c>
      <c r="X137" s="274">
        <v>0</v>
      </c>
      <c r="Y137" s="275">
        <f>IFERROR(IF(X137="","",X137),"")</f>
        <v>0</v>
      </c>
      <c r="Z137" s="36">
        <f>IFERROR(IF(X137="","",X137*0.01788),"")</f>
        <v>0</v>
      </c>
      <c r="AA137" s="56"/>
      <c r="AB137" s="57"/>
      <c r="AC137" s="174" t="s">
        <v>228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customHeight="1" x14ac:dyDescent="0.25">
      <c r="A138" s="54" t="s">
        <v>229</v>
      </c>
      <c r="B138" s="54" t="s">
        <v>230</v>
      </c>
      <c r="C138" s="31">
        <v>4301135962</v>
      </c>
      <c r="D138" s="281">
        <v>4620207491584</v>
      </c>
      <c r="E138" s="282"/>
      <c r="F138" s="273">
        <v>0.25</v>
      </c>
      <c r="G138" s="32">
        <v>12</v>
      </c>
      <c r="H138" s="273">
        <v>3</v>
      </c>
      <c r="I138" s="273">
        <v>3.7035999999999998</v>
      </c>
      <c r="J138" s="32">
        <v>70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376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38" s="279"/>
      <c r="R138" s="279"/>
      <c r="S138" s="279"/>
      <c r="T138" s="280"/>
      <c r="U138" s="34"/>
      <c r="V138" s="34"/>
      <c r="W138" s="35" t="s">
        <v>68</v>
      </c>
      <c r="X138" s="274">
        <v>84</v>
      </c>
      <c r="Y138" s="275">
        <f>IFERROR(IF(X138="","",X138),"")</f>
        <v>84</v>
      </c>
      <c r="Z138" s="36">
        <f>IFERROR(IF(X138="","",X138*0.01788),"")</f>
        <v>1.5019199999999999</v>
      </c>
      <c r="AA138" s="56"/>
      <c r="AB138" s="57"/>
      <c r="AC138" s="176" t="s">
        <v>228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311.10239999999999</v>
      </c>
      <c r="BN138" s="67">
        <f>IFERROR(Y138*I138,"0")</f>
        <v>311.10239999999999</v>
      </c>
      <c r="BO138" s="67">
        <f>IFERROR(X138/J138,"0")</f>
        <v>1.2</v>
      </c>
      <c r="BP138" s="67">
        <f>IFERROR(Y138/J138,"0")</f>
        <v>1.2</v>
      </c>
    </row>
    <row r="139" spans="1:68" x14ac:dyDescent="0.2">
      <c r="A139" s="303"/>
      <c r="B139" s="287"/>
      <c r="C139" s="287"/>
      <c r="D139" s="287"/>
      <c r="E139" s="287"/>
      <c r="F139" s="287"/>
      <c r="G139" s="287"/>
      <c r="H139" s="287"/>
      <c r="I139" s="287"/>
      <c r="J139" s="287"/>
      <c r="K139" s="287"/>
      <c r="L139" s="287"/>
      <c r="M139" s="287"/>
      <c r="N139" s="287"/>
      <c r="O139" s="304"/>
      <c r="P139" s="288" t="s">
        <v>87</v>
      </c>
      <c r="Q139" s="289"/>
      <c r="R139" s="289"/>
      <c r="S139" s="289"/>
      <c r="T139" s="289"/>
      <c r="U139" s="289"/>
      <c r="V139" s="290"/>
      <c r="W139" s="37" t="s">
        <v>68</v>
      </c>
      <c r="X139" s="276">
        <f>IFERROR(SUM(X137:X138),"0")</f>
        <v>84</v>
      </c>
      <c r="Y139" s="276">
        <f>IFERROR(SUM(Y137:Y138),"0")</f>
        <v>84</v>
      </c>
      <c r="Z139" s="276">
        <f>IFERROR(IF(Z137="",0,Z137),"0")+IFERROR(IF(Z138="",0,Z138),"0")</f>
        <v>1.5019199999999999</v>
      </c>
      <c r="AA139" s="277"/>
      <c r="AB139" s="277"/>
      <c r="AC139" s="277"/>
    </row>
    <row r="140" spans="1:68" x14ac:dyDescent="0.2">
      <c r="A140" s="287"/>
      <c r="B140" s="287"/>
      <c r="C140" s="287"/>
      <c r="D140" s="287"/>
      <c r="E140" s="287"/>
      <c r="F140" s="287"/>
      <c r="G140" s="287"/>
      <c r="H140" s="287"/>
      <c r="I140" s="287"/>
      <c r="J140" s="287"/>
      <c r="K140" s="287"/>
      <c r="L140" s="287"/>
      <c r="M140" s="287"/>
      <c r="N140" s="287"/>
      <c r="O140" s="304"/>
      <c r="P140" s="288" t="s">
        <v>87</v>
      </c>
      <c r="Q140" s="289"/>
      <c r="R140" s="289"/>
      <c r="S140" s="289"/>
      <c r="T140" s="289"/>
      <c r="U140" s="289"/>
      <c r="V140" s="290"/>
      <c r="W140" s="37" t="s">
        <v>88</v>
      </c>
      <c r="X140" s="276">
        <f>IFERROR(SUMPRODUCT(X137:X138*H137:H138),"0")</f>
        <v>252</v>
      </c>
      <c r="Y140" s="276">
        <f>IFERROR(SUMPRODUCT(Y137:Y138*H137:H138),"0")</f>
        <v>252</v>
      </c>
      <c r="Z140" s="37"/>
      <c r="AA140" s="277"/>
      <c r="AB140" s="277"/>
      <c r="AC140" s="277"/>
    </row>
    <row r="141" spans="1:68" ht="16.5" hidden="1" customHeight="1" x14ac:dyDescent="0.25">
      <c r="A141" s="295" t="s">
        <v>231</v>
      </c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87"/>
      <c r="S141" s="287"/>
      <c r="T141" s="287"/>
      <c r="U141" s="287"/>
      <c r="V141" s="287"/>
      <c r="W141" s="287"/>
      <c r="X141" s="287"/>
      <c r="Y141" s="287"/>
      <c r="Z141" s="287"/>
      <c r="AA141" s="269"/>
      <c r="AB141" s="269"/>
      <c r="AC141" s="269"/>
    </row>
    <row r="142" spans="1:68" ht="14.25" hidden="1" customHeight="1" x14ac:dyDescent="0.25">
      <c r="A142" s="286" t="s">
        <v>144</v>
      </c>
      <c r="B142" s="287"/>
      <c r="C142" s="287"/>
      <c r="D142" s="287"/>
      <c r="E142" s="287"/>
      <c r="F142" s="287"/>
      <c r="G142" s="287"/>
      <c r="H142" s="287"/>
      <c r="I142" s="287"/>
      <c r="J142" s="287"/>
      <c r="K142" s="287"/>
      <c r="L142" s="287"/>
      <c r="M142" s="287"/>
      <c r="N142" s="287"/>
      <c r="O142" s="287"/>
      <c r="P142" s="287"/>
      <c r="Q142" s="287"/>
      <c r="R142" s="287"/>
      <c r="S142" s="287"/>
      <c r="T142" s="287"/>
      <c r="U142" s="287"/>
      <c r="V142" s="287"/>
      <c r="W142" s="287"/>
      <c r="X142" s="287"/>
      <c r="Y142" s="287"/>
      <c r="Z142" s="287"/>
      <c r="AA142" s="270"/>
      <c r="AB142" s="270"/>
      <c r="AC142" s="270"/>
    </row>
    <row r="143" spans="1:68" ht="27" hidden="1" customHeight="1" x14ac:dyDescent="0.25">
      <c r="A143" s="54" t="s">
        <v>232</v>
      </c>
      <c r="B143" s="54" t="s">
        <v>233</v>
      </c>
      <c r="C143" s="31">
        <v>4301135954</v>
      </c>
      <c r="D143" s="281">
        <v>4620207491768</v>
      </c>
      <c r="E143" s="282"/>
      <c r="F143" s="273">
        <v>0.25</v>
      </c>
      <c r="G143" s="32">
        <v>12</v>
      </c>
      <c r="H143" s="273">
        <v>3</v>
      </c>
      <c r="I143" s="273">
        <v>3.7480000000000002</v>
      </c>
      <c r="J143" s="32">
        <v>70</v>
      </c>
      <c r="K143" s="32" t="s">
        <v>105</v>
      </c>
      <c r="L143" s="32" t="s">
        <v>66</v>
      </c>
      <c r="M143" s="33" t="s">
        <v>67</v>
      </c>
      <c r="N143" s="33"/>
      <c r="O143" s="32">
        <v>180</v>
      </c>
      <c r="P143" s="393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43" s="279"/>
      <c r="R143" s="279"/>
      <c r="S143" s="279"/>
      <c r="T143" s="280"/>
      <c r="U143" s="34"/>
      <c r="V143" s="34"/>
      <c r="W143" s="35" t="s">
        <v>68</v>
      </c>
      <c r="X143" s="274">
        <v>0</v>
      </c>
      <c r="Y143" s="275">
        <f>IFERROR(IF(X143="","",X143),"")</f>
        <v>0</v>
      </c>
      <c r="Z143" s="36">
        <f>IFERROR(IF(X143="","",X143*0.01788),"")</f>
        <v>0</v>
      </c>
      <c r="AA143" s="56"/>
      <c r="AB143" s="57"/>
      <c r="AC143" s="178" t="s">
        <v>234</v>
      </c>
      <c r="AG143" s="67"/>
      <c r="AJ143" s="71" t="s">
        <v>70</v>
      </c>
      <c r="AK143" s="71">
        <v>1</v>
      </c>
      <c r="BB143" s="179" t="s">
        <v>109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t="16.5" customHeight="1" x14ac:dyDescent="0.25">
      <c r="A144" s="54" t="s">
        <v>235</v>
      </c>
      <c r="B144" s="54" t="s">
        <v>236</v>
      </c>
      <c r="C144" s="31">
        <v>4301135946</v>
      </c>
      <c r="D144" s="281">
        <v>4620207491553</v>
      </c>
      <c r="E144" s="282"/>
      <c r="F144" s="273">
        <v>0.25</v>
      </c>
      <c r="G144" s="32">
        <v>12</v>
      </c>
      <c r="H144" s="273">
        <v>3</v>
      </c>
      <c r="I144" s="273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285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44" s="279"/>
      <c r="R144" s="279"/>
      <c r="S144" s="279"/>
      <c r="T144" s="280"/>
      <c r="U144" s="34"/>
      <c r="V144" s="34"/>
      <c r="W144" s="35" t="s">
        <v>68</v>
      </c>
      <c r="X144" s="274">
        <v>28</v>
      </c>
      <c r="Y144" s="275">
        <f>IFERROR(IF(X144="","",X144),"")</f>
        <v>28</v>
      </c>
      <c r="Z144" s="36">
        <f>IFERROR(IF(X144="","",X144*0.01788),"")</f>
        <v>0.50063999999999997</v>
      </c>
      <c r="AA144" s="56"/>
      <c r="AB144" s="57"/>
      <c r="AC144" s="180" t="s">
        <v>234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103.70079999999999</v>
      </c>
      <c r="BN144" s="67">
        <f>IFERROR(Y144*I144,"0")</f>
        <v>103.70079999999999</v>
      </c>
      <c r="BO144" s="67">
        <f>IFERROR(X144/J144,"0")</f>
        <v>0.4</v>
      </c>
      <c r="BP144" s="67">
        <f>IFERROR(Y144/J144,"0")</f>
        <v>0.4</v>
      </c>
    </row>
    <row r="145" spans="1:68" x14ac:dyDescent="0.2">
      <c r="A145" s="303"/>
      <c r="B145" s="287"/>
      <c r="C145" s="287"/>
      <c r="D145" s="287"/>
      <c r="E145" s="287"/>
      <c r="F145" s="287"/>
      <c r="G145" s="287"/>
      <c r="H145" s="287"/>
      <c r="I145" s="287"/>
      <c r="J145" s="287"/>
      <c r="K145" s="287"/>
      <c r="L145" s="287"/>
      <c r="M145" s="287"/>
      <c r="N145" s="287"/>
      <c r="O145" s="304"/>
      <c r="P145" s="288" t="s">
        <v>87</v>
      </c>
      <c r="Q145" s="289"/>
      <c r="R145" s="289"/>
      <c r="S145" s="289"/>
      <c r="T145" s="289"/>
      <c r="U145" s="289"/>
      <c r="V145" s="290"/>
      <c r="W145" s="37" t="s">
        <v>68</v>
      </c>
      <c r="X145" s="276">
        <f>IFERROR(SUM(X143:X144),"0")</f>
        <v>28</v>
      </c>
      <c r="Y145" s="276">
        <f>IFERROR(SUM(Y143:Y144),"0")</f>
        <v>28</v>
      </c>
      <c r="Z145" s="276">
        <f>IFERROR(IF(Z143="",0,Z143),"0")+IFERROR(IF(Z144="",0,Z144),"0")</f>
        <v>0.50063999999999997</v>
      </c>
      <c r="AA145" s="277"/>
      <c r="AB145" s="277"/>
      <c r="AC145" s="277"/>
    </row>
    <row r="146" spans="1:68" x14ac:dyDescent="0.2">
      <c r="A146" s="287"/>
      <c r="B146" s="287"/>
      <c r="C146" s="287"/>
      <c r="D146" s="287"/>
      <c r="E146" s="287"/>
      <c r="F146" s="287"/>
      <c r="G146" s="287"/>
      <c r="H146" s="287"/>
      <c r="I146" s="287"/>
      <c r="J146" s="287"/>
      <c r="K146" s="287"/>
      <c r="L146" s="287"/>
      <c r="M146" s="287"/>
      <c r="N146" s="287"/>
      <c r="O146" s="304"/>
      <c r="P146" s="288" t="s">
        <v>87</v>
      </c>
      <c r="Q146" s="289"/>
      <c r="R146" s="289"/>
      <c r="S146" s="289"/>
      <c r="T146" s="289"/>
      <c r="U146" s="289"/>
      <c r="V146" s="290"/>
      <c r="W146" s="37" t="s">
        <v>88</v>
      </c>
      <c r="X146" s="276">
        <f>IFERROR(SUMPRODUCT(X143:X144*H143:H144),"0")</f>
        <v>84</v>
      </c>
      <c r="Y146" s="276">
        <f>IFERROR(SUMPRODUCT(Y143:Y144*H143:H144),"0")</f>
        <v>84</v>
      </c>
      <c r="Z146" s="37"/>
      <c r="AA146" s="277"/>
      <c r="AB146" s="277"/>
      <c r="AC146" s="277"/>
    </row>
    <row r="147" spans="1:68" ht="16.5" hidden="1" customHeight="1" x14ac:dyDescent="0.25">
      <c r="A147" s="295" t="s">
        <v>237</v>
      </c>
      <c r="B147" s="287"/>
      <c r="C147" s="287"/>
      <c r="D147" s="287"/>
      <c r="E147" s="287"/>
      <c r="F147" s="287"/>
      <c r="G147" s="287"/>
      <c r="H147" s="287"/>
      <c r="I147" s="287"/>
      <c r="J147" s="287"/>
      <c r="K147" s="287"/>
      <c r="L147" s="287"/>
      <c r="M147" s="287"/>
      <c r="N147" s="287"/>
      <c r="O147" s="287"/>
      <c r="P147" s="287"/>
      <c r="Q147" s="287"/>
      <c r="R147" s="287"/>
      <c r="S147" s="287"/>
      <c r="T147" s="287"/>
      <c r="U147" s="287"/>
      <c r="V147" s="287"/>
      <c r="W147" s="287"/>
      <c r="X147" s="287"/>
      <c r="Y147" s="287"/>
      <c r="Z147" s="287"/>
      <c r="AA147" s="269"/>
      <c r="AB147" s="269"/>
      <c r="AC147" s="269"/>
    </row>
    <row r="148" spans="1:68" ht="14.25" hidden="1" customHeight="1" x14ac:dyDescent="0.25">
      <c r="A148" s="286" t="s">
        <v>144</v>
      </c>
      <c r="B148" s="287"/>
      <c r="C148" s="287"/>
      <c r="D148" s="287"/>
      <c r="E148" s="287"/>
      <c r="F148" s="287"/>
      <c r="G148" s="287"/>
      <c r="H148" s="287"/>
      <c r="I148" s="287"/>
      <c r="J148" s="287"/>
      <c r="K148" s="287"/>
      <c r="L148" s="287"/>
      <c r="M148" s="287"/>
      <c r="N148" s="287"/>
      <c r="O148" s="287"/>
      <c r="P148" s="287"/>
      <c r="Q148" s="287"/>
      <c r="R148" s="287"/>
      <c r="S148" s="287"/>
      <c r="T148" s="287"/>
      <c r="U148" s="287"/>
      <c r="V148" s="287"/>
      <c r="W148" s="287"/>
      <c r="X148" s="287"/>
      <c r="Y148" s="287"/>
      <c r="Z148" s="287"/>
      <c r="AA148" s="270"/>
      <c r="AB148" s="270"/>
      <c r="AC148" s="270"/>
    </row>
    <row r="149" spans="1:68" ht="27" hidden="1" customHeight="1" x14ac:dyDescent="0.25">
      <c r="A149" s="54" t="s">
        <v>238</v>
      </c>
      <c r="B149" s="54" t="s">
        <v>239</v>
      </c>
      <c r="C149" s="31">
        <v>4301135926</v>
      </c>
      <c r="D149" s="281">
        <v>4620207491669</v>
      </c>
      <c r="E149" s="282"/>
      <c r="F149" s="273">
        <v>0.2</v>
      </c>
      <c r="G149" s="32">
        <v>12</v>
      </c>
      <c r="H149" s="273">
        <v>2.4</v>
      </c>
      <c r="I149" s="273">
        <v>2.68</v>
      </c>
      <c r="J149" s="32">
        <v>70</v>
      </c>
      <c r="K149" s="32" t="s">
        <v>105</v>
      </c>
      <c r="L149" s="32" t="s">
        <v>66</v>
      </c>
      <c r="M149" s="33" t="s">
        <v>67</v>
      </c>
      <c r="N149" s="33"/>
      <c r="O149" s="32">
        <v>180</v>
      </c>
      <c r="P149" s="458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49" s="279"/>
      <c r="R149" s="279"/>
      <c r="S149" s="279"/>
      <c r="T149" s="280"/>
      <c r="U149" s="34"/>
      <c r="V149" s="34"/>
      <c r="W149" s="35" t="s">
        <v>68</v>
      </c>
      <c r="X149" s="274">
        <v>0</v>
      </c>
      <c r="Y149" s="275">
        <f>IFERROR(IF(X149="","",X149),"")</f>
        <v>0</v>
      </c>
      <c r="Z149" s="36">
        <f>IFERROR(IF(X149="","",X149*0.01788),"")</f>
        <v>0</v>
      </c>
      <c r="AA149" s="56"/>
      <c r="AB149" s="57"/>
      <c r="AC149" s="182" t="s">
        <v>240</v>
      </c>
      <c r="AG149" s="67"/>
      <c r="AJ149" s="71" t="s">
        <v>70</v>
      </c>
      <c r="AK149" s="71">
        <v>1</v>
      </c>
      <c r="BB149" s="183" t="s">
        <v>109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t="27" customHeight="1" x14ac:dyDescent="0.25">
      <c r="A150" s="54" t="s">
        <v>241</v>
      </c>
      <c r="B150" s="54" t="s">
        <v>242</v>
      </c>
      <c r="C150" s="31">
        <v>4301135932</v>
      </c>
      <c r="D150" s="281">
        <v>4620207491676</v>
      </c>
      <c r="E150" s="282"/>
      <c r="F150" s="273">
        <v>0.2</v>
      </c>
      <c r="G150" s="32">
        <v>12</v>
      </c>
      <c r="H150" s="273">
        <v>2.4</v>
      </c>
      <c r="I150" s="273">
        <v>2.68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01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0" s="279"/>
      <c r="R150" s="279"/>
      <c r="S150" s="279"/>
      <c r="T150" s="280"/>
      <c r="U150" s="34"/>
      <c r="V150" s="34"/>
      <c r="W150" s="35" t="s">
        <v>68</v>
      </c>
      <c r="X150" s="274">
        <v>14</v>
      </c>
      <c r="Y150" s="275">
        <f>IFERROR(IF(X150="","",X150),"")</f>
        <v>14</v>
      </c>
      <c r="Z150" s="36">
        <f>IFERROR(IF(X150="","",X150*0.01788),"")</f>
        <v>0.25031999999999999</v>
      </c>
      <c r="AA150" s="56"/>
      <c r="AB150" s="57"/>
      <c r="AC150" s="184" t="s">
        <v>240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37.520000000000003</v>
      </c>
      <c r="BN150" s="67">
        <f>IFERROR(Y150*I150,"0")</f>
        <v>37.520000000000003</v>
      </c>
      <c r="BO150" s="67">
        <f>IFERROR(X150/J150,"0")</f>
        <v>0.2</v>
      </c>
      <c r="BP150" s="67">
        <f>IFERROR(Y150/J150,"0")</f>
        <v>0.2</v>
      </c>
    </row>
    <row r="151" spans="1:68" x14ac:dyDescent="0.2">
      <c r="A151" s="303"/>
      <c r="B151" s="287"/>
      <c r="C151" s="287"/>
      <c r="D151" s="287"/>
      <c r="E151" s="287"/>
      <c r="F151" s="287"/>
      <c r="G151" s="287"/>
      <c r="H151" s="287"/>
      <c r="I151" s="287"/>
      <c r="J151" s="287"/>
      <c r="K151" s="287"/>
      <c r="L151" s="287"/>
      <c r="M151" s="287"/>
      <c r="N151" s="287"/>
      <c r="O151" s="304"/>
      <c r="P151" s="288" t="s">
        <v>87</v>
      </c>
      <c r="Q151" s="289"/>
      <c r="R151" s="289"/>
      <c r="S151" s="289"/>
      <c r="T151" s="289"/>
      <c r="U151" s="289"/>
      <c r="V151" s="290"/>
      <c r="W151" s="37" t="s">
        <v>68</v>
      </c>
      <c r="X151" s="276">
        <f>IFERROR(SUM(X149:X150),"0")</f>
        <v>14</v>
      </c>
      <c r="Y151" s="276">
        <f>IFERROR(SUM(Y149:Y150),"0")</f>
        <v>14</v>
      </c>
      <c r="Z151" s="276">
        <f>IFERROR(IF(Z149="",0,Z149),"0")+IFERROR(IF(Z150="",0,Z150),"0")</f>
        <v>0.25031999999999999</v>
      </c>
      <c r="AA151" s="277"/>
      <c r="AB151" s="277"/>
      <c r="AC151" s="277"/>
    </row>
    <row r="152" spans="1:68" x14ac:dyDescent="0.2">
      <c r="A152" s="287"/>
      <c r="B152" s="287"/>
      <c r="C152" s="287"/>
      <c r="D152" s="287"/>
      <c r="E152" s="287"/>
      <c r="F152" s="287"/>
      <c r="G152" s="287"/>
      <c r="H152" s="287"/>
      <c r="I152" s="287"/>
      <c r="J152" s="287"/>
      <c r="K152" s="287"/>
      <c r="L152" s="287"/>
      <c r="M152" s="287"/>
      <c r="N152" s="287"/>
      <c r="O152" s="304"/>
      <c r="P152" s="288" t="s">
        <v>87</v>
      </c>
      <c r="Q152" s="289"/>
      <c r="R152" s="289"/>
      <c r="S152" s="289"/>
      <c r="T152" s="289"/>
      <c r="U152" s="289"/>
      <c r="V152" s="290"/>
      <c r="W152" s="37" t="s">
        <v>88</v>
      </c>
      <c r="X152" s="276">
        <f>IFERROR(SUMPRODUCT(X149:X150*H149:H150),"0")</f>
        <v>33.6</v>
      </c>
      <c r="Y152" s="276">
        <f>IFERROR(SUMPRODUCT(Y149:Y150*H149:H150),"0")</f>
        <v>33.6</v>
      </c>
      <c r="Z152" s="37"/>
      <c r="AA152" s="277"/>
      <c r="AB152" s="277"/>
      <c r="AC152" s="277"/>
    </row>
    <row r="153" spans="1:68" ht="16.5" hidden="1" customHeight="1" x14ac:dyDescent="0.25">
      <c r="A153" s="295" t="s">
        <v>243</v>
      </c>
      <c r="B153" s="287"/>
      <c r="C153" s="287"/>
      <c r="D153" s="287"/>
      <c r="E153" s="287"/>
      <c r="F153" s="287"/>
      <c r="G153" s="287"/>
      <c r="H153" s="287"/>
      <c r="I153" s="287"/>
      <c r="J153" s="287"/>
      <c r="K153" s="287"/>
      <c r="L153" s="287"/>
      <c r="M153" s="287"/>
      <c r="N153" s="287"/>
      <c r="O153" s="287"/>
      <c r="P153" s="287"/>
      <c r="Q153" s="287"/>
      <c r="R153" s="287"/>
      <c r="S153" s="287"/>
      <c r="T153" s="287"/>
      <c r="U153" s="287"/>
      <c r="V153" s="287"/>
      <c r="W153" s="287"/>
      <c r="X153" s="287"/>
      <c r="Y153" s="287"/>
      <c r="Z153" s="287"/>
      <c r="AA153" s="269"/>
      <c r="AB153" s="269"/>
      <c r="AC153" s="269"/>
    </row>
    <row r="154" spans="1:68" ht="14.25" hidden="1" customHeight="1" x14ac:dyDescent="0.25">
      <c r="A154" s="286" t="s">
        <v>144</v>
      </c>
      <c r="B154" s="287"/>
      <c r="C154" s="287"/>
      <c r="D154" s="287"/>
      <c r="E154" s="287"/>
      <c r="F154" s="287"/>
      <c r="G154" s="287"/>
      <c r="H154" s="287"/>
      <c r="I154" s="287"/>
      <c r="J154" s="287"/>
      <c r="K154" s="287"/>
      <c r="L154" s="287"/>
      <c r="M154" s="287"/>
      <c r="N154" s="287"/>
      <c r="O154" s="287"/>
      <c r="P154" s="287"/>
      <c r="Q154" s="287"/>
      <c r="R154" s="287"/>
      <c r="S154" s="287"/>
      <c r="T154" s="287"/>
      <c r="U154" s="287"/>
      <c r="V154" s="287"/>
      <c r="W154" s="287"/>
      <c r="X154" s="287"/>
      <c r="Y154" s="287"/>
      <c r="Z154" s="287"/>
      <c r="AA154" s="270"/>
      <c r="AB154" s="270"/>
      <c r="AC154" s="270"/>
    </row>
    <row r="155" spans="1:68" ht="27" hidden="1" customHeight="1" x14ac:dyDescent="0.25">
      <c r="A155" s="54" t="s">
        <v>244</v>
      </c>
      <c r="B155" s="54" t="s">
        <v>245</v>
      </c>
      <c r="C155" s="31">
        <v>4301135940</v>
      </c>
      <c r="D155" s="281">
        <v>4620207491614</v>
      </c>
      <c r="E155" s="282"/>
      <c r="F155" s="273">
        <v>0.25</v>
      </c>
      <c r="G155" s="32">
        <v>12</v>
      </c>
      <c r="H155" s="273">
        <v>3</v>
      </c>
      <c r="I155" s="273">
        <v>3.7035999999999998</v>
      </c>
      <c r="J155" s="32">
        <v>70</v>
      </c>
      <c r="K155" s="32" t="s">
        <v>105</v>
      </c>
      <c r="L155" s="32" t="s">
        <v>66</v>
      </c>
      <c r="M155" s="33" t="s">
        <v>67</v>
      </c>
      <c r="N155" s="33"/>
      <c r="O155" s="32">
        <v>180</v>
      </c>
      <c r="P155" s="296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55" s="279"/>
      <c r="R155" s="279"/>
      <c r="S155" s="279"/>
      <c r="T155" s="280"/>
      <c r="U155" s="34"/>
      <c r="V155" s="34"/>
      <c r="W155" s="35" t="s">
        <v>68</v>
      </c>
      <c r="X155" s="274">
        <v>0</v>
      </c>
      <c r="Y155" s="275">
        <f>IFERROR(IF(X155="","",X155),"")</f>
        <v>0</v>
      </c>
      <c r="Z155" s="36">
        <f>IFERROR(IF(X155="","",X155*0.01788),"")</f>
        <v>0</v>
      </c>
      <c r="AA155" s="56"/>
      <c r="AB155" s="57"/>
      <c r="AC155" s="186" t="s">
        <v>147</v>
      </c>
      <c r="AG155" s="67"/>
      <c r="AJ155" s="71" t="s">
        <v>70</v>
      </c>
      <c r="AK155" s="71">
        <v>1</v>
      </c>
      <c r="BB155" s="187" t="s">
        <v>109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hidden="1" x14ac:dyDescent="0.2">
      <c r="A156" s="303"/>
      <c r="B156" s="287"/>
      <c r="C156" s="287"/>
      <c r="D156" s="287"/>
      <c r="E156" s="287"/>
      <c r="F156" s="287"/>
      <c r="G156" s="287"/>
      <c r="H156" s="287"/>
      <c r="I156" s="287"/>
      <c r="J156" s="287"/>
      <c r="K156" s="287"/>
      <c r="L156" s="287"/>
      <c r="M156" s="287"/>
      <c r="N156" s="287"/>
      <c r="O156" s="304"/>
      <c r="P156" s="288" t="s">
        <v>87</v>
      </c>
      <c r="Q156" s="289"/>
      <c r="R156" s="289"/>
      <c r="S156" s="289"/>
      <c r="T156" s="289"/>
      <c r="U156" s="289"/>
      <c r="V156" s="290"/>
      <c r="W156" s="37" t="s">
        <v>68</v>
      </c>
      <c r="X156" s="276">
        <f>IFERROR(SUM(X155:X155),"0")</f>
        <v>0</v>
      </c>
      <c r="Y156" s="276">
        <f>IFERROR(SUM(Y155:Y155),"0")</f>
        <v>0</v>
      </c>
      <c r="Z156" s="276">
        <f>IFERROR(IF(Z155="",0,Z155),"0")</f>
        <v>0</v>
      </c>
      <c r="AA156" s="277"/>
      <c r="AB156" s="277"/>
      <c r="AC156" s="277"/>
    </row>
    <row r="157" spans="1:68" hidden="1" x14ac:dyDescent="0.2">
      <c r="A157" s="287"/>
      <c r="B157" s="287"/>
      <c r="C157" s="287"/>
      <c r="D157" s="287"/>
      <c r="E157" s="287"/>
      <c r="F157" s="287"/>
      <c r="G157" s="287"/>
      <c r="H157" s="287"/>
      <c r="I157" s="287"/>
      <c r="J157" s="287"/>
      <c r="K157" s="287"/>
      <c r="L157" s="287"/>
      <c r="M157" s="287"/>
      <c r="N157" s="287"/>
      <c r="O157" s="304"/>
      <c r="P157" s="288" t="s">
        <v>87</v>
      </c>
      <c r="Q157" s="289"/>
      <c r="R157" s="289"/>
      <c r="S157" s="289"/>
      <c r="T157" s="289"/>
      <c r="U157" s="289"/>
      <c r="V157" s="290"/>
      <c r="W157" s="37" t="s">
        <v>88</v>
      </c>
      <c r="X157" s="276">
        <f>IFERROR(SUMPRODUCT(X155:X155*H155:H155),"0")</f>
        <v>0</v>
      </c>
      <c r="Y157" s="276">
        <f>IFERROR(SUMPRODUCT(Y155:Y155*H155:H155),"0")</f>
        <v>0</v>
      </c>
      <c r="Z157" s="37"/>
      <c r="AA157" s="277"/>
      <c r="AB157" s="277"/>
      <c r="AC157" s="277"/>
    </row>
    <row r="158" spans="1:68" ht="16.5" hidden="1" customHeight="1" x14ac:dyDescent="0.25">
      <c r="A158" s="295" t="s">
        <v>246</v>
      </c>
      <c r="B158" s="287"/>
      <c r="C158" s="287"/>
      <c r="D158" s="287"/>
      <c r="E158" s="287"/>
      <c r="F158" s="287"/>
      <c r="G158" s="287"/>
      <c r="H158" s="287"/>
      <c r="I158" s="287"/>
      <c r="J158" s="287"/>
      <c r="K158" s="287"/>
      <c r="L158" s="287"/>
      <c r="M158" s="287"/>
      <c r="N158" s="287"/>
      <c r="O158" s="287"/>
      <c r="P158" s="287"/>
      <c r="Q158" s="287"/>
      <c r="R158" s="287"/>
      <c r="S158" s="287"/>
      <c r="T158" s="287"/>
      <c r="U158" s="287"/>
      <c r="V158" s="287"/>
      <c r="W158" s="287"/>
      <c r="X158" s="287"/>
      <c r="Y158" s="287"/>
      <c r="Z158" s="287"/>
      <c r="AA158" s="269"/>
      <c r="AB158" s="269"/>
      <c r="AC158" s="269"/>
    </row>
    <row r="159" spans="1:68" ht="14.25" hidden="1" customHeight="1" x14ac:dyDescent="0.25">
      <c r="A159" s="286" t="s">
        <v>144</v>
      </c>
      <c r="B159" s="287"/>
      <c r="C159" s="287"/>
      <c r="D159" s="287"/>
      <c r="E159" s="287"/>
      <c r="F159" s="287"/>
      <c r="G159" s="287"/>
      <c r="H159" s="287"/>
      <c r="I159" s="287"/>
      <c r="J159" s="287"/>
      <c r="K159" s="287"/>
      <c r="L159" s="287"/>
      <c r="M159" s="287"/>
      <c r="N159" s="287"/>
      <c r="O159" s="287"/>
      <c r="P159" s="287"/>
      <c r="Q159" s="287"/>
      <c r="R159" s="287"/>
      <c r="S159" s="287"/>
      <c r="T159" s="287"/>
      <c r="U159" s="287"/>
      <c r="V159" s="287"/>
      <c r="W159" s="287"/>
      <c r="X159" s="287"/>
      <c r="Y159" s="287"/>
      <c r="Z159" s="287"/>
      <c r="AA159" s="270"/>
      <c r="AB159" s="270"/>
      <c r="AC159" s="270"/>
    </row>
    <row r="160" spans="1:68" ht="16.5" hidden="1" customHeight="1" x14ac:dyDescent="0.25">
      <c r="A160" s="54" t="s">
        <v>247</v>
      </c>
      <c r="B160" s="54" t="s">
        <v>248</v>
      </c>
      <c r="C160" s="31">
        <v>4301135607</v>
      </c>
      <c r="D160" s="281">
        <v>4607111039613</v>
      </c>
      <c r="E160" s="282"/>
      <c r="F160" s="273">
        <v>0.09</v>
      </c>
      <c r="G160" s="32">
        <v>30</v>
      </c>
      <c r="H160" s="273">
        <v>2.7</v>
      </c>
      <c r="I160" s="273">
        <v>3.09</v>
      </c>
      <c r="J160" s="32">
        <v>126</v>
      </c>
      <c r="K160" s="32" t="s">
        <v>105</v>
      </c>
      <c r="L160" s="32" t="s">
        <v>106</v>
      </c>
      <c r="M160" s="33" t="s">
        <v>67</v>
      </c>
      <c r="N160" s="33"/>
      <c r="O160" s="32">
        <v>180</v>
      </c>
      <c r="P160" s="31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0" s="279"/>
      <c r="R160" s="279"/>
      <c r="S160" s="279"/>
      <c r="T160" s="280"/>
      <c r="U160" s="34"/>
      <c r="V160" s="34"/>
      <c r="W160" s="35" t="s">
        <v>68</v>
      </c>
      <c r="X160" s="274">
        <v>0</v>
      </c>
      <c r="Y160" s="275">
        <f>IFERROR(IF(X160="","",X160),"")</f>
        <v>0</v>
      </c>
      <c r="Z160" s="36">
        <f>IFERROR(IF(X160="","",X160*0.00936),"")</f>
        <v>0</v>
      </c>
      <c r="AA160" s="56"/>
      <c r="AB160" s="57"/>
      <c r="AC160" s="188" t="s">
        <v>249</v>
      </c>
      <c r="AG160" s="67"/>
      <c r="AJ160" s="71" t="s">
        <v>108</v>
      </c>
      <c r="AK160" s="71">
        <v>14</v>
      </c>
      <c r="BB160" s="189" t="s">
        <v>109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3"/>
      <c r="B161" s="287"/>
      <c r="C161" s="287"/>
      <c r="D161" s="287"/>
      <c r="E161" s="287"/>
      <c r="F161" s="287"/>
      <c r="G161" s="287"/>
      <c r="H161" s="287"/>
      <c r="I161" s="287"/>
      <c r="J161" s="287"/>
      <c r="K161" s="287"/>
      <c r="L161" s="287"/>
      <c r="M161" s="287"/>
      <c r="N161" s="287"/>
      <c r="O161" s="304"/>
      <c r="P161" s="288" t="s">
        <v>87</v>
      </c>
      <c r="Q161" s="289"/>
      <c r="R161" s="289"/>
      <c r="S161" s="289"/>
      <c r="T161" s="289"/>
      <c r="U161" s="289"/>
      <c r="V161" s="290"/>
      <c r="W161" s="37" t="s">
        <v>68</v>
      </c>
      <c r="X161" s="276">
        <f>IFERROR(SUM(X160:X160),"0")</f>
        <v>0</v>
      </c>
      <c r="Y161" s="276">
        <f>IFERROR(SUM(Y160:Y160),"0")</f>
        <v>0</v>
      </c>
      <c r="Z161" s="276">
        <f>IFERROR(IF(Z160="",0,Z160),"0")</f>
        <v>0</v>
      </c>
      <c r="AA161" s="277"/>
      <c r="AB161" s="277"/>
      <c r="AC161" s="277"/>
    </row>
    <row r="162" spans="1:68" hidden="1" x14ac:dyDescent="0.2">
      <c r="A162" s="287"/>
      <c r="B162" s="287"/>
      <c r="C162" s="287"/>
      <c r="D162" s="287"/>
      <c r="E162" s="287"/>
      <c r="F162" s="287"/>
      <c r="G162" s="287"/>
      <c r="H162" s="287"/>
      <c r="I162" s="287"/>
      <c r="J162" s="287"/>
      <c r="K162" s="287"/>
      <c r="L162" s="287"/>
      <c r="M162" s="287"/>
      <c r="N162" s="287"/>
      <c r="O162" s="304"/>
      <c r="P162" s="288" t="s">
        <v>87</v>
      </c>
      <c r="Q162" s="289"/>
      <c r="R162" s="289"/>
      <c r="S162" s="289"/>
      <c r="T162" s="289"/>
      <c r="U162" s="289"/>
      <c r="V162" s="290"/>
      <c r="W162" s="37" t="s">
        <v>88</v>
      </c>
      <c r="X162" s="276">
        <f>IFERROR(SUMPRODUCT(X160:X160*H160:H160),"0")</f>
        <v>0</v>
      </c>
      <c r="Y162" s="276">
        <f>IFERROR(SUMPRODUCT(Y160:Y160*H160:H160),"0")</f>
        <v>0</v>
      </c>
      <c r="Z162" s="37"/>
      <c r="AA162" s="277"/>
      <c r="AB162" s="277"/>
      <c r="AC162" s="277"/>
    </row>
    <row r="163" spans="1:68" ht="16.5" hidden="1" customHeight="1" x14ac:dyDescent="0.25">
      <c r="A163" s="295" t="s">
        <v>250</v>
      </c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87"/>
      <c r="S163" s="287"/>
      <c r="T163" s="287"/>
      <c r="U163" s="287"/>
      <c r="V163" s="287"/>
      <c r="W163" s="287"/>
      <c r="X163" s="287"/>
      <c r="Y163" s="287"/>
      <c r="Z163" s="287"/>
      <c r="AA163" s="269"/>
      <c r="AB163" s="269"/>
      <c r="AC163" s="269"/>
    </row>
    <row r="164" spans="1:68" ht="14.25" hidden="1" customHeight="1" x14ac:dyDescent="0.25">
      <c r="A164" s="286" t="s">
        <v>144</v>
      </c>
      <c r="B164" s="287"/>
      <c r="C164" s="287"/>
      <c r="D164" s="287"/>
      <c r="E164" s="287"/>
      <c r="F164" s="287"/>
      <c r="G164" s="287"/>
      <c r="H164" s="287"/>
      <c r="I164" s="287"/>
      <c r="J164" s="287"/>
      <c r="K164" s="287"/>
      <c r="L164" s="287"/>
      <c r="M164" s="287"/>
      <c r="N164" s="287"/>
      <c r="O164" s="287"/>
      <c r="P164" s="287"/>
      <c r="Q164" s="287"/>
      <c r="R164" s="287"/>
      <c r="S164" s="287"/>
      <c r="T164" s="287"/>
      <c r="U164" s="287"/>
      <c r="V164" s="287"/>
      <c r="W164" s="287"/>
      <c r="X164" s="287"/>
      <c r="Y164" s="287"/>
      <c r="Z164" s="287"/>
      <c r="AA164" s="270"/>
      <c r="AB164" s="270"/>
      <c r="AC164" s="270"/>
    </row>
    <row r="165" spans="1:68" ht="27" hidden="1" customHeight="1" x14ac:dyDescent="0.25">
      <c r="A165" s="54" t="s">
        <v>251</v>
      </c>
      <c r="B165" s="54" t="s">
        <v>252</v>
      </c>
      <c r="C165" s="31">
        <v>4301135912</v>
      </c>
      <c r="D165" s="281">
        <v>4620207491751</v>
      </c>
      <c r="E165" s="282"/>
      <c r="F165" s="273">
        <v>0.28000000000000003</v>
      </c>
      <c r="G165" s="32">
        <v>6</v>
      </c>
      <c r="H165" s="273">
        <v>1.68</v>
      </c>
      <c r="I165" s="273">
        <v>2.1017999999999999</v>
      </c>
      <c r="J165" s="32">
        <v>140</v>
      </c>
      <c r="K165" s="32" t="s">
        <v>105</v>
      </c>
      <c r="L165" s="32" t="s">
        <v>66</v>
      </c>
      <c r="M165" s="33" t="s">
        <v>67</v>
      </c>
      <c r="N165" s="33"/>
      <c r="O165" s="32">
        <v>180</v>
      </c>
      <c r="P165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65" s="279"/>
      <c r="R165" s="279"/>
      <c r="S165" s="279"/>
      <c r="T165" s="280"/>
      <c r="U165" s="34"/>
      <c r="V165" s="34"/>
      <c r="W165" s="35" t="s">
        <v>68</v>
      </c>
      <c r="X165" s="274">
        <v>0</v>
      </c>
      <c r="Y165" s="275">
        <f>IFERROR(IF(X165="","",X165),"")</f>
        <v>0</v>
      </c>
      <c r="Z165" s="36">
        <f>IFERROR(IF(X165="","",X165*0.00941),"")</f>
        <v>0</v>
      </c>
      <c r="AA165" s="56"/>
      <c r="AB165" s="57"/>
      <c r="AC165" s="190" t="s">
        <v>147</v>
      </c>
      <c r="AG165" s="67"/>
      <c r="AJ165" s="71" t="s">
        <v>70</v>
      </c>
      <c r="AK165" s="71">
        <v>1</v>
      </c>
      <c r="BB165" s="191" t="s">
        <v>109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3"/>
      <c r="B166" s="287"/>
      <c r="C166" s="287"/>
      <c r="D166" s="287"/>
      <c r="E166" s="287"/>
      <c r="F166" s="287"/>
      <c r="G166" s="287"/>
      <c r="H166" s="287"/>
      <c r="I166" s="287"/>
      <c r="J166" s="287"/>
      <c r="K166" s="287"/>
      <c r="L166" s="287"/>
      <c r="M166" s="287"/>
      <c r="N166" s="287"/>
      <c r="O166" s="304"/>
      <c r="P166" s="288" t="s">
        <v>87</v>
      </c>
      <c r="Q166" s="289"/>
      <c r="R166" s="289"/>
      <c r="S166" s="289"/>
      <c r="T166" s="289"/>
      <c r="U166" s="289"/>
      <c r="V166" s="290"/>
      <c r="W166" s="37" t="s">
        <v>68</v>
      </c>
      <c r="X166" s="276">
        <f>IFERROR(SUM(X165:X165),"0")</f>
        <v>0</v>
      </c>
      <c r="Y166" s="276">
        <f>IFERROR(SUM(Y165:Y165),"0")</f>
        <v>0</v>
      </c>
      <c r="Z166" s="276">
        <f>IFERROR(IF(Z165="",0,Z165),"0")</f>
        <v>0</v>
      </c>
      <c r="AA166" s="277"/>
      <c r="AB166" s="277"/>
      <c r="AC166" s="277"/>
    </row>
    <row r="167" spans="1:68" hidden="1" x14ac:dyDescent="0.2">
      <c r="A167" s="287"/>
      <c r="B167" s="287"/>
      <c r="C167" s="287"/>
      <c r="D167" s="287"/>
      <c r="E167" s="287"/>
      <c r="F167" s="287"/>
      <c r="G167" s="287"/>
      <c r="H167" s="287"/>
      <c r="I167" s="287"/>
      <c r="J167" s="287"/>
      <c r="K167" s="287"/>
      <c r="L167" s="287"/>
      <c r="M167" s="287"/>
      <c r="N167" s="287"/>
      <c r="O167" s="304"/>
      <c r="P167" s="288" t="s">
        <v>87</v>
      </c>
      <c r="Q167" s="289"/>
      <c r="R167" s="289"/>
      <c r="S167" s="289"/>
      <c r="T167" s="289"/>
      <c r="U167" s="289"/>
      <c r="V167" s="290"/>
      <c r="W167" s="37" t="s">
        <v>88</v>
      </c>
      <c r="X167" s="276">
        <f>IFERROR(SUMPRODUCT(X165:X165*H165:H165),"0")</f>
        <v>0</v>
      </c>
      <c r="Y167" s="276">
        <f>IFERROR(SUMPRODUCT(Y165:Y165*H165:H165),"0")</f>
        <v>0</v>
      </c>
      <c r="Z167" s="37"/>
      <c r="AA167" s="277"/>
      <c r="AB167" s="277"/>
      <c r="AC167" s="277"/>
    </row>
    <row r="168" spans="1:68" ht="27.75" hidden="1" customHeight="1" x14ac:dyDescent="0.2">
      <c r="A168" s="351" t="s">
        <v>253</v>
      </c>
      <c r="B168" s="352"/>
      <c r="C168" s="352"/>
      <c r="D168" s="352"/>
      <c r="E168" s="352"/>
      <c r="F168" s="352"/>
      <c r="G168" s="352"/>
      <c r="H168" s="352"/>
      <c r="I168" s="352"/>
      <c r="J168" s="352"/>
      <c r="K168" s="352"/>
      <c r="L168" s="352"/>
      <c r="M168" s="352"/>
      <c r="N168" s="352"/>
      <c r="O168" s="352"/>
      <c r="P168" s="352"/>
      <c r="Q168" s="352"/>
      <c r="R168" s="352"/>
      <c r="S168" s="352"/>
      <c r="T168" s="352"/>
      <c r="U168" s="352"/>
      <c r="V168" s="352"/>
      <c r="W168" s="352"/>
      <c r="X168" s="352"/>
      <c r="Y168" s="352"/>
      <c r="Z168" s="352"/>
      <c r="AA168" s="48"/>
      <c r="AB168" s="48"/>
      <c r="AC168" s="48"/>
    </row>
    <row r="169" spans="1:68" ht="16.5" hidden="1" customHeight="1" x14ac:dyDescent="0.25">
      <c r="A169" s="295" t="s">
        <v>254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269"/>
      <c r="AB169" s="269"/>
      <c r="AC169" s="269"/>
    </row>
    <row r="170" spans="1:68" ht="14.25" hidden="1" customHeight="1" x14ac:dyDescent="0.25">
      <c r="A170" s="286" t="s">
        <v>102</v>
      </c>
      <c r="B170" s="287"/>
      <c r="C170" s="287"/>
      <c r="D170" s="287"/>
      <c r="E170" s="287"/>
      <c r="F170" s="287"/>
      <c r="G170" s="287"/>
      <c r="H170" s="287"/>
      <c r="I170" s="287"/>
      <c r="J170" s="287"/>
      <c r="K170" s="287"/>
      <c r="L170" s="287"/>
      <c r="M170" s="287"/>
      <c r="N170" s="287"/>
      <c r="O170" s="287"/>
      <c r="P170" s="287"/>
      <c r="Q170" s="287"/>
      <c r="R170" s="287"/>
      <c r="S170" s="287"/>
      <c r="T170" s="287"/>
      <c r="U170" s="287"/>
      <c r="V170" s="287"/>
      <c r="W170" s="287"/>
      <c r="X170" s="287"/>
      <c r="Y170" s="287"/>
      <c r="Z170" s="287"/>
      <c r="AA170" s="270"/>
      <c r="AB170" s="270"/>
      <c r="AC170" s="270"/>
    </row>
    <row r="171" spans="1:68" ht="27" customHeight="1" x14ac:dyDescent="0.25">
      <c r="A171" s="54" t="s">
        <v>255</v>
      </c>
      <c r="B171" s="54" t="s">
        <v>256</v>
      </c>
      <c r="C171" s="31">
        <v>4301132226</v>
      </c>
      <c r="D171" s="281">
        <v>4620207490631</v>
      </c>
      <c r="E171" s="282"/>
      <c r="F171" s="273">
        <v>6</v>
      </c>
      <c r="G171" s="32">
        <v>1</v>
      </c>
      <c r="H171" s="273">
        <v>6</v>
      </c>
      <c r="I171" s="273">
        <v>6.2350000000000003</v>
      </c>
      <c r="J171" s="32">
        <v>84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32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1" s="279"/>
      <c r="R171" s="279"/>
      <c r="S171" s="279"/>
      <c r="T171" s="280"/>
      <c r="U171" s="34"/>
      <c r="V171" s="34"/>
      <c r="W171" s="35" t="s">
        <v>68</v>
      </c>
      <c r="X171" s="274">
        <v>132</v>
      </c>
      <c r="Y171" s="275">
        <f>IFERROR(IF(X171="","",X171),"")</f>
        <v>132</v>
      </c>
      <c r="Z171" s="36">
        <f>IFERROR(IF(X171="","",X171*0.0155),"")</f>
        <v>2.0459999999999998</v>
      </c>
      <c r="AA171" s="56"/>
      <c r="AB171" s="57"/>
      <c r="AC171" s="192" t="s">
        <v>257</v>
      </c>
      <c r="AG171" s="67"/>
      <c r="AJ171" s="71" t="s">
        <v>70</v>
      </c>
      <c r="AK171" s="71">
        <v>1</v>
      </c>
      <c r="BB171" s="193" t="s">
        <v>109</v>
      </c>
      <c r="BM171" s="67">
        <f>IFERROR(X171*I171,"0")</f>
        <v>823.0200000000001</v>
      </c>
      <c r="BN171" s="67">
        <f>IFERROR(Y171*I171,"0")</f>
        <v>823.0200000000001</v>
      </c>
      <c r="BO171" s="67">
        <f>IFERROR(X171/J171,"0")</f>
        <v>1.5714285714285714</v>
      </c>
      <c r="BP171" s="67">
        <f>IFERROR(Y171/J171,"0")</f>
        <v>1.5714285714285714</v>
      </c>
    </row>
    <row r="172" spans="1:68" x14ac:dyDescent="0.2">
      <c r="A172" s="303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304"/>
      <c r="P172" s="288" t="s">
        <v>87</v>
      </c>
      <c r="Q172" s="289"/>
      <c r="R172" s="289"/>
      <c r="S172" s="289"/>
      <c r="T172" s="289"/>
      <c r="U172" s="289"/>
      <c r="V172" s="290"/>
      <c r="W172" s="37" t="s">
        <v>68</v>
      </c>
      <c r="X172" s="276">
        <f>IFERROR(SUM(X171:X171),"0")</f>
        <v>132</v>
      </c>
      <c r="Y172" s="276">
        <f>IFERROR(SUM(Y171:Y171),"0")</f>
        <v>132</v>
      </c>
      <c r="Z172" s="276">
        <f>IFERROR(IF(Z171="",0,Z171),"0")</f>
        <v>2.0459999999999998</v>
      </c>
      <c r="AA172" s="277"/>
      <c r="AB172" s="277"/>
      <c r="AC172" s="277"/>
    </row>
    <row r="173" spans="1:68" x14ac:dyDescent="0.2">
      <c r="A173" s="287"/>
      <c r="B173" s="287"/>
      <c r="C173" s="287"/>
      <c r="D173" s="287"/>
      <c r="E173" s="287"/>
      <c r="F173" s="287"/>
      <c r="G173" s="287"/>
      <c r="H173" s="287"/>
      <c r="I173" s="287"/>
      <c r="J173" s="287"/>
      <c r="K173" s="287"/>
      <c r="L173" s="287"/>
      <c r="M173" s="287"/>
      <c r="N173" s="287"/>
      <c r="O173" s="304"/>
      <c r="P173" s="288" t="s">
        <v>87</v>
      </c>
      <c r="Q173" s="289"/>
      <c r="R173" s="289"/>
      <c r="S173" s="289"/>
      <c r="T173" s="289"/>
      <c r="U173" s="289"/>
      <c r="V173" s="290"/>
      <c r="W173" s="37" t="s">
        <v>88</v>
      </c>
      <c r="X173" s="276">
        <f>IFERROR(SUMPRODUCT(X171:X171*H171:H171),"0")</f>
        <v>792</v>
      </c>
      <c r="Y173" s="276">
        <f>IFERROR(SUMPRODUCT(Y171:Y171*H171:H171),"0")</f>
        <v>792</v>
      </c>
      <c r="Z173" s="37"/>
      <c r="AA173" s="277"/>
      <c r="AB173" s="277"/>
      <c r="AC173" s="277"/>
    </row>
    <row r="174" spans="1:68" ht="14.25" hidden="1" customHeight="1" x14ac:dyDescent="0.25">
      <c r="A174" s="286" t="s">
        <v>144</v>
      </c>
      <c r="B174" s="287"/>
      <c r="C174" s="287"/>
      <c r="D174" s="287"/>
      <c r="E174" s="287"/>
      <c r="F174" s="287"/>
      <c r="G174" s="287"/>
      <c r="H174" s="287"/>
      <c r="I174" s="287"/>
      <c r="J174" s="287"/>
      <c r="K174" s="287"/>
      <c r="L174" s="287"/>
      <c r="M174" s="287"/>
      <c r="N174" s="287"/>
      <c r="O174" s="287"/>
      <c r="P174" s="287"/>
      <c r="Q174" s="287"/>
      <c r="R174" s="287"/>
      <c r="S174" s="287"/>
      <c r="T174" s="287"/>
      <c r="U174" s="287"/>
      <c r="V174" s="287"/>
      <c r="W174" s="287"/>
      <c r="X174" s="287"/>
      <c r="Y174" s="287"/>
      <c r="Z174" s="287"/>
      <c r="AA174" s="270"/>
      <c r="AB174" s="270"/>
      <c r="AC174" s="270"/>
    </row>
    <row r="175" spans="1:68" ht="16.5" hidden="1" customHeight="1" x14ac:dyDescent="0.25">
      <c r="A175" s="54" t="s">
        <v>258</v>
      </c>
      <c r="B175" s="54" t="s">
        <v>259</v>
      </c>
      <c r="C175" s="31">
        <v>4301137080</v>
      </c>
      <c r="D175" s="281">
        <v>4620207492062</v>
      </c>
      <c r="E175" s="282"/>
      <c r="F175" s="273">
        <v>5.5</v>
      </c>
      <c r="G175" s="32">
        <v>1</v>
      </c>
      <c r="H175" s="273">
        <v>5.5</v>
      </c>
      <c r="I175" s="273">
        <v>5.7350000000000003</v>
      </c>
      <c r="J175" s="32">
        <v>84</v>
      </c>
      <c r="K175" s="32" t="s">
        <v>65</v>
      </c>
      <c r="L175" s="32" t="s">
        <v>66</v>
      </c>
      <c r="M175" s="33" t="s">
        <v>67</v>
      </c>
      <c r="N175" s="33"/>
      <c r="O175" s="32">
        <v>180</v>
      </c>
      <c r="P175" s="419" t="str">
        <f>HYPERLINK("https://abi.ru/products/Замороженные/No Name/Зареченские продукты/Снеки/P005749/","Снеки «Жар-мени с мясом» Весовой ТМ «No Name» 5,5 кг")</f>
        <v>Снеки «Жар-мени с мясом» Весовой ТМ «No Name» 5,5 кг</v>
      </c>
      <c r="Q175" s="279"/>
      <c r="R175" s="279"/>
      <c r="S175" s="279"/>
      <c r="T175" s="280"/>
      <c r="U175" s="34"/>
      <c r="V175" s="34"/>
      <c r="W175" s="35" t="s">
        <v>68</v>
      </c>
      <c r="X175" s="274">
        <v>0</v>
      </c>
      <c r="Y175" s="275">
        <f>IFERROR(IF(X175="","",X175),"")</f>
        <v>0</v>
      </c>
      <c r="Z175" s="36">
        <f>IFERROR(IF(X175="","",X175*0.0155),"")</f>
        <v>0</v>
      </c>
      <c r="AA175" s="56"/>
      <c r="AB175" s="57"/>
      <c r="AC175" s="194" t="s">
        <v>260</v>
      </c>
      <c r="AG175" s="67"/>
      <c r="AJ175" s="71" t="s">
        <v>70</v>
      </c>
      <c r="AK175" s="71">
        <v>1</v>
      </c>
      <c r="BB175" s="195" t="s">
        <v>109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t="27" hidden="1" customHeight="1" x14ac:dyDescent="0.25">
      <c r="A176" s="54" t="s">
        <v>261</v>
      </c>
      <c r="B176" s="54" t="s">
        <v>262</v>
      </c>
      <c r="C176" s="31">
        <v>4301135392</v>
      </c>
      <c r="D176" s="281">
        <v>4607111039132</v>
      </c>
      <c r="E176" s="282"/>
      <c r="F176" s="273">
        <v>3.7</v>
      </c>
      <c r="G176" s="32">
        <v>1</v>
      </c>
      <c r="H176" s="273">
        <v>3.7</v>
      </c>
      <c r="I176" s="273">
        <v>3.8919999999999999</v>
      </c>
      <c r="J176" s="32">
        <v>126</v>
      </c>
      <c r="K176" s="32" t="s">
        <v>105</v>
      </c>
      <c r="L176" s="32" t="s">
        <v>66</v>
      </c>
      <c r="M176" s="33" t="s">
        <v>67</v>
      </c>
      <c r="N176" s="33"/>
      <c r="O176" s="32">
        <v>180</v>
      </c>
      <c r="P176" s="42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76" s="279"/>
      <c r="R176" s="279"/>
      <c r="S176" s="279"/>
      <c r="T176" s="280"/>
      <c r="U176" s="34"/>
      <c r="V176" s="34"/>
      <c r="W176" s="35" t="s">
        <v>68</v>
      </c>
      <c r="X176" s="274">
        <v>0</v>
      </c>
      <c r="Y176" s="275">
        <f>IFERROR(IF(X176="","",X176),"")</f>
        <v>0</v>
      </c>
      <c r="Z176" s="36">
        <f>IFERROR(IF(X176="","",X176*0.00936),"")</f>
        <v>0</v>
      </c>
      <c r="AA176" s="56"/>
      <c r="AB176" s="57"/>
      <c r="AC176" s="196" t="s">
        <v>263</v>
      </c>
      <c r="AG176" s="67"/>
      <c r="AJ176" s="71" t="s">
        <v>70</v>
      </c>
      <c r="AK176" s="71">
        <v>1</v>
      </c>
      <c r="BB176" s="197" t="s">
        <v>109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3"/>
      <c r="B177" s="287"/>
      <c r="C177" s="287"/>
      <c r="D177" s="287"/>
      <c r="E177" s="287"/>
      <c r="F177" s="287"/>
      <c r="G177" s="287"/>
      <c r="H177" s="287"/>
      <c r="I177" s="287"/>
      <c r="J177" s="287"/>
      <c r="K177" s="287"/>
      <c r="L177" s="287"/>
      <c r="M177" s="287"/>
      <c r="N177" s="287"/>
      <c r="O177" s="304"/>
      <c r="P177" s="288" t="s">
        <v>87</v>
      </c>
      <c r="Q177" s="289"/>
      <c r="R177" s="289"/>
      <c r="S177" s="289"/>
      <c r="T177" s="289"/>
      <c r="U177" s="289"/>
      <c r="V177" s="290"/>
      <c r="W177" s="37" t="s">
        <v>68</v>
      </c>
      <c r="X177" s="276">
        <f>IFERROR(SUM(X175:X176),"0")</f>
        <v>0</v>
      </c>
      <c r="Y177" s="276">
        <f>IFERROR(SUM(Y175:Y176),"0")</f>
        <v>0</v>
      </c>
      <c r="Z177" s="276">
        <f>IFERROR(IF(Z175="",0,Z175),"0")+IFERROR(IF(Z176="",0,Z176),"0")</f>
        <v>0</v>
      </c>
      <c r="AA177" s="277"/>
      <c r="AB177" s="277"/>
      <c r="AC177" s="277"/>
    </row>
    <row r="178" spans="1:68" hidden="1" x14ac:dyDescent="0.2">
      <c r="A178" s="287"/>
      <c r="B178" s="287"/>
      <c r="C178" s="287"/>
      <c r="D178" s="287"/>
      <c r="E178" s="287"/>
      <c r="F178" s="287"/>
      <c r="G178" s="287"/>
      <c r="H178" s="287"/>
      <c r="I178" s="287"/>
      <c r="J178" s="287"/>
      <c r="K178" s="287"/>
      <c r="L178" s="287"/>
      <c r="M178" s="287"/>
      <c r="N178" s="287"/>
      <c r="O178" s="304"/>
      <c r="P178" s="288" t="s">
        <v>87</v>
      </c>
      <c r="Q178" s="289"/>
      <c r="R178" s="289"/>
      <c r="S178" s="289"/>
      <c r="T178" s="289"/>
      <c r="U178" s="289"/>
      <c r="V178" s="290"/>
      <c r="W178" s="37" t="s">
        <v>88</v>
      </c>
      <c r="X178" s="276">
        <f>IFERROR(SUMPRODUCT(X175:X176*H175:H176),"0")</f>
        <v>0</v>
      </c>
      <c r="Y178" s="276">
        <f>IFERROR(SUMPRODUCT(Y175:Y176*H175:H176),"0")</f>
        <v>0</v>
      </c>
      <c r="Z178" s="37"/>
      <c r="AA178" s="277"/>
      <c r="AB178" s="277"/>
      <c r="AC178" s="277"/>
    </row>
    <row r="179" spans="1:68" ht="16.5" hidden="1" customHeight="1" x14ac:dyDescent="0.25">
      <c r="A179" s="295" t="s">
        <v>264</v>
      </c>
      <c r="B179" s="287"/>
      <c r="C179" s="287"/>
      <c r="D179" s="287"/>
      <c r="E179" s="287"/>
      <c r="F179" s="287"/>
      <c r="G179" s="287"/>
      <c r="H179" s="287"/>
      <c r="I179" s="287"/>
      <c r="J179" s="287"/>
      <c r="K179" s="287"/>
      <c r="L179" s="287"/>
      <c r="M179" s="287"/>
      <c r="N179" s="287"/>
      <c r="O179" s="287"/>
      <c r="P179" s="287"/>
      <c r="Q179" s="287"/>
      <c r="R179" s="287"/>
      <c r="S179" s="287"/>
      <c r="T179" s="287"/>
      <c r="U179" s="287"/>
      <c r="V179" s="287"/>
      <c r="W179" s="287"/>
      <c r="X179" s="287"/>
      <c r="Y179" s="287"/>
      <c r="Z179" s="287"/>
      <c r="AA179" s="269"/>
      <c r="AB179" s="269"/>
      <c r="AC179" s="269"/>
    </row>
    <row r="180" spans="1:68" ht="14.25" hidden="1" customHeight="1" x14ac:dyDescent="0.25">
      <c r="A180" s="286" t="s">
        <v>62</v>
      </c>
      <c r="B180" s="287"/>
      <c r="C180" s="287"/>
      <c r="D180" s="287"/>
      <c r="E180" s="287"/>
      <c r="F180" s="287"/>
      <c r="G180" s="287"/>
      <c r="H180" s="287"/>
      <c r="I180" s="287"/>
      <c r="J180" s="287"/>
      <c r="K180" s="287"/>
      <c r="L180" s="287"/>
      <c r="M180" s="287"/>
      <c r="N180" s="287"/>
      <c r="O180" s="287"/>
      <c r="P180" s="287"/>
      <c r="Q180" s="287"/>
      <c r="R180" s="287"/>
      <c r="S180" s="287"/>
      <c r="T180" s="287"/>
      <c r="U180" s="287"/>
      <c r="V180" s="287"/>
      <c r="W180" s="287"/>
      <c r="X180" s="287"/>
      <c r="Y180" s="287"/>
      <c r="Z180" s="287"/>
      <c r="AA180" s="270"/>
      <c r="AB180" s="270"/>
      <c r="AC180" s="270"/>
    </row>
    <row r="181" spans="1:68" ht="16.5" hidden="1" customHeight="1" x14ac:dyDescent="0.25">
      <c r="A181" s="54" t="s">
        <v>265</v>
      </c>
      <c r="B181" s="54" t="s">
        <v>266</v>
      </c>
      <c r="C181" s="31">
        <v>4301071062</v>
      </c>
      <c r="D181" s="281">
        <v>4607111036384</v>
      </c>
      <c r="E181" s="282"/>
      <c r="F181" s="273">
        <v>5</v>
      </c>
      <c r="G181" s="32">
        <v>1</v>
      </c>
      <c r="H181" s="273">
        <v>5</v>
      </c>
      <c r="I181" s="273">
        <v>5.2106000000000003</v>
      </c>
      <c r="J181" s="32">
        <v>144</v>
      </c>
      <c r="K181" s="32" t="s">
        <v>65</v>
      </c>
      <c r="L181" s="32" t="s">
        <v>66</v>
      </c>
      <c r="M181" s="33" t="s">
        <v>67</v>
      </c>
      <c r="N181" s="33"/>
      <c r="O181" s="32">
        <v>180</v>
      </c>
      <c r="P181" s="44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79"/>
      <c r="R181" s="279"/>
      <c r="S181" s="279"/>
      <c r="T181" s="280"/>
      <c r="U181" s="34"/>
      <c r="V181" s="34"/>
      <c r="W181" s="35" t="s">
        <v>68</v>
      </c>
      <c r="X181" s="274">
        <v>0</v>
      </c>
      <c r="Y181" s="275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267</v>
      </c>
      <c r="AG181" s="67"/>
      <c r="AJ181" s="71" t="s">
        <v>70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268</v>
      </c>
      <c r="B182" s="54" t="s">
        <v>269</v>
      </c>
      <c r="C182" s="31">
        <v>4301071050</v>
      </c>
      <c r="D182" s="281">
        <v>4607111036216</v>
      </c>
      <c r="E182" s="282"/>
      <c r="F182" s="273">
        <v>5</v>
      </c>
      <c r="G182" s="32">
        <v>1</v>
      </c>
      <c r="H182" s="273">
        <v>5</v>
      </c>
      <c r="I182" s="273">
        <v>5.2131999999999996</v>
      </c>
      <c r="J182" s="32">
        <v>144</v>
      </c>
      <c r="K182" s="32" t="s">
        <v>65</v>
      </c>
      <c r="L182" s="32" t="s">
        <v>106</v>
      </c>
      <c r="M182" s="33" t="s">
        <v>67</v>
      </c>
      <c r="N182" s="33"/>
      <c r="O182" s="32">
        <v>180</v>
      </c>
      <c r="P18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79"/>
      <c r="R182" s="279"/>
      <c r="S182" s="279"/>
      <c r="T182" s="280"/>
      <c r="U182" s="34"/>
      <c r="V182" s="34"/>
      <c r="W182" s="35" t="s">
        <v>68</v>
      </c>
      <c r="X182" s="274">
        <v>0</v>
      </c>
      <c r="Y182" s="275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270</v>
      </c>
      <c r="AG182" s="67"/>
      <c r="AJ182" s="71" t="s">
        <v>108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3"/>
      <c r="B183" s="287"/>
      <c r="C183" s="287"/>
      <c r="D183" s="287"/>
      <c r="E183" s="287"/>
      <c r="F183" s="287"/>
      <c r="G183" s="287"/>
      <c r="H183" s="287"/>
      <c r="I183" s="287"/>
      <c r="J183" s="287"/>
      <c r="K183" s="287"/>
      <c r="L183" s="287"/>
      <c r="M183" s="287"/>
      <c r="N183" s="287"/>
      <c r="O183" s="304"/>
      <c r="P183" s="288" t="s">
        <v>87</v>
      </c>
      <c r="Q183" s="289"/>
      <c r="R183" s="289"/>
      <c r="S183" s="289"/>
      <c r="T183" s="289"/>
      <c r="U183" s="289"/>
      <c r="V183" s="290"/>
      <c r="W183" s="37" t="s">
        <v>68</v>
      </c>
      <c r="X183" s="276">
        <f>IFERROR(SUM(X181:X182),"0")</f>
        <v>0</v>
      </c>
      <c r="Y183" s="276">
        <f>IFERROR(SUM(Y181:Y182),"0")</f>
        <v>0</v>
      </c>
      <c r="Z183" s="276">
        <f>IFERROR(IF(Z181="",0,Z181),"0")+IFERROR(IF(Z182="",0,Z182),"0")</f>
        <v>0</v>
      </c>
      <c r="AA183" s="277"/>
      <c r="AB183" s="277"/>
      <c r="AC183" s="277"/>
    </row>
    <row r="184" spans="1:68" hidden="1" x14ac:dyDescent="0.2">
      <c r="A184" s="287"/>
      <c r="B184" s="287"/>
      <c r="C184" s="287"/>
      <c r="D184" s="287"/>
      <c r="E184" s="287"/>
      <c r="F184" s="287"/>
      <c r="G184" s="287"/>
      <c r="H184" s="287"/>
      <c r="I184" s="287"/>
      <c r="J184" s="287"/>
      <c r="K184" s="287"/>
      <c r="L184" s="287"/>
      <c r="M184" s="287"/>
      <c r="N184" s="287"/>
      <c r="O184" s="304"/>
      <c r="P184" s="288" t="s">
        <v>87</v>
      </c>
      <c r="Q184" s="289"/>
      <c r="R184" s="289"/>
      <c r="S184" s="289"/>
      <c r="T184" s="289"/>
      <c r="U184" s="289"/>
      <c r="V184" s="290"/>
      <c r="W184" s="37" t="s">
        <v>88</v>
      </c>
      <c r="X184" s="276">
        <f>IFERROR(SUMPRODUCT(X181:X182*H181:H182),"0")</f>
        <v>0</v>
      </c>
      <c r="Y184" s="276">
        <f>IFERROR(SUMPRODUCT(Y181:Y182*H181:H182),"0")</f>
        <v>0</v>
      </c>
      <c r="Z184" s="37"/>
      <c r="AA184" s="277"/>
      <c r="AB184" s="277"/>
      <c r="AC184" s="277"/>
    </row>
    <row r="185" spans="1:68" ht="16.5" hidden="1" customHeight="1" x14ac:dyDescent="0.25">
      <c r="A185" s="295" t="s">
        <v>271</v>
      </c>
      <c r="B185" s="287"/>
      <c r="C185" s="287"/>
      <c r="D185" s="287"/>
      <c r="E185" s="287"/>
      <c r="F185" s="287"/>
      <c r="G185" s="287"/>
      <c r="H185" s="287"/>
      <c r="I185" s="287"/>
      <c r="J185" s="287"/>
      <c r="K185" s="287"/>
      <c r="L185" s="287"/>
      <c r="M185" s="287"/>
      <c r="N185" s="287"/>
      <c r="O185" s="287"/>
      <c r="P185" s="287"/>
      <c r="Q185" s="287"/>
      <c r="R185" s="287"/>
      <c r="S185" s="287"/>
      <c r="T185" s="287"/>
      <c r="U185" s="287"/>
      <c r="V185" s="287"/>
      <c r="W185" s="287"/>
      <c r="X185" s="287"/>
      <c r="Y185" s="287"/>
      <c r="Z185" s="287"/>
      <c r="AA185" s="269"/>
      <c r="AB185" s="269"/>
      <c r="AC185" s="269"/>
    </row>
    <row r="186" spans="1:68" ht="14.25" hidden="1" customHeight="1" x14ac:dyDescent="0.25">
      <c r="A186" s="286" t="s">
        <v>62</v>
      </c>
      <c r="B186" s="287"/>
      <c r="C186" s="287"/>
      <c r="D186" s="287"/>
      <c r="E186" s="287"/>
      <c r="F186" s="287"/>
      <c r="G186" s="287"/>
      <c r="H186" s="287"/>
      <c r="I186" s="287"/>
      <c r="J186" s="287"/>
      <c r="K186" s="287"/>
      <c r="L186" s="287"/>
      <c r="M186" s="287"/>
      <c r="N186" s="287"/>
      <c r="O186" s="287"/>
      <c r="P186" s="287"/>
      <c r="Q186" s="287"/>
      <c r="R186" s="287"/>
      <c r="S186" s="287"/>
      <c r="T186" s="287"/>
      <c r="U186" s="287"/>
      <c r="V186" s="287"/>
      <c r="W186" s="287"/>
      <c r="X186" s="287"/>
      <c r="Y186" s="287"/>
      <c r="Z186" s="287"/>
      <c r="AA186" s="270"/>
      <c r="AB186" s="270"/>
      <c r="AC186" s="270"/>
    </row>
    <row r="187" spans="1:68" ht="27" customHeight="1" x14ac:dyDescent="0.25">
      <c r="A187" s="54" t="s">
        <v>272</v>
      </c>
      <c r="B187" s="54" t="s">
        <v>273</v>
      </c>
      <c r="C187" s="31">
        <v>4301071117</v>
      </c>
      <c r="D187" s="281">
        <v>4620207491737</v>
      </c>
      <c r="E187" s="282"/>
      <c r="F187" s="273">
        <v>1</v>
      </c>
      <c r="G187" s="32">
        <v>5</v>
      </c>
      <c r="H187" s="273">
        <v>5</v>
      </c>
      <c r="I187" s="273">
        <v>5.2619999999999996</v>
      </c>
      <c r="J187" s="32">
        <v>84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4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7" s="279"/>
      <c r="R187" s="279"/>
      <c r="S187" s="279"/>
      <c r="T187" s="280"/>
      <c r="U187" s="34"/>
      <c r="V187" s="34"/>
      <c r="W187" s="35" t="s">
        <v>68</v>
      </c>
      <c r="X187" s="274">
        <v>216</v>
      </c>
      <c r="Y187" s="275">
        <f>IFERROR(IF(X187="","",X187),"")</f>
        <v>216</v>
      </c>
      <c r="Z187" s="36">
        <f>IFERROR(IF(X187="","",X187*0.0155),"")</f>
        <v>3.3479999999999999</v>
      </c>
      <c r="AA187" s="56"/>
      <c r="AB187" s="57"/>
      <c r="AC187" s="202" t="s">
        <v>270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1136.5919999999999</v>
      </c>
      <c r="BN187" s="67">
        <f>IFERROR(Y187*I187,"0")</f>
        <v>1136.5919999999999</v>
      </c>
      <c r="BO187" s="67">
        <f>IFERROR(X187/J187,"0")</f>
        <v>2.5714285714285716</v>
      </c>
      <c r="BP187" s="67">
        <f>IFERROR(Y187/J187,"0")</f>
        <v>2.5714285714285716</v>
      </c>
    </row>
    <row r="188" spans="1:68" x14ac:dyDescent="0.2">
      <c r="A188" s="303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304"/>
      <c r="P188" s="288" t="s">
        <v>87</v>
      </c>
      <c r="Q188" s="289"/>
      <c r="R188" s="289"/>
      <c r="S188" s="289"/>
      <c r="T188" s="289"/>
      <c r="U188" s="289"/>
      <c r="V188" s="290"/>
      <c r="W188" s="37" t="s">
        <v>68</v>
      </c>
      <c r="X188" s="276">
        <f>IFERROR(SUM(X187:X187),"0")</f>
        <v>216</v>
      </c>
      <c r="Y188" s="276">
        <f>IFERROR(SUM(Y187:Y187),"0")</f>
        <v>216</v>
      </c>
      <c r="Z188" s="276">
        <f>IFERROR(IF(Z187="",0,Z187),"0")</f>
        <v>3.3479999999999999</v>
      </c>
      <c r="AA188" s="277"/>
      <c r="AB188" s="277"/>
      <c r="AC188" s="277"/>
    </row>
    <row r="189" spans="1:68" x14ac:dyDescent="0.2">
      <c r="A189" s="287"/>
      <c r="B189" s="287"/>
      <c r="C189" s="287"/>
      <c r="D189" s="287"/>
      <c r="E189" s="287"/>
      <c r="F189" s="287"/>
      <c r="G189" s="287"/>
      <c r="H189" s="287"/>
      <c r="I189" s="287"/>
      <c r="J189" s="287"/>
      <c r="K189" s="287"/>
      <c r="L189" s="287"/>
      <c r="M189" s="287"/>
      <c r="N189" s="287"/>
      <c r="O189" s="304"/>
      <c r="P189" s="288" t="s">
        <v>87</v>
      </c>
      <c r="Q189" s="289"/>
      <c r="R189" s="289"/>
      <c r="S189" s="289"/>
      <c r="T189" s="289"/>
      <c r="U189" s="289"/>
      <c r="V189" s="290"/>
      <c r="W189" s="37" t="s">
        <v>88</v>
      </c>
      <c r="X189" s="276">
        <f>IFERROR(SUMPRODUCT(X187:X187*H187:H187),"0")</f>
        <v>1080</v>
      </c>
      <c r="Y189" s="276">
        <f>IFERROR(SUMPRODUCT(Y187:Y187*H187:H187),"0")</f>
        <v>1080</v>
      </c>
      <c r="Z189" s="37"/>
      <c r="AA189" s="277"/>
      <c r="AB189" s="277"/>
      <c r="AC189" s="277"/>
    </row>
    <row r="190" spans="1:68" ht="27.75" hidden="1" customHeight="1" x14ac:dyDescent="0.2">
      <c r="A190" s="351" t="s">
        <v>274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48"/>
      <c r="AB190" s="48"/>
      <c r="AC190" s="48"/>
    </row>
    <row r="191" spans="1:68" ht="16.5" hidden="1" customHeight="1" x14ac:dyDescent="0.25">
      <c r="A191" s="295" t="s">
        <v>275</v>
      </c>
      <c r="B191" s="287"/>
      <c r="C191" s="287"/>
      <c r="D191" s="287"/>
      <c r="E191" s="287"/>
      <c r="F191" s="287"/>
      <c r="G191" s="287"/>
      <c r="H191" s="287"/>
      <c r="I191" s="287"/>
      <c r="J191" s="287"/>
      <c r="K191" s="287"/>
      <c r="L191" s="287"/>
      <c r="M191" s="287"/>
      <c r="N191" s="287"/>
      <c r="O191" s="287"/>
      <c r="P191" s="287"/>
      <c r="Q191" s="287"/>
      <c r="R191" s="287"/>
      <c r="S191" s="287"/>
      <c r="T191" s="287"/>
      <c r="U191" s="287"/>
      <c r="V191" s="287"/>
      <c r="W191" s="287"/>
      <c r="X191" s="287"/>
      <c r="Y191" s="287"/>
      <c r="Z191" s="287"/>
      <c r="AA191" s="269"/>
      <c r="AB191" s="269"/>
      <c r="AC191" s="269"/>
    </row>
    <row r="192" spans="1:68" ht="14.25" hidden="1" customHeight="1" x14ac:dyDescent="0.25">
      <c r="A192" s="286" t="s">
        <v>102</v>
      </c>
      <c r="B192" s="287"/>
      <c r="C192" s="287"/>
      <c r="D192" s="287"/>
      <c r="E192" s="287"/>
      <c r="F192" s="287"/>
      <c r="G192" s="287"/>
      <c r="H192" s="287"/>
      <c r="I192" s="287"/>
      <c r="J192" s="287"/>
      <c r="K192" s="287"/>
      <c r="L192" s="287"/>
      <c r="M192" s="287"/>
      <c r="N192" s="287"/>
      <c r="O192" s="287"/>
      <c r="P192" s="287"/>
      <c r="Q192" s="287"/>
      <c r="R192" s="287"/>
      <c r="S192" s="287"/>
      <c r="T192" s="287"/>
      <c r="U192" s="287"/>
      <c r="V192" s="287"/>
      <c r="W192" s="287"/>
      <c r="X192" s="287"/>
      <c r="Y192" s="287"/>
      <c r="Z192" s="287"/>
      <c r="AA192" s="270"/>
      <c r="AB192" s="270"/>
      <c r="AC192" s="270"/>
    </row>
    <row r="193" spans="1:68" ht="16.5" customHeight="1" x14ac:dyDescent="0.25">
      <c r="A193" s="54" t="s">
        <v>276</v>
      </c>
      <c r="B193" s="54" t="s">
        <v>277</v>
      </c>
      <c r="C193" s="31">
        <v>4301132179</v>
      </c>
      <c r="D193" s="281">
        <v>4607111035691</v>
      </c>
      <c r="E193" s="282"/>
      <c r="F193" s="273">
        <v>0.25</v>
      </c>
      <c r="G193" s="32">
        <v>12</v>
      </c>
      <c r="H193" s="273">
        <v>3</v>
      </c>
      <c r="I193" s="273">
        <v>3.3879999999999999</v>
      </c>
      <c r="J193" s="32">
        <v>70</v>
      </c>
      <c r="K193" s="32" t="s">
        <v>105</v>
      </c>
      <c r="L193" s="32" t="s">
        <v>106</v>
      </c>
      <c r="M193" s="33" t="s">
        <v>67</v>
      </c>
      <c r="N193" s="33"/>
      <c r="O193" s="32">
        <v>365</v>
      </c>
      <c r="P193" s="41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3" s="279"/>
      <c r="R193" s="279"/>
      <c r="S193" s="279"/>
      <c r="T193" s="280"/>
      <c r="U193" s="34"/>
      <c r="V193" s="34"/>
      <c r="W193" s="35" t="s">
        <v>68</v>
      </c>
      <c r="X193" s="274">
        <v>98</v>
      </c>
      <c r="Y193" s="275">
        <f>IFERROR(IF(X193="","",X193),"")</f>
        <v>98</v>
      </c>
      <c r="Z193" s="36">
        <f>IFERROR(IF(X193="","",X193*0.01788),"")</f>
        <v>1.75224</v>
      </c>
      <c r="AA193" s="56"/>
      <c r="AB193" s="57"/>
      <c r="AC193" s="204" t="s">
        <v>278</v>
      </c>
      <c r="AG193" s="67"/>
      <c r="AJ193" s="71" t="s">
        <v>108</v>
      </c>
      <c r="AK193" s="71">
        <v>14</v>
      </c>
      <c r="BB193" s="205" t="s">
        <v>109</v>
      </c>
      <c r="BM193" s="67">
        <f>IFERROR(X193*I193,"0")</f>
        <v>332.024</v>
      </c>
      <c r="BN193" s="67">
        <f>IFERROR(Y193*I193,"0")</f>
        <v>332.024</v>
      </c>
      <c r="BO193" s="67">
        <f>IFERROR(X193/J193,"0")</f>
        <v>1.4</v>
      </c>
      <c r="BP193" s="67">
        <f>IFERROR(Y193/J193,"0")</f>
        <v>1.4</v>
      </c>
    </row>
    <row r="194" spans="1:68" ht="27" customHeight="1" x14ac:dyDescent="0.25">
      <c r="A194" s="54" t="s">
        <v>279</v>
      </c>
      <c r="B194" s="54" t="s">
        <v>280</v>
      </c>
      <c r="C194" s="31">
        <v>4301132182</v>
      </c>
      <c r="D194" s="281">
        <v>4607111035721</v>
      </c>
      <c r="E194" s="282"/>
      <c r="F194" s="273">
        <v>0.25</v>
      </c>
      <c r="G194" s="32">
        <v>12</v>
      </c>
      <c r="H194" s="273">
        <v>3</v>
      </c>
      <c r="I194" s="273">
        <v>3.3879999999999999</v>
      </c>
      <c r="J194" s="32">
        <v>70</v>
      </c>
      <c r="K194" s="32" t="s">
        <v>105</v>
      </c>
      <c r="L194" s="32" t="s">
        <v>106</v>
      </c>
      <c r="M194" s="33" t="s">
        <v>67</v>
      </c>
      <c r="N194" s="33"/>
      <c r="O194" s="32">
        <v>365</v>
      </c>
      <c r="P194" s="34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4" s="279"/>
      <c r="R194" s="279"/>
      <c r="S194" s="279"/>
      <c r="T194" s="280"/>
      <c r="U194" s="34"/>
      <c r="V194" s="34"/>
      <c r="W194" s="35" t="s">
        <v>68</v>
      </c>
      <c r="X194" s="274">
        <v>98</v>
      </c>
      <c r="Y194" s="275">
        <f>IFERROR(IF(X194="","",X194),"")</f>
        <v>98</v>
      </c>
      <c r="Z194" s="36">
        <f>IFERROR(IF(X194="","",X194*0.01788),"")</f>
        <v>1.75224</v>
      </c>
      <c r="AA194" s="56"/>
      <c r="AB194" s="57"/>
      <c r="AC194" s="206" t="s">
        <v>281</v>
      </c>
      <c r="AG194" s="67"/>
      <c r="AJ194" s="71" t="s">
        <v>108</v>
      </c>
      <c r="AK194" s="71">
        <v>14</v>
      </c>
      <c r="BB194" s="207" t="s">
        <v>109</v>
      </c>
      <c r="BM194" s="67">
        <f>IFERROR(X194*I194,"0")</f>
        <v>332.024</v>
      </c>
      <c r="BN194" s="67">
        <f>IFERROR(Y194*I194,"0")</f>
        <v>332.024</v>
      </c>
      <c r="BO194" s="67">
        <f>IFERROR(X194/J194,"0")</f>
        <v>1.4</v>
      </c>
      <c r="BP194" s="67">
        <f>IFERROR(Y194/J194,"0")</f>
        <v>1.4</v>
      </c>
    </row>
    <row r="195" spans="1:68" ht="27" hidden="1" customHeight="1" x14ac:dyDescent="0.25">
      <c r="A195" s="54" t="s">
        <v>282</v>
      </c>
      <c r="B195" s="54" t="s">
        <v>283</v>
      </c>
      <c r="C195" s="31">
        <v>4301132170</v>
      </c>
      <c r="D195" s="281">
        <v>4607111038487</v>
      </c>
      <c r="E195" s="282"/>
      <c r="F195" s="273">
        <v>0.25</v>
      </c>
      <c r="G195" s="32">
        <v>12</v>
      </c>
      <c r="H195" s="273">
        <v>3</v>
      </c>
      <c r="I195" s="273">
        <v>3.7360000000000002</v>
      </c>
      <c r="J195" s="32">
        <v>70</v>
      </c>
      <c r="K195" s="32" t="s">
        <v>105</v>
      </c>
      <c r="L195" s="32" t="s">
        <v>106</v>
      </c>
      <c r="M195" s="33" t="s">
        <v>67</v>
      </c>
      <c r="N195" s="33"/>
      <c r="O195" s="32">
        <v>180</v>
      </c>
      <c r="P195" s="3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5" s="279"/>
      <c r="R195" s="279"/>
      <c r="S195" s="279"/>
      <c r="T195" s="280"/>
      <c r="U195" s="34"/>
      <c r="V195" s="34"/>
      <c r="W195" s="35" t="s">
        <v>68</v>
      </c>
      <c r="X195" s="274">
        <v>0</v>
      </c>
      <c r="Y195" s="275">
        <f>IFERROR(IF(X195="","",X195),"")</f>
        <v>0</v>
      </c>
      <c r="Z195" s="36">
        <f>IFERROR(IF(X195="","",X195*0.01788),"")</f>
        <v>0</v>
      </c>
      <c r="AA195" s="56"/>
      <c r="AB195" s="57"/>
      <c r="AC195" s="208" t="s">
        <v>284</v>
      </c>
      <c r="AG195" s="67"/>
      <c r="AJ195" s="71" t="s">
        <v>108</v>
      </c>
      <c r="AK195" s="71">
        <v>14</v>
      </c>
      <c r="BB195" s="209" t="s">
        <v>109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285</v>
      </c>
      <c r="B196" s="54" t="s">
        <v>286</v>
      </c>
      <c r="C196" s="31">
        <v>4301132243</v>
      </c>
      <c r="D196" s="281">
        <v>4620207491195</v>
      </c>
      <c r="E196" s="282"/>
      <c r="F196" s="273">
        <v>0.23</v>
      </c>
      <c r="G196" s="32">
        <v>12</v>
      </c>
      <c r="H196" s="273">
        <v>2.76</v>
      </c>
      <c r="I196" s="273">
        <v>3.1480000000000001</v>
      </c>
      <c r="J196" s="32">
        <v>70</v>
      </c>
      <c r="K196" s="32" t="s">
        <v>105</v>
      </c>
      <c r="L196" s="32" t="s">
        <v>66</v>
      </c>
      <c r="M196" s="33" t="s">
        <v>67</v>
      </c>
      <c r="N196" s="33"/>
      <c r="O196" s="32">
        <v>180</v>
      </c>
      <c r="P196" s="4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6" s="279"/>
      <c r="R196" s="279"/>
      <c r="S196" s="279"/>
      <c r="T196" s="280"/>
      <c r="U196" s="34"/>
      <c r="V196" s="34"/>
      <c r="W196" s="35" t="s">
        <v>68</v>
      </c>
      <c r="X196" s="274">
        <v>0</v>
      </c>
      <c r="Y196" s="275">
        <f>IFERROR(IF(X196="","",X196),"")</f>
        <v>0</v>
      </c>
      <c r="Z196" s="36">
        <f>IFERROR(IF(X196="","",X196*0.01788),"")</f>
        <v>0</v>
      </c>
      <c r="AA196" s="56"/>
      <c r="AB196" s="57"/>
      <c r="AC196" s="210" t="s">
        <v>287</v>
      </c>
      <c r="AG196" s="67"/>
      <c r="AJ196" s="71" t="s">
        <v>70</v>
      </c>
      <c r="AK196" s="71">
        <v>1</v>
      </c>
      <c r="BB196" s="211" t="s">
        <v>109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x14ac:dyDescent="0.2">
      <c r="A197" s="303"/>
      <c r="B197" s="287"/>
      <c r="C197" s="287"/>
      <c r="D197" s="287"/>
      <c r="E197" s="287"/>
      <c r="F197" s="287"/>
      <c r="G197" s="287"/>
      <c r="H197" s="287"/>
      <c r="I197" s="287"/>
      <c r="J197" s="287"/>
      <c r="K197" s="287"/>
      <c r="L197" s="287"/>
      <c r="M197" s="287"/>
      <c r="N197" s="287"/>
      <c r="O197" s="304"/>
      <c r="P197" s="288" t="s">
        <v>87</v>
      </c>
      <c r="Q197" s="289"/>
      <c r="R197" s="289"/>
      <c r="S197" s="289"/>
      <c r="T197" s="289"/>
      <c r="U197" s="289"/>
      <c r="V197" s="290"/>
      <c r="W197" s="37" t="s">
        <v>68</v>
      </c>
      <c r="X197" s="276">
        <f>IFERROR(SUM(X193:X196),"0")</f>
        <v>196</v>
      </c>
      <c r="Y197" s="276">
        <f>IFERROR(SUM(Y193:Y196),"0")</f>
        <v>196</v>
      </c>
      <c r="Z197" s="276">
        <f>IFERROR(IF(Z193="",0,Z193),"0")+IFERROR(IF(Z194="",0,Z194),"0")+IFERROR(IF(Z195="",0,Z195),"0")+IFERROR(IF(Z196="",0,Z196),"0")</f>
        <v>3.50448</v>
      </c>
      <c r="AA197" s="277"/>
      <c r="AB197" s="277"/>
      <c r="AC197" s="277"/>
    </row>
    <row r="198" spans="1:68" x14ac:dyDescent="0.2">
      <c r="A198" s="287"/>
      <c r="B198" s="287"/>
      <c r="C198" s="287"/>
      <c r="D198" s="287"/>
      <c r="E198" s="287"/>
      <c r="F198" s="287"/>
      <c r="G198" s="287"/>
      <c r="H198" s="287"/>
      <c r="I198" s="287"/>
      <c r="J198" s="287"/>
      <c r="K198" s="287"/>
      <c r="L198" s="287"/>
      <c r="M198" s="287"/>
      <c r="N198" s="287"/>
      <c r="O198" s="304"/>
      <c r="P198" s="288" t="s">
        <v>87</v>
      </c>
      <c r="Q198" s="289"/>
      <c r="R198" s="289"/>
      <c r="S198" s="289"/>
      <c r="T198" s="289"/>
      <c r="U198" s="289"/>
      <c r="V198" s="290"/>
      <c r="W198" s="37" t="s">
        <v>88</v>
      </c>
      <c r="X198" s="276">
        <f>IFERROR(SUMPRODUCT(X193:X196*H193:H196),"0")</f>
        <v>588</v>
      </c>
      <c r="Y198" s="276">
        <f>IFERROR(SUMPRODUCT(Y193:Y196*H193:H196),"0")</f>
        <v>588</v>
      </c>
      <c r="Z198" s="37"/>
      <c r="AA198" s="277"/>
      <c r="AB198" s="277"/>
      <c r="AC198" s="277"/>
    </row>
    <row r="199" spans="1:68" ht="27.75" hidden="1" customHeight="1" x14ac:dyDescent="0.2">
      <c r="A199" s="351" t="s">
        <v>288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48"/>
      <c r="AB199" s="48"/>
      <c r="AC199" s="48"/>
    </row>
    <row r="200" spans="1:68" ht="16.5" hidden="1" customHeight="1" x14ac:dyDescent="0.25">
      <c r="A200" s="295" t="s">
        <v>289</v>
      </c>
      <c r="B200" s="287"/>
      <c r="C200" s="287"/>
      <c r="D200" s="287"/>
      <c r="E200" s="287"/>
      <c r="F200" s="287"/>
      <c r="G200" s="287"/>
      <c r="H200" s="287"/>
      <c r="I200" s="287"/>
      <c r="J200" s="287"/>
      <c r="K200" s="287"/>
      <c r="L200" s="287"/>
      <c r="M200" s="287"/>
      <c r="N200" s="287"/>
      <c r="O200" s="287"/>
      <c r="P200" s="287"/>
      <c r="Q200" s="287"/>
      <c r="R200" s="287"/>
      <c r="S200" s="287"/>
      <c r="T200" s="287"/>
      <c r="U200" s="287"/>
      <c r="V200" s="287"/>
      <c r="W200" s="287"/>
      <c r="X200" s="287"/>
      <c r="Y200" s="287"/>
      <c r="Z200" s="287"/>
      <c r="AA200" s="269"/>
      <c r="AB200" s="269"/>
      <c r="AC200" s="269"/>
    </row>
    <row r="201" spans="1:68" ht="14.25" hidden="1" customHeight="1" x14ac:dyDescent="0.25">
      <c r="A201" s="286" t="s">
        <v>102</v>
      </c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87"/>
      <c r="S201" s="287"/>
      <c r="T201" s="287"/>
      <c r="U201" s="287"/>
      <c r="V201" s="287"/>
      <c r="W201" s="287"/>
      <c r="X201" s="287"/>
      <c r="Y201" s="287"/>
      <c r="Z201" s="287"/>
      <c r="AA201" s="270"/>
      <c r="AB201" s="270"/>
      <c r="AC201" s="270"/>
    </row>
    <row r="202" spans="1:68" ht="27" hidden="1" customHeight="1" x14ac:dyDescent="0.25">
      <c r="A202" s="54" t="s">
        <v>290</v>
      </c>
      <c r="B202" s="54" t="s">
        <v>291</v>
      </c>
      <c r="C202" s="31">
        <v>4301132227</v>
      </c>
      <c r="D202" s="281">
        <v>4620207491133</v>
      </c>
      <c r="E202" s="282"/>
      <c r="F202" s="273">
        <v>0.23</v>
      </c>
      <c r="G202" s="32">
        <v>12</v>
      </c>
      <c r="H202" s="273">
        <v>2.76</v>
      </c>
      <c r="I202" s="273">
        <v>2.98</v>
      </c>
      <c r="J202" s="32">
        <v>70</v>
      </c>
      <c r="K202" s="32" t="s">
        <v>105</v>
      </c>
      <c r="L202" s="32" t="s">
        <v>106</v>
      </c>
      <c r="M202" s="33" t="s">
        <v>67</v>
      </c>
      <c r="N202" s="33"/>
      <c r="O202" s="32">
        <v>180</v>
      </c>
      <c r="P202" s="46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2" s="279"/>
      <c r="R202" s="279"/>
      <c r="S202" s="279"/>
      <c r="T202" s="280"/>
      <c r="U202" s="34"/>
      <c r="V202" s="34"/>
      <c r="W202" s="35" t="s">
        <v>68</v>
      </c>
      <c r="X202" s="274">
        <v>0</v>
      </c>
      <c r="Y202" s="275">
        <f>IFERROR(IF(X202="","",X202),"")</f>
        <v>0</v>
      </c>
      <c r="Z202" s="36">
        <f>IFERROR(IF(X202="","",X202*0.01788),"")</f>
        <v>0</v>
      </c>
      <c r="AA202" s="56"/>
      <c r="AB202" s="57"/>
      <c r="AC202" s="212" t="s">
        <v>292</v>
      </c>
      <c r="AG202" s="67"/>
      <c r="AJ202" s="71" t="s">
        <v>108</v>
      </c>
      <c r="AK202" s="71">
        <v>14</v>
      </c>
      <c r="BB202" s="213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hidden="1" x14ac:dyDescent="0.2">
      <c r="A203" s="303"/>
      <c r="B203" s="287"/>
      <c r="C203" s="287"/>
      <c r="D203" s="287"/>
      <c r="E203" s="287"/>
      <c r="F203" s="287"/>
      <c r="G203" s="287"/>
      <c r="H203" s="287"/>
      <c r="I203" s="287"/>
      <c r="J203" s="287"/>
      <c r="K203" s="287"/>
      <c r="L203" s="287"/>
      <c r="M203" s="287"/>
      <c r="N203" s="287"/>
      <c r="O203" s="304"/>
      <c r="P203" s="288" t="s">
        <v>87</v>
      </c>
      <c r="Q203" s="289"/>
      <c r="R203" s="289"/>
      <c r="S203" s="289"/>
      <c r="T203" s="289"/>
      <c r="U203" s="289"/>
      <c r="V203" s="290"/>
      <c r="W203" s="37" t="s">
        <v>68</v>
      </c>
      <c r="X203" s="276">
        <f>IFERROR(SUM(X202:X202),"0")</f>
        <v>0</v>
      </c>
      <c r="Y203" s="276">
        <f>IFERROR(SUM(Y202:Y202),"0")</f>
        <v>0</v>
      </c>
      <c r="Z203" s="276">
        <f>IFERROR(IF(Z202="",0,Z202),"0")</f>
        <v>0</v>
      </c>
      <c r="AA203" s="277"/>
      <c r="AB203" s="277"/>
      <c r="AC203" s="277"/>
    </row>
    <row r="204" spans="1:68" hidden="1" x14ac:dyDescent="0.2">
      <c r="A204" s="287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304"/>
      <c r="P204" s="288" t="s">
        <v>87</v>
      </c>
      <c r="Q204" s="289"/>
      <c r="R204" s="289"/>
      <c r="S204" s="289"/>
      <c r="T204" s="289"/>
      <c r="U204" s="289"/>
      <c r="V204" s="290"/>
      <c r="W204" s="37" t="s">
        <v>88</v>
      </c>
      <c r="X204" s="276">
        <f>IFERROR(SUMPRODUCT(X202:X202*H202:H202),"0")</f>
        <v>0</v>
      </c>
      <c r="Y204" s="276">
        <f>IFERROR(SUMPRODUCT(Y202:Y202*H202:H202),"0")</f>
        <v>0</v>
      </c>
      <c r="Z204" s="37"/>
      <c r="AA204" s="277"/>
      <c r="AB204" s="277"/>
      <c r="AC204" s="277"/>
    </row>
    <row r="205" spans="1:68" ht="14.25" hidden="1" customHeight="1" x14ac:dyDescent="0.25">
      <c r="A205" s="286" t="s">
        <v>144</v>
      </c>
      <c r="B205" s="287"/>
      <c r="C205" s="287"/>
      <c r="D205" s="287"/>
      <c r="E205" s="287"/>
      <c r="F205" s="287"/>
      <c r="G205" s="287"/>
      <c r="H205" s="287"/>
      <c r="I205" s="287"/>
      <c r="J205" s="287"/>
      <c r="K205" s="287"/>
      <c r="L205" s="287"/>
      <c r="M205" s="287"/>
      <c r="N205" s="287"/>
      <c r="O205" s="287"/>
      <c r="P205" s="287"/>
      <c r="Q205" s="287"/>
      <c r="R205" s="287"/>
      <c r="S205" s="287"/>
      <c r="T205" s="287"/>
      <c r="U205" s="287"/>
      <c r="V205" s="287"/>
      <c r="W205" s="287"/>
      <c r="X205" s="287"/>
      <c r="Y205" s="287"/>
      <c r="Z205" s="287"/>
      <c r="AA205" s="270"/>
      <c r="AB205" s="270"/>
      <c r="AC205" s="270"/>
    </row>
    <row r="206" spans="1:68" ht="27" hidden="1" customHeight="1" x14ac:dyDescent="0.25">
      <c r="A206" s="54" t="s">
        <v>293</v>
      </c>
      <c r="B206" s="54" t="s">
        <v>294</v>
      </c>
      <c r="C206" s="31">
        <v>4301135834</v>
      </c>
      <c r="D206" s="281">
        <v>4620207491188</v>
      </c>
      <c r="E206" s="282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105</v>
      </c>
      <c r="L206" s="32" t="s">
        <v>66</v>
      </c>
      <c r="M206" s="33" t="s">
        <v>67</v>
      </c>
      <c r="N206" s="33"/>
      <c r="O206" s="32">
        <v>180</v>
      </c>
      <c r="P206" s="39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6" s="279"/>
      <c r="R206" s="279"/>
      <c r="S206" s="279"/>
      <c r="T206" s="280"/>
      <c r="U206" s="34"/>
      <c r="V206" s="34"/>
      <c r="W206" s="35" t="s">
        <v>68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295</v>
      </c>
      <c r="AG206" s="67"/>
      <c r="AJ206" s="71" t="s">
        <v>70</v>
      </c>
      <c r="AK206" s="71">
        <v>1</v>
      </c>
      <c r="BB206" s="215" t="s">
        <v>109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296</v>
      </c>
      <c r="B207" s="54" t="s">
        <v>297</v>
      </c>
      <c r="C207" s="31">
        <v>4301135697</v>
      </c>
      <c r="D207" s="281">
        <v>4620207490259</v>
      </c>
      <c r="E207" s="282"/>
      <c r="F207" s="273">
        <v>0.2</v>
      </c>
      <c r="G207" s="32">
        <v>12</v>
      </c>
      <c r="H207" s="273">
        <v>2.4</v>
      </c>
      <c r="I207" s="273">
        <v>3.1036000000000001</v>
      </c>
      <c r="J207" s="32">
        <v>70</v>
      </c>
      <c r="K207" s="32" t="s">
        <v>105</v>
      </c>
      <c r="L207" s="32" t="s">
        <v>106</v>
      </c>
      <c r="M207" s="33" t="s">
        <v>67</v>
      </c>
      <c r="N207" s="33"/>
      <c r="O207" s="32">
        <v>180</v>
      </c>
      <c r="P207" s="394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7" s="279"/>
      <c r="R207" s="279"/>
      <c r="S207" s="279"/>
      <c r="T207" s="280"/>
      <c r="U207" s="34"/>
      <c r="V207" s="34"/>
      <c r="W207" s="35" t="s">
        <v>68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298</v>
      </c>
      <c r="AG207" s="67"/>
      <c r="AJ207" s="71" t="s">
        <v>108</v>
      </c>
      <c r="AK207" s="71">
        <v>14</v>
      </c>
      <c r="BB207" s="217" t="s">
        <v>109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idden="1" x14ac:dyDescent="0.2">
      <c r="A208" s="303"/>
      <c r="B208" s="287"/>
      <c r="C208" s="287"/>
      <c r="D208" s="287"/>
      <c r="E208" s="287"/>
      <c r="F208" s="287"/>
      <c r="G208" s="287"/>
      <c r="H208" s="287"/>
      <c r="I208" s="287"/>
      <c r="J208" s="287"/>
      <c r="K208" s="287"/>
      <c r="L208" s="287"/>
      <c r="M208" s="287"/>
      <c r="N208" s="287"/>
      <c r="O208" s="304"/>
      <c r="P208" s="288" t="s">
        <v>87</v>
      </c>
      <c r="Q208" s="289"/>
      <c r="R208" s="289"/>
      <c r="S208" s="289"/>
      <c r="T208" s="289"/>
      <c r="U208" s="289"/>
      <c r="V208" s="290"/>
      <c r="W208" s="37" t="s">
        <v>68</v>
      </c>
      <c r="X208" s="276">
        <f>IFERROR(SUM(X206:X207),"0")</f>
        <v>0</v>
      </c>
      <c r="Y208" s="276">
        <f>IFERROR(SUM(Y206:Y207),"0")</f>
        <v>0</v>
      </c>
      <c r="Z208" s="276">
        <f>IFERROR(IF(Z206="",0,Z206),"0")+IFERROR(IF(Z207="",0,Z207),"0")</f>
        <v>0</v>
      </c>
      <c r="AA208" s="277"/>
      <c r="AB208" s="277"/>
      <c r="AC208" s="277"/>
    </row>
    <row r="209" spans="1:68" hidden="1" x14ac:dyDescent="0.2">
      <c r="A209" s="287"/>
      <c r="B209" s="287"/>
      <c r="C209" s="287"/>
      <c r="D209" s="287"/>
      <c r="E209" s="287"/>
      <c r="F209" s="287"/>
      <c r="G209" s="287"/>
      <c r="H209" s="287"/>
      <c r="I209" s="287"/>
      <c r="J209" s="287"/>
      <c r="K209" s="287"/>
      <c r="L209" s="287"/>
      <c r="M209" s="287"/>
      <c r="N209" s="287"/>
      <c r="O209" s="304"/>
      <c r="P209" s="288" t="s">
        <v>87</v>
      </c>
      <c r="Q209" s="289"/>
      <c r="R209" s="289"/>
      <c r="S209" s="289"/>
      <c r="T209" s="289"/>
      <c r="U209" s="289"/>
      <c r="V209" s="290"/>
      <c r="W209" s="37" t="s">
        <v>88</v>
      </c>
      <c r="X209" s="276">
        <f>IFERROR(SUMPRODUCT(X206:X207*H206:H207),"0")</f>
        <v>0</v>
      </c>
      <c r="Y209" s="276">
        <f>IFERROR(SUMPRODUCT(Y206:Y207*H206:H207),"0")</f>
        <v>0</v>
      </c>
      <c r="Z209" s="37"/>
      <c r="AA209" s="277"/>
      <c r="AB209" s="277"/>
      <c r="AC209" s="277"/>
    </row>
    <row r="210" spans="1:68" ht="16.5" hidden="1" customHeight="1" x14ac:dyDescent="0.25">
      <c r="A210" s="295" t="s">
        <v>299</v>
      </c>
      <c r="B210" s="287"/>
      <c r="C210" s="287"/>
      <c r="D210" s="287"/>
      <c r="E210" s="287"/>
      <c r="F210" s="287"/>
      <c r="G210" s="287"/>
      <c r="H210" s="287"/>
      <c r="I210" s="287"/>
      <c r="J210" s="287"/>
      <c r="K210" s="287"/>
      <c r="L210" s="287"/>
      <c r="M210" s="287"/>
      <c r="N210" s="287"/>
      <c r="O210" s="287"/>
      <c r="P210" s="287"/>
      <c r="Q210" s="287"/>
      <c r="R210" s="287"/>
      <c r="S210" s="287"/>
      <c r="T210" s="287"/>
      <c r="U210" s="287"/>
      <c r="V210" s="287"/>
      <c r="W210" s="287"/>
      <c r="X210" s="287"/>
      <c r="Y210" s="287"/>
      <c r="Z210" s="287"/>
      <c r="AA210" s="269"/>
      <c r="AB210" s="269"/>
      <c r="AC210" s="269"/>
    </row>
    <row r="211" spans="1:68" ht="14.25" hidden="1" customHeight="1" x14ac:dyDescent="0.25">
      <c r="A211" s="286" t="s">
        <v>144</v>
      </c>
      <c r="B211" s="287"/>
      <c r="C211" s="287"/>
      <c r="D211" s="287"/>
      <c r="E211" s="287"/>
      <c r="F211" s="287"/>
      <c r="G211" s="287"/>
      <c r="H211" s="287"/>
      <c r="I211" s="287"/>
      <c r="J211" s="287"/>
      <c r="K211" s="287"/>
      <c r="L211" s="287"/>
      <c r="M211" s="287"/>
      <c r="N211" s="287"/>
      <c r="O211" s="287"/>
      <c r="P211" s="287"/>
      <c r="Q211" s="287"/>
      <c r="R211" s="287"/>
      <c r="S211" s="287"/>
      <c r="T211" s="287"/>
      <c r="U211" s="287"/>
      <c r="V211" s="287"/>
      <c r="W211" s="287"/>
      <c r="X211" s="287"/>
      <c r="Y211" s="287"/>
      <c r="Z211" s="287"/>
      <c r="AA211" s="270"/>
      <c r="AB211" s="270"/>
      <c r="AC211" s="270"/>
    </row>
    <row r="212" spans="1:68" ht="27" hidden="1" customHeight="1" x14ac:dyDescent="0.25">
      <c r="A212" s="54" t="s">
        <v>300</v>
      </c>
      <c r="B212" s="54" t="s">
        <v>301</v>
      </c>
      <c r="C212" s="31">
        <v>4301135854</v>
      </c>
      <c r="D212" s="281">
        <v>4620207491706</v>
      </c>
      <c r="E212" s="282"/>
      <c r="F212" s="273">
        <v>0.2</v>
      </c>
      <c r="G212" s="32">
        <v>12</v>
      </c>
      <c r="H212" s="273">
        <v>2.4</v>
      </c>
      <c r="I212" s="273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9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2" s="279"/>
      <c r="R212" s="279"/>
      <c r="S212" s="279"/>
      <c r="T212" s="280"/>
      <c r="U212" s="34"/>
      <c r="V212" s="34"/>
      <c r="W212" s="35" t="s">
        <v>68</v>
      </c>
      <c r="X212" s="274">
        <v>0</v>
      </c>
      <c r="Y212" s="275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302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303</v>
      </c>
      <c r="B213" s="54" t="s">
        <v>304</v>
      </c>
      <c r="C213" s="31">
        <v>4301135895</v>
      </c>
      <c r="D213" s="281">
        <v>4620207491522</v>
      </c>
      <c r="E213" s="282"/>
      <c r="F213" s="273">
        <v>0.28000000000000003</v>
      </c>
      <c r="G213" s="32">
        <v>12</v>
      </c>
      <c r="H213" s="273">
        <v>3.36</v>
      </c>
      <c r="I213" s="273">
        <v>4.0636000000000001</v>
      </c>
      <c r="J213" s="32">
        <v>70</v>
      </c>
      <c r="K213" s="32" t="s">
        <v>105</v>
      </c>
      <c r="L213" s="32" t="s">
        <v>66</v>
      </c>
      <c r="M213" s="33" t="s">
        <v>67</v>
      </c>
      <c r="N213" s="33"/>
      <c r="O213" s="32">
        <v>180</v>
      </c>
      <c r="P213" s="298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3" s="279"/>
      <c r="R213" s="279"/>
      <c r="S213" s="279"/>
      <c r="T213" s="280"/>
      <c r="U213" s="34"/>
      <c r="V213" s="34"/>
      <c r="W213" s="35" t="s">
        <v>68</v>
      </c>
      <c r="X213" s="274">
        <v>0</v>
      </c>
      <c r="Y213" s="275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305</v>
      </c>
      <c r="AG213" s="67"/>
      <c r="AJ213" s="71" t="s">
        <v>70</v>
      </c>
      <c r="AK213" s="71">
        <v>1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03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304"/>
      <c r="P214" s="288" t="s">
        <v>87</v>
      </c>
      <c r="Q214" s="289"/>
      <c r="R214" s="289"/>
      <c r="S214" s="289"/>
      <c r="T214" s="289"/>
      <c r="U214" s="289"/>
      <c r="V214" s="290"/>
      <c r="W214" s="37" t="s">
        <v>68</v>
      </c>
      <c r="X214" s="276">
        <f>IFERROR(SUM(X212:X213),"0")</f>
        <v>0</v>
      </c>
      <c r="Y214" s="276">
        <f>IFERROR(SUM(Y212:Y213),"0")</f>
        <v>0</v>
      </c>
      <c r="Z214" s="276">
        <f>IFERROR(IF(Z212="",0,Z212),"0")+IFERROR(IF(Z213="",0,Z213),"0")</f>
        <v>0</v>
      </c>
      <c r="AA214" s="277"/>
      <c r="AB214" s="277"/>
      <c r="AC214" s="277"/>
    </row>
    <row r="215" spans="1:68" hidden="1" x14ac:dyDescent="0.2">
      <c r="A215" s="287"/>
      <c r="B215" s="287"/>
      <c r="C215" s="287"/>
      <c r="D215" s="287"/>
      <c r="E215" s="287"/>
      <c r="F215" s="287"/>
      <c r="G215" s="287"/>
      <c r="H215" s="287"/>
      <c r="I215" s="287"/>
      <c r="J215" s="287"/>
      <c r="K215" s="287"/>
      <c r="L215" s="287"/>
      <c r="M215" s="287"/>
      <c r="N215" s="287"/>
      <c r="O215" s="304"/>
      <c r="P215" s="288" t="s">
        <v>87</v>
      </c>
      <c r="Q215" s="289"/>
      <c r="R215" s="289"/>
      <c r="S215" s="289"/>
      <c r="T215" s="289"/>
      <c r="U215" s="289"/>
      <c r="V215" s="290"/>
      <c r="W215" s="37" t="s">
        <v>88</v>
      </c>
      <c r="X215" s="276">
        <f>IFERROR(SUMPRODUCT(X212:X213*H212:H213),"0")</f>
        <v>0</v>
      </c>
      <c r="Y215" s="276">
        <f>IFERROR(SUMPRODUCT(Y212:Y213*H212:H213),"0")</f>
        <v>0</v>
      </c>
      <c r="Z215" s="37"/>
      <c r="AA215" s="277"/>
      <c r="AB215" s="277"/>
      <c r="AC215" s="277"/>
    </row>
    <row r="216" spans="1:68" ht="16.5" hidden="1" customHeight="1" x14ac:dyDescent="0.25">
      <c r="A216" s="295" t="s">
        <v>306</v>
      </c>
      <c r="B216" s="287"/>
      <c r="C216" s="287"/>
      <c r="D216" s="287"/>
      <c r="E216" s="287"/>
      <c r="F216" s="287"/>
      <c r="G216" s="287"/>
      <c r="H216" s="287"/>
      <c r="I216" s="287"/>
      <c r="J216" s="287"/>
      <c r="K216" s="287"/>
      <c r="L216" s="287"/>
      <c r="M216" s="287"/>
      <c r="N216" s="287"/>
      <c r="O216" s="287"/>
      <c r="P216" s="287"/>
      <c r="Q216" s="287"/>
      <c r="R216" s="287"/>
      <c r="S216" s="287"/>
      <c r="T216" s="287"/>
      <c r="U216" s="287"/>
      <c r="V216" s="287"/>
      <c r="W216" s="287"/>
      <c r="X216" s="287"/>
      <c r="Y216" s="287"/>
      <c r="Z216" s="287"/>
      <c r="AA216" s="269"/>
      <c r="AB216" s="269"/>
      <c r="AC216" s="269"/>
    </row>
    <row r="217" spans="1:68" ht="14.25" hidden="1" customHeight="1" x14ac:dyDescent="0.25">
      <c r="A217" s="286" t="s">
        <v>62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270"/>
      <c r="AB217" s="270"/>
      <c r="AC217" s="270"/>
    </row>
    <row r="218" spans="1:68" ht="27" hidden="1" customHeight="1" x14ac:dyDescent="0.25">
      <c r="A218" s="54" t="s">
        <v>307</v>
      </c>
      <c r="B218" s="54" t="s">
        <v>308</v>
      </c>
      <c r="C218" s="31">
        <v>4301071097</v>
      </c>
      <c r="D218" s="281">
        <v>4620207491096</v>
      </c>
      <c r="E218" s="282"/>
      <c r="F218" s="273">
        <v>1</v>
      </c>
      <c r="G218" s="32">
        <v>5</v>
      </c>
      <c r="H218" s="273">
        <v>5</v>
      </c>
      <c r="I218" s="273">
        <v>5.23</v>
      </c>
      <c r="J218" s="32">
        <v>84</v>
      </c>
      <c r="K218" s="32" t="s">
        <v>65</v>
      </c>
      <c r="L218" s="32" t="s">
        <v>106</v>
      </c>
      <c r="M218" s="33" t="s">
        <v>67</v>
      </c>
      <c r="N218" s="33"/>
      <c r="O218" s="32">
        <v>180</v>
      </c>
      <c r="P218" s="46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8" s="279"/>
      <c r="R218" s="279"/>
      <c r="S218" s="279"/>
      <c r="T218" s="280"/>
      <c r="U218" s="34"/>
      <c r="V218" s="34"/>
      <c r="W218" s="35" t="s">
        <v>68</v>
      </c>
      <c r="X218" s="274">
        <v>0</v>
      </c>
      <c r="Y218" s="275">
        <f>IFERROR(IF(X218="","",X218),"")</f>
        <v>0</v>
      </c>
      <c r="Z218" s="36">
        <f>IFERROR(IF(X218="","",X218*0.0155),"")</f>
        <v>0</v>
      </c>
      <c r="AA218" s="56"/>
      <c r="AB218" s="57"/>
      <c r="AC218" s="222" t="s">
        <v>309</v>
      </c>
      <c r="AG218" s="67"/>
      <c r="AJ218" s="71" t="s">
        <v>108</v>
      </c>
      <c r="AK218" s="71">
        <v>12</v>
      </c>
      <c r="BB218" s="223" t="s">
        <v>1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3"/>
      <c r="B219" s="287"/>
      <c r="C219" s="287"/>
      <c r="D219" s="287"/>
      <c r="E219" s="287"/>
      <c r="F219" s="287"/>
      <c r="G219" s="287"/>
      <c r="H219" s="287"/>
      <c r="I219" s="287"/>
      <c r="J219" s="287"/>
      <c r="K219" s="287"/>
      <c r="L219" s="287"/>
      <c r="M219" s="287"/>
      <c r="N219" s="287"/>
      <c r="O219" s="304"/>
      <c r="P219" s="288" t="s">
        <v>87</v>
      </c>
      <c r="Q219" s="289"/>
      <c r="R219" s="289"/>
      <c r="S219" s="289"/>
      <c r="T219" s="289"/>
      <c r="U219" s="289"/>
      <c r="V219" s="290"/>
      <c r="W219" s="37" t="s">
        <v>68</v>
      </c>
      <c r="X219" s="276">
        <f>IFERROR(SUM(X218:X218),"0")</f>
        <v>0</v>
      </c>
      <c r="Y219" s="276">
        <f>IFERROR(SUM(Y218:Y218),"0")</f>
        <v>0</v>
      </c>
      <c r="Z219" s="276">
        <f>IFERROR(IF(Z218="",0,Z218),"0")</f>
        <v>0</v>
      </c>
      <c r="AA219" s="277"/>
      <c r="AB219" s="277"/>
      <c r="AC219" s="277"/>
    </row>
    <row r="220" spans="1:68" hidden="1" x14ac:dyDescent="0.2">
      <c r="A220" s="287"/>
      <c r="B220" s="287"/>
      <c r="C220" s="287"/>
      <c r="D220" s="287"/>
      <c r="E220" s="287"/>
      <c r="F220" s="287"/>
      <c r="G220" s="287"/>
      <c r="H220" s="287"/>
      <c r="I220" s="287"/>
      <c r="J220" s="287"/>
      <c r="K220" s="287"/>
      <c r="L220" s="287"/>
      <c r="M220" s="287"/>
      <c r="N220" s="287"/>
      <c r="O220" s="304"/>
      <c r="P220" s="288" t="s">
        <v>87</v>
      </c>
      <c r="Q220" s="289"/>
      <c r="R220" s="289"/>
      <c r="S220" s="289"/>
      <c r="T220" s="289"/>
      <c r="U220" s="289"/>
      <c r="V220" s="290"/>
      <c r="W220" s="37" t="s">
        <v>88</v>
      </c>
      <c r="X220" s="276">
        <f>IFERROR(SUMPRODUCT(X218:X218*H218:H218),"0")</f>
        <v>0</v>
      </c>
      <c r="Y220" s="276">
        <f>IFERROR(SUMPRODUCT(Y218:Y218*H218:H218),"0")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51" t="s">
        <v>310</v>
      </c>
      <c r="B221" s="352"/>
      <c r="C221" s="352"/>
      <c r="D221" s="352"/>
      <c r="E221" s="352"/>
      <c r="F221" s="352"/>
      <c r="G221" s="352"/>
      <c r="H221" s="352"/>
      <c r="I221" s="352"/>
      <c r="J221" s="352"/>
      <c r="K221" s="352"/>
      <c r="L221" s="352"/>
      <c r="M221" s="352"/>
      <c r="N221" s="352"/>
      <c r="O221" s="352"/>
      <c r="P221" s="352"/>
      <c r="Q221" s="352"/>
      <c r="R221" s="352"/>
      <c r="S221" s="352"/>
      <c r="T221" s="352"/>
      <c r="U221" s="352"/>
      <c r="V221" s="352"/>
      <c r="W221" s="352"/>
      <c r="X221" s="352"/>
      <c r="Y221" s="352"/>
      <c r="Z221" s="352"/>
      <c r="AA221" s="48"/>
      <c r="AB221" s="48"/>
      <c r="AC221" s="48"/>
    </row>
    <row r="222" spans="1:68" ht="16.5" hidden="1" customHeight="1" x14ac:dyDescent="0.25">
      <c r="A222" s="295" t="s">
        <v>311</v>
      </c>
      <c r="B222" s="287"/>
      <c r="C222" s="287"/>
      <c r="D222" s="287"/>
      <c r="E222" s="287"/>
      <c r="F222" s="287"/>
      <c r="G222" s="287"/>
      <c r="H222" s="287"/>
      <c r="I222" s="287"/>
      <c r="J222" s="287"/>
      <c r="K222" s="287"/>
      <c r="L222" s="287"/>
      <c r="M222" s="287"/>
      <c r="N222" s="287"/>
      <c r="O222" s="287"/>
      <c r="P222" s="287"/>
      <c r="Q222" s="287"/>
      <c r="R222" s="287"/>
      <c r="S222" s="287"/>
      <c r="T222" s="287"/>
      <c r="U222" s="287"/>
      <c r="V222" s="287"/>
      <c r="W222" s="287"/>
      <c r="X222" s="287"/>
      <c r="Y222" s="287"/>
      <c r="Z222" s="287"/>
      <c r="AA222" s="269"/>
      <c r="AB222" s="269"/>
      <c r="AC222" s="269"/>
    </row>
    <row r="223" spans="1:68" ht="14.25" hidden="1" customHeight="1" x14ac:dyDescent="0.25">
      <c r="A223" s="286" t="s">
        <v>62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270"/>
      <c r="AB223" s="270"/>
      <c r="AC223" s="270"/>
    </row>
    <row r="224" spans="1:68" ht="27" hidden="1" customHeight="1" x14ac:dyDescent="0.25">
      <c r="A224" s="54" t="s">
        <v>312</v>
      </c>
      <c r="B224" s="54" t="s">
        <v>313</v>
      </c>
      <c r="C224" s="31">
        <v>4301071036</v>
      </c>
      <c r="D224" s="281">
        <v>4607111036162</v>
      </c>
      <c r="E224" s="282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90</v>
      </c>
      <c r="P224" s="38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79"/>
      <c r="R224" s="279"/>
      <c r="S224" s="279"/>
      <c r="T224" s="280"/>
      <c r="U224" s="34"/>
      <c r="V224" s="34"/>
      <c r="W224" s="35" t="s">
        <v>68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4" t="s">
        <v>314</v>
      </c>
      <c r="AG224" s="67"/>
      <c r="AJ224" s="71" t="s">
        <v>70</v>
      </c>
      <c r="AK224" s="71">
        <v>1</v>
      </c>
      <c r="BB224" s="22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03"/>
      <c r="B225" s="287"/>
      <c r="C225" s="287"/>
      <c r="D225" s="287"/>
      <c r="E225" s="287"/>
      <c r="F225" s="287"/>
      <c r="G225" s="287"/>
      <c r="H225" s="287"/>
      <c r="I225" s="287"/>
      <c r="J225" s="287"/>
      <c r="K225" s="287"/>
      <c r="L225" s="287"/>
      <c r="M225" s="287"/>
      <c r="N225" s="287"/>
      <c r="O225" s="304"/>
      <c r="P225" s="288" t="s">
        <v>87</v>
      </c>
      <c r="Q225" s="289"/>
      <c r="R225" s="289"/>
      <c r="S225" s="289"/>
      <c r="T225" s="289"/>
      <c r="U225" s="289"/>
      <c r="V225" s="290"/>
      <c r="W225" s="37" t="s">
        <v>68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87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304"/>
      <c r="P226" s="288" t="s">
        <v>87</v>
      </c>
      <c r="Q226" s="289"/>
      <c r="R226" s="289"/>
      <c r="S226" s="289"/>
      <c r="T226" s="289"/>
      <c r="U226" s="289"/>
      <c r="V226" s="290"/>
      <c r="W226" s="37" t="s">
        <v>88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51" t="s">
        <v>315</v>
      </c>
      <c r="B227" s="352"/>
      <c r="C227" s="352"/>
      <c r="D227" s="352"/>
      <c r="E227" s="352"/>
      <c r="F227" s="352"/>
      <c r="G227" s="352"/>
      <c r="H227" s="352"/>
      <c r="I227" s="352"/>
      <c r="J227" s="352"/>
      <c r="K227" s="352"/>
      <c r="L227" s="352"/>
      <c r="M227" s="352"/>
      <c r="N227" s="352"/>
      <c r="O227" s="352"/>
      <c r="P227" s="352"/>
      <c r="Q227" s="352"/>
      <c r="R227" s="352"/>
      <c r="S227" s="352"/>
      <c r="T227" s="352"/>
      <c r="U227" s="352"/>
      <c r="V227" s="352"/>
      <c r="W227" s="352"/>
      <c r="X227" s="352"/>
      <c r="Y227" s="352"/>
      <c r="Z227" s="352"/>
      <c r="AA227" s="48"/>
      <c r="AB227" s="48"/>
      <c r="AC227" s="48"/>
    </row>
    <row r="228" spans="1:68" ht="16.5" hidden="1" customHeight="1" x14ac:dyDescent="0.25">
      <c r="A228" s="295" t="s">
        <v>316</v>
      </c>
      <c r="B228" s="287"/>
      <c r="C228" s="287"/>
      <c r="D228" s="287"/>
      <c r="E228" s="287"/>
      <c r="F228" s="287"/>
      <c r="G228" s="287"/>
      <c r="H228" s="287"/>
      <c r="I228" s="287"/>
      <c r="J228" s="287"/>
      <c r="K228" s="287"/>
      <c r="L228" s="287"/>
      <c r="M228" s="287"/>
      <c r="N228" s="287"/>
      <c r="O228" s="287"/>
      <c r="P228" s="287"/>
      <c r="Q228" s="287"/>
      <c r="R228" s="287"/>
      <c r="S228" s="287"/>
      <c r="T228" s="287"/>
      <c r="U228" s="287"/>
      <c r="V228" s="287"/>
      <c r="W228" s="287"/>
      <c r="X228" s="287"/>
      <c r="Y228" s="287"/>
      <c r="Z228" s="287"/>
      <c r="AA228" s="269"/>
      <c r="AB228" s="269"/>
      <c r="AC228" s="269"/>
    </row>
    <row r="229" spans="1:68" ht="14.25" hidden="1" customHeight="1" x14ac:dyDescent="0.25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270"/>
      <c r="AB229" s="270"/>
      <c r="AC229" s="270"/>
    </row>
    <row r="230" spans="1:68" ht="27" hidden="1" customHeight="1" x14ac:dyDescent="0.25">
      <c r="A230" s="54" t="s">
        <v>318</v>
      </c>
      <c r="B230" s="54" t="s">
        <v>319</v>
      </c>
      <c r="C230" s="31">
        <v>4301133004</v>
      </c>
      <c r="D230" s="281">
        <v>4607111039774</v>
      </c>
      <c r="E230" s="282"/>
      <c r="F230" s="273">
        <v>0.25</v>
      </c>
      <c r="G230" s="32">
        <v>12</v>
      </c>
      <c r="H230" s="273">
        <v>3</v>
      </c>
      <c r="I230" s="273">
        <v>3.22</v>
      </c>
      <c r="J230" s="32">
        <v>70</v>
      </c>
      <c r="K230" s="32" t="s">
        <v>105</v>
      </c>
      <c r="L230" s="32" t="s">
        <v>66</v>
      </c>
      <c r="M230" s="33" t="s">
        <v>67</v>
      </c>
      <c r="N230" s="33"/>
      <c r="O230" s="32">
        <v>180</v>
      </c>
      <c r="P230" s="339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0" s="279"/>
      <c r="R230" s="279"/>
      <c r="S230" s="279"/>
      <c r="T230" s="280"/>
      <c r="U230" s="34"/>
      <c r="V230" s="34"/>
      <c r="W230" s="35" t="s">
        <v>68</v>
      </c>
      <c r="X230" s="274">
        <v>0</v>
      </c>
      <c r="Y230" s="275">
        <f>IFERROR(IF(X230="","",X230),"")</f>
        <v>0</v>
      </c>
      <c r="Z230" s="36">
        <f>IFERROR(IF(X230="","",X230*0.01788),"")</f>
        <v>0</v>
      </c>
      <c r="AA230" s="56"/>
      <c r="AB230" s="57"/>
      <c r="AC230" s="226" t="s">
        <v>320</v>
      </c>
      <c r="AG230" s="67"/>
      <c r="AJ230" s="71" t="s">
        <v>70</v>
      </c>
      <c r="AK230" s="71">
        <v>1</v>
      </c>
      <c r="BB230" s="227" t="s">
        <v>109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03"/>
      <c r="B231" s="287"/>
      <c r="C231" s="287"/>
      <c r="D231" s="287"/>
      <c r="E231" s="287"/>
      <c r="F231" s="287"/>
      <c r="G231" s="287"/>
      <c r="H231" s="287"/>
      <c r="I231" s="287"/>
      <c r="J231" s="287"/>
      <c r="K231" s="287"/>
      <c r="L231" s="287"/>
      <c r="M231" s="287"/>
      <c r="N231" s="287"/>
      <c r="O231" s="304"/>
      <c r="P231" s="288" t="s">
        <v>87</v>
      </c>
      <c r="Q231" s="289"/>
      <c r="R231" s="289"/>
      <c r="S231" s="289"/>
      <c r="T231" s="289"/>
      <c r="U231" s="289"/>
      <c r="V231" s="290"/>
      <c r="W231" s="37" t="s">
        <v>68</v>
      </c>
      <c r="X231" s="276">
        <f>IFERROR(SUM(X230:X230),"0")</f>
        <v>0</v>
      </c>
      <c r="Y231" s="276">
        <f>IFERROR(SUM(Y230:Y230),"0")</f>
        <v>0</v>
      </c>
      <c r="Z231" s="276">
        <f>IFERROR(IF(Z230="",0,Z230),"0")</f>
        <v>0</v>
      </c>
      <c r="AA231" s="277"/>
      <c r="AB231" s="277"/>
      <c r="AC231" s="277"/>
    </row>
    <row r="232" spans="1:68" hidden="1" x14ac:dyDescent="0.2">
      <c r="A232" s="287"/>
      <c r="B232" s="287"/>
      <c r="C232" s="287"/>
      <c r="D232" s="287"/>
      <c r="E232" s="287"/>
      <c r="F232" s="287"/>
      <c r="G232" s="287"/>
      <c r="H232" s="287"/>
      <c r="I232" s="287"/>
      <c r="J232" s="287"/>
      <c r="K232" s="287"/>
      <c r="L232" s="287"/>
      <c r="M232" s="287"/>
      <c r="N232" s="287"/>
      <c r="O232" s="304"/>
      <c r="P232" s="288" t="s">
        <v>87</v>
      </c>
      <c r="Q232" s="289"/>
      <c r="R232" s="289"/>
      <c r="S232" s="289"/>
      <c r="T232" s="289"/>
      <c r="U232" s="289"/>
      <c r="V232" s="290"/>
      <c r="W232" s="37" t="s">
        <v>88</v>
      </c>
      <c r="X232" s="276">
        <f>IFERROR(SUMPRODUCT(X230:X230*H230:H230),"0")</f>
        <v>0</v>
      </c>
      <c r="Y232" s="276">
        <f>IFERROR(SUMPRODUCT(Y230:Y230*H230:H230),"0")</f>
        <v>0</v>
      </c>
      <c r="Z232" s="37"/>
      <c r="AA232" s="277"/>
      <c r="AB232" s="277"/>
      <c r="AC232" s="277"/>
    </row>
    <row r="233" spans="1:68" ht="14.25" hidden="1" customHeight="1" x14ac:dyDescent="0.25">
      <c r="A233" s="286" t="s">
        <v>144</v>
      </c>
      <c r="B233" s="287"/>
      <c r="C233" s="287"/>
      <c r="D233" s="287"/>
      <c r="E233" s="287"/>
      <c r="F233" s="287"/>
      <c r="G233" s="287"/>
      <c r="H233" s="287"/>
      <c r="I233" s="287"/>
      <c r="J233" s="287"/>
      <c r="K233" s="287"/>
      <c r="L233" s="287"/>
      <c r="M233" s="287"/>
      <c r="N233" s="287"/>
      <c r="O233" s="287"/>
      <c r="P233" s="287"/>
      <c r="Q233" s="287"/>
      <c r="R233" s="287"/>
      <c r="S233" s="287"/>
      <c r="T233" s="287"/>
      <c r="U233" s="287"/>
      <c r="V233" s="287"/>
      <c r="W233" s="287"/>
      <c r="X233" s="287"/>
      <c r="Y233" s="287"/>
      <c r="Z233" s="287"/>
      <c r="AA233" s="270"/>
      <c r="AB233" s="270"/>
      <c r="AC233" s="270"/>
    </row>
    <row r="234" spans="1:68" ht="37.5" hidden="1" customHeight="1" x14ac:dyDescent="0.25">
      <c r="A234" s="54" t="s">
        <v>321</v>
      </c>
      <c r="B234" s="54" t="s">
        <v>322</v>
      </c>
      <c r="C234" s="31">
        <v>4301135400</v>
      </c>
      <c r="D234" s="281">
        <v>4607111039361</v>
      </c>
      <c r="E234" s="282"/>
      <c r="F234" s="273">
        <v>0.25</v>
      </c>
      <c r="G234" s="32">
        <v>12</v>
      </c>
      <c r="H234" s="273">
        <v>3</v>
      </c>
      <c r="I234" s="273">
        <v>3.7035999999999998</v>
      </c>
      <c r="J234" s="32">
        <v>70</v>
      </c>
      <c r="K234" s="32" t="s">
        <v>105</v>
      </c>
      <c r="L234" s="32" t="s">
        <v>66</v>
      </c>
      <c r="M234" s="33" t="s">
        <v>67</v>
      </c>
      <c r="N234" s="33"/>
      <c r="O234" s="32">
        <v>180</v>
      </c>
      <c r="P23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4" s="279"/>
      <c r="R234" s="279"/>
      <c r="S234" s="279"/>
      <c r="T234" s="280"/>
      <c r="U234" s="34"/>
      <c r="V234" s="34"/>
      <c r="W234" s="35" t="s">
        <v>68</v>
      </c>
      <c r="X234" s="274">
        <v>0</v>
      </c>
      <c r="Y234" s="275">
        <f>IFERROR(IF(X234="","",X234),"")</f>
        <v>0</v>
      </c>
      <c r="Z234" s="36">
        <f>IFERROR(IF(X234="","",X234*0.01788),"")</f>
        <v>0</v>
      </c>
      <c r="AA234" s="56"/>
      <c r="AB234" s="57"/>
      <c r="AC234" s="228" t="s">
        <v>320</v>
      </c>
      <c r="AG234" s="67"/>
      <c r="AJ234" s="71" t="s">
        <v>70</v>
      </c>
      <c r="AK234" s="71">
        <v>1</v>
      </c>
      <c r="BB234" s="229" t="s">
        <v>109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3"/>
      <c r="B235" s="287"/>
      <c r="C235" s="287"/>
      <c r="D235" s="287"/>
      <c r="E235" s="287"/>
      <c r="F235" s="287"/>
      <c r="G235" s="287"/>
      <c r="H235" s="287"/>
      <c r="I235" s="287"/>
      <c r="J235" s="287"/>
      <c r="K235" s="287"/>
      <c r="L235" s="287"/>
      <c r="M235" s="287"/>
      <c r="N235" s="287"/>
      <c r="O235" s="304"/>
      <c r="P235" s="288" t="s">
        <v>87</v>
      </c>
      <c r="Q235" s="289"/>
      <c r="R235" s="289"/>
      <c r="S235" s="289"/>
      <c r="T235" s="289"/>
      <c r="U235" s="289"/>
      <c r="V235" s="290"/>
      <c r="W235" s="37" t="s">
        <v>68</v>
      </c>
      <c r="X235" s="276">
        <f>IFERROR(SUM(X234:X234),"0")</f>
        <v>0</v>
      </c>
      <c r="Y235" s="276">
        <f>IFERROR(SUM(Y234:Y234),"0")</f>
        <v>0</v>
      </c>
      <c r="Z235" s="276">
        <f>IFERROR(IF(Z234="",0,Z234),"0")</f>
        <v>0</v>
      </c>
      <c r="AA235" s="277"/>
      <c r="AB235" s="277"/>
      <c r="AC235" s="277"/>
    </row>
    <row r="236" spans="1:68" hidden="1" x14ac:dyDescent="0.2">
      <c r="A236" s="287"/>
      <c r="B236" s="287"/>
      <c r="C236" s="287"/>
      <c r="D236" s="287"/>
      <c r="E236" s="287"/>
      <c r="F236" s="287"/>
      <c r="G236" s="287"/>
      <c r="H236" s="287"/>
      <c r="I236" s="287"/>
      <c r="J236" s="287"/>
      <c r="K236" s="287"/>
      <c r="L236" s="287"/>
      <c r="M236" s="287"/>
      <c r="N236" s="287"/>
      <c r="O236" s="304"/>
      <c r="P236" s="288" t="s">
        <v>87</v>
      </c>
      <c r="Q236" s="289"/>
      <c r="R236" s="289"/>
      <c r="S236" s="289"/>
      <c r="T236" s="289"/>
      <c r="U236" s="289"/>
      <c r="V236" s="290"/>
      <c r="W236" s="37" t="s">
        <v>88</v>
      </c>
      <c r="X236" s="276">
        <f>IFERROR(SUMPRODUCT(X234:X234*H234:H234),"0")</f>
        <v>0</v>
      </c>
      <c r="Y236" s="276">
        <f>IFERROR(SUMPRODUCT(Y234:Y234*H234:H234),"0")</f>
        <v>0</v>
      </c>
      <c r="Z236" s="37"/>
      <c r="AA236" s="277"/>
      <c r="AB236" s="277"/>
      <c r="AC236" s="277"/>
    </row>
    <row r="237" spans="1:68" ht="27.75" hidden="1" customHeight="1" x14ac:dyDescent="0.2">
      <c r="A237" s="351" t="s">
        <v>323</v>
      </c>
      <c r="B237" s="352"/>
      <c r="C237" s="352"/>
      <c r="D237" s="352"/>
      <c r="E237" s="352"/>
      <c r="F237" s="352"/>
      <c r="G237" s="352"/>
      <c r="H237" s="352"/>
      <c r="I237" s="352"/>
      <c r="J237" s="352"/>
      <c r="K237" s="352"/>
      <c r="L237" s="352"/>
      <c r="M237" s="352"/>
      <c r="N237" s="352"/>
      <c r="O237" s="352"/>
      <c r="P237" s="352"/>
      <c r="Q237" s="352"/>
      <c r="R237" s="352"/>
      <c r="S237" s="352"/>
      <c r="T237" s="352"/>
      <c r="U237" s="352"/>
      <c r="V237" s="352"/>
      <c r="W237" s="352"/>
      <c r="X237" s="352"/>
      <c r="Y237" s="352"/>
      <c r="Z237" s="352"/>
      <c r="AA237" s="48"/>
      <c r="AB237" s="48"/>
      <c r="AC237" s="48"/>
    </row>
    <row r="238" spans="1:68" ht="16.5" hidden="1" customHeight="1" x14ac:dyDescent="0.25">
      <c r="A238" s="295" t="s">
        <v>323</v>
      </c>
      <c r="B238" s="287"/>
      <c r="C238" s="287"/>
      <c r="D238" s="287"/>
      <c r="E238" s="287"/>
      <c r="F238" s="287"/>
      <c r="G238" s="287"/>
      <c r="H238" s="287"/>
      <c r="I238" s="287"/>
      <c r="J238" s="287"/>
      <c r="K238" s="287"/>
      <c r="L238" s="287"/>
      <c r="M238" s="287"/>
      <c r="N238" s="287"/>
      <c r="O238" s="287"/>
      <c r="P238" s="287"/>
      <c r="Q238" s="287"/>
      <c r="R238" s="287"/>
      <c r="S238" s="287"/>
      <c r="T238" s="287"/>
      <c r="U238" s="287"/>
      <c r="V238" s="287"/>
      <c r="W238" s="287"/>
      <c r="X238" s="287"/>
      <c r="Y238" s="287"/>
      <c r="Z238" s="287"/>
      <c r="AA238" s="269"/>
      <c r="AB238" s="269"/>
      <c r="AC238" s="269"/>
    </row>
    <row r="239" spans="1:68" ht="14.25" hidden="1" customHeight="1" x14ac:dyDescent="0.25">
      <c r="A239" s="286" t="s">
        <v>102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270"/>
      <c r="AB239" s="270"/>
      <c r="AC239" s="270"/>
    </row>
    <row r="240" spans="1:68" ht="27" hidden="1" customHeight="1" x14ac:dyDescent="0.25">
      <c r="A240" s="54" t="s">
        <v>324</v>
      </c>
      <c r="B240" s="54" t="s">
        <v>325</v>
      </c>
      <c r="C240" s="31">
        <v>4301132228</v>
      </c>
      <c r="D240" s="281">
        <v>4640242181950</v>
      </c>
      <c r="E240" s="282"/>
      <c r="F240" s="273">
        <v>0.23</v>
      </c>
      <c r="G240" s="32">
        <v>12</v>
      </c>
      <c r="H240" s="273">
        <v>2.76</v>
      </c>
      <c r="I240" s="273">
        <v>3.22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365</v>
      </c>
      <c r="P240" s="33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0" s="279"/>
      <c r="R240" s="279"/>
      <c r="S240" s="279"/>
      <c r="T240" s="280"/>
      <c r="U240" s="34"/>
      <c r="V240" s="34"/>
      <c r="W240" s="35" t="s">
        <v>68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326</v>
      </c>
      <c r="AG240" s="67"/>
      <c r="AJ240" s="71" t="s">
        <v>70</v>
      </c>
      <c r="AK240" s="71">
        <v>1</v>
      </c>
      <c r="BB240" s="231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3"/>
      <c r="B241" s="287"/>
      <c r="C241" s="287"/>
      <c r="D241" s="287"/>
      <c r="E241" s="287"/>
      <c r="F241" s="287"/>
      <c r="G241" s="287"/>
      <c r="H241" s="287"/>
      <c r="I241" s="287"/>
      <c r="J241" s="287"/>
      <c r="K241" s="287"/>
      <c r="L241" s="287"/>
      <c r="M241" s="287"/>
      <c r="N241" s="287"/>
      <c r="O241" s="304"/>
      <c r="P241" s="288" t="s">
        <v>87</v>
      </c>
      <c r="Q241" s="289"/>
      <c r="R241" s="289"/>
      <c r="S241" s="289"/>
      <c r="T241" s="289"/>
      <c r="U241" s="289"/>
      <c r="V241" s="290"/>
      <c r="W241" s="37" t="s">
        <v>68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87"/>
      <c r="B242" s="287"/>
      <c r="C242" s="287"/>
      <c r="D242" s="287"/>
      <c r="E242" s="287"/>
      <c r="F242" s="287"/>
      <c r="G242" s="287"/>
      <c r="H242" s="287"/>
      <c r="I242" s="287"/>
      <c r="J242" s="287"/>
      <c r="K242" s="287"/>
      <c r="L242" s="287"/>
      <c r="M242" s="287"/>
      <c r="N242" s="287"/>
      <c r="O242" s="304"/>
      <c r="P242" s="288" t="s">
        <v>87</v>
      </c>
      <c r="Q242" s="289"/>
      <c r="R242" s="289"/>
      <c r="S242" s="289"/>
      <c r="T242" s="289"/>
      <c r="U242" s="289"/>
      <c r="V242" s="290"/>
      <c r="W242" s="37" t="s">
        <v>88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14.25" hidden="1" customHeight="1" x14ac:dyDescent="0.25">
      <c r="A243" s="286" t="s">
        <v>172</v>
      </c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87"/>
      <c r="S243" s="287"/>
      <c r="T243" s="287"/>
      <c r="U243" s="287"/>
      <c r="V243" s="287"/>
      <c r="W243" s="287"/>
      <c r="X243" s="287"/>
      <c r="Y243" s="287"/>
      <c r="Z243" s="287"/>
      <c r="AA243" s="270"/>
      <c r="AB243" s="270"/>
      <c r="AC243" s="270"/>
    </row>
    <row r="244" spans="1:68" ht="27" hidden="1" customHeight="1" x14ac:dyDescent="0.25">
      <c r="A244" s="54" t="s">
        <v>327</v>
      </c>
      <c r="B244" s="54" t="s">
        <v>328</v>
      </c>
      <c r="C244" s="31">
        <v>4301136098</v>
      </c>
      <c r="D244" s="281">
        <v>4640242181943</v>
      </c>
      <c r="E244" s="282"/>
      <c r="F244" s="273">
        <v>0.09</v>
      </c>
      <c r="G244" s="32">
        <v>24</v>
      </c>
      <c r="H244" s="273">
        <v>2.16</v>
      </c>
      <c r="I244" s="273">
        <v>2.34</v>
      </c>
      <c r="J244" s="32">
        <v>126</v>
      </c>
      <c r="K244" s="32" t="s">
        <v>105</v>
      </c>
      <c r="L244" s="32" t="s">
        <v>66</v>
      </c>
      <c r="M244" s="33" t="s">
        <v>67</v>
      </c>
      <c r="N244" s="33"/>
      <c r="O244" s="32">
        <v>180</v>
      </c>
      <c r="P244" s="28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4" s="279"/>
      <c r="R244" s="279"/>
      <c r="S244" s="279"/>
      <c r="T244" s="280"/>
      <c r="U244" s="34"/>
      <c r="V244" s="34"/>
      <c r="W244" s="35" t="s">
        <v>68</v>
      </c>
      <c r="X244" s="274">
        <v>0</v>
      </c>
      <c r="Y244" s="275">
        <f>IFERROR(IF(X244="","",X244),"")</f>
        <v>0</v>
      </c>
      <c r="Z244" s="36">
        <f>IFERROR(IF(X244="","",X244*0.00936),"")</f>
        <v>0</v>
      </c>
      <c r="AA244" s="56"/>
      <c r="AB244" s="57"/>
      <c r="AC244" s="232" t="s">
        <v>329</v>
      </c>
      <c r="AG244" s="67"/>
      <c r="AJ244" s="71" t="s">
        <v>70</v>
      </c>
      <c r="AK244" s="71">
        <v>1</v>
      </c>
      <c r="BB244" s="233" t="s">
        <v>109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3"/>
      <c r="B245" s="287"/>
      <c r="C245" s="287"/>
      <c r="D245" s="287"/>
      <c r="E245" s="287"/>
      <c r="F245" s="287"/>
      <c r="G245" s="287"/>
      <c r="H245" s="287"/>
      <c r="I245" s="287"/>
      <c r="J245" s="287"/>
      <c r="K245" s="287"/>
      <c r="L245" s="287"/>
      <c r="M245" s="287"/>
      <c r="N245" s="287"/>
      <c r="O245" s="304"/>
      <c r="P245" s="288" t="s">
        <v>87</v>
      </c>
      <c r="Q245" s="289"/>
      <c r="R245" s="289"/>
      <c r="S245" s="289"/>
      <c r="T245" s="289"/>
      <c r="U245" s="289"/>
      <c r="V245" s="290"/>
      <c r="W245" s="37" t="s">
        <v>68</v>
      </c>
      <c r="X245" s="276">
        <f>IFERROR(SUM(X244:X244),"0")</f>
        <v>0</v>
      </c>
      <c r="Y245" s="276">
        <f>IFERROR(SUM(Y244:Y244),"0")</f>
        <v>0</v>
      </c>
      <c r="Z245" s="276">
        <f>IFERROR(IF(Z244="",0,Z244),"0")</f>
        <v>0</v>
      </c>
      <c r="AA245" s="277"/>
      <c r="AB245" s="277"/>
      <c r="AC245" s="277"/>
    </row>
    <row r="246" spans="1:68" hidden="1" x14ac:dyDescent="0.2">
      <c r="A246" s="287"/>
      <c r="B246" s="287"/>
      <c r="C246" s="287"/>
      <c r="D246" s="287"/>
      <c r="E246" s="287"/>
      <c r="F246" s="287"/>
      <c r="G246" s="287"/>
      <c r="H246" s="287"/>
      <c r="I246" s="287"/>
      <c r="J246" s="287"/>
      <c r="K246" s="287"/>
      <c r="L246" s="287"/>
      <c r="M246" s="287"/>
      <c r="N246" s="287"/>
      <c r="O246" s="304"/>
      <c r="P246" s="288" t="s">
        <v>87</v>
      </c>
      <c r="Q246" s="289"/>
      <c r="R246" s="289"/>
      <c r="S246" s="289"/>
      <c r="T246" s="289"/>
      <c r="U246" s="289"/>
      <c r="V246" s="290"/>
      <c r="W246" s="37" t="s">
        <v>88</v>
      </c>
      <c r="X246" s="276">
        <f>IFERROR(SUMPRODUCT(X244:X244*H244:H244),"0")</f>
        <v>0</v>
      </c>
      <c r="Y246" s="276">
        <f>IFERROR(SUMPRODUCT(Y244:Y244*H244:H244),"0")</f>
        <v>0</v>
      </c>
      <c r="Z246" s="37"/>
      <c r="AA246" s="277"/>
      <c r="AB246" s="277"/>
      <c r="AC246" s="277"/>
    </row>
    <row r="247" spans="1:68" ht="27.75" hidden="1" customHeight="1" x14ac:dyDescent="0.2">
      <c r="A247" s="351" t="s">
        <v>254</v>
      </c>
      <c r="B247" s="352"/>
      <c r="C247" s="352"/>
      <c r="D247" s="352"/>
      <c r="E247" s="352"/>
      <c r="F247" s="352"/>
      <c r="G247" s="352"/>
      <c r="H247" s="352"/>
      <c r="I247" s="352"/>
      <c r="J247" s="352"/>
      <c r="K247" s="352"/>
      <c r="L247" s="352"/>
      <c r="M247" s="352"/>
      <c r="N247" s="352"/>
      <c r="O247" s="352"/>
      <c r="P247" s="352"/>
      <c r="Q247" s="352"/>
      <c r="R247" s="352"/>
      <c r="S247" s="352"/>
      <c r="T247" s="352"/>
      <c r="U247" s="352"/>
      <c r="V247" s="352"/>
      <c r="W247" s="352"/>
      <c r="X247" s="352"/>
      <c r="Y247" s="352"/>
      <c r="Z247" s="352"/>
      <c r="AA247" s="48"/>
      <c r="AB247" s="48"/>
      <c r="AC247" s="48"/>
    </row>
    <row r="248" spans="1:68" ht="16.5" hidden="1" customHeight="1" x14ac:dyDescent="0.25">
      <c r="A248" s="295" t="s">
        <v>254</v>
      </c>
      <c r="B248" s="287"/>
      <c r="C248" s="287"/>
      <c r="D248" s="287"/>
      <c r="E248" s="287"/>
      <c r="F248" s="287"/>
      <c r="G248" s="287"/>
      <c r="H248" s="287"/>
      <c r="I248" s="287"/>
      <c r="J248" s="287"/>
      <c r="K248" s="287"/>
      <c r="L248" s="287"/>
      <c r="M248" s="287"/>
      <c r="N248" s="287"/>
      <c r="O248" s="287"/>
      <c r="P248" s="287"/>
      <c r="Q248" s="287"/>
      <c r="R248" s="287"/>
      <c r="S248" s="287"/>
      <c r="T248" s="287"/>
      <c r="U248" s="287"/>
      <c r="V248" s="287"/>
      <c r="W248" s="287"/>
      <c r="X248" s="287"/>
      <c r="Y248" s="287"/>
      <c r="Z248" s="287"/>
      <c r="AA248" s="269"/>
      <c r="AB248" s="269"/>
      <c r="AC248" s="269"/>
    </row>
    <row r="249" spans="1:68" ht="14.25" hidden="1" customHeight="1" x14ac:dyDescent="0.25">
      <c r="A249" s="286" t="s">
        <v>62</v>
      </c>
      <c r="B249" s="287"/>
      <c r="C249" s="287"/>
      <c r="D249" s="287"/>
      <c r="E249" s="287"/>
      <c r="F249" s="287"/>
      <c r="G249" s="287"/>
      <c r="H249" s="287"/>
      <c r="I249" s="287"/>
      <c r="J249" s="287"/>
      <c r="K249" s="287"/>
      <c r="L249" s="287"/>
      <c r="M249" s="287"/>
      <c r="N249" s="287"/>
      <c r="O249" s="287"/>
      <c r="P249" s="287"/>
      <c r="Q249" s="287"/>
      <c r="R249" s="287"/>
      <c r="S249" s="287"/>
      <c r="T249" s="287"/>
      <c r="U249" s="287"/>
      <c r="V249" s="287"/>
      <c r="W249" s="287"/>
      <c r="X249" s="287"/>
      <c r="Y249" s="287"/>
      <c r="Z249" s="287"/>
      <c r="AA249" s="270"/>
      <c r="AB249" s="270"/>
      <c r="AC249" s="270"/>
    </row>
    <row r="250" spans="1:68" ht="27" hidden="1" customHeight="1" x14ac:dyDescent="0.25">
      <c r="A250" s="54" t="s">
        <v>330</v>
      </c>
      <c r="B250" s="54" t="s">
        <v>331</v>
      </c>
      <c r="C250" s="31">
        <v>4301071014</v>
      </c>
      <c r="D250" s="281">
        <v>4640242181264</v>
      </c>
      <c r="E250" s="282"/>
      <c r="F250" s="273">
        <v>0.7</v>
      </c>
      <c r="G250" s="32">
        <v>10</v>
      </c>
      <c r="H250" s="273">
        <v>7</v>
      </c>
      <c r="I250" s="273">
        <v>7.28</v>
      </c>
      <c r="J250" s="32">
        <v>84</v>
      </c>
      <c r="K250" s="32" t="s">
        <v>65</v>
      </c>
      <c r="L250" s="32" t="s">
        <v>66</v>
      </c>
      <c r="M250" s="33" t="s">
        <v>67</v>
      </c>
      <c r="N250" s="33"/>
      <c r="O250" s="32">
        <v>180</v>
      </c>
      <c r="P250" s="34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0" s="279"/>
      <c r="R250" s="279"/>
      <c r="S250" s="279"/>
      <c r="T250" s="280"/>
      <c r="U250" s="34"/>
      <c r="V250" s="34"/>
      <c r="W250" s="35" t="s">
        <v>68</v>
      </c>
      <c r="X250" s="274">
        <v>0</v>
      </c>
      <c r="Y250" s="275">
        <f>IFERROR(IF(X250="","",X250),"")</f>
        <v>0</v>
      </c>
      <c r="Z250" s="36">
        <f>IFERROR(IF(X250="","",X250*0.0155),"")</f>
        <v>0</v>
      </c>
      <c r="AA250" s="56"/>
      <c r="AB250" s="57"/>
      <c r="AC250" s="234" t="s">
        <v>332</v>
      </c>
      <c r="AG250" s="67"/>
      <c r="AJ250" s="71" t="s">
        <v>70</v>
      </c>
      <c r="AK250" s="71">
        <v>1</v>
      </c>
      <c r="BB250" s="235" t="s">
        <v>1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t="27" customHeight="1" x14ac:dyDescent="0.25">
      <c r="A251" s="54" t="s">
        <v>333</v>
      </c>
      <c r="B251" s="54" t="s">
        <v>334</v>
      </c>
      <c r="C251" s="31">
        <v>4301071141</v>
      </c>
      <c r="D251" s="281">
        <v>4620207491980</v>
      </c>
      <c r="E251" s="282"/>
      <c r="F251" s="273">
        <v>0.7</v>
      </c>
      <c r="G251" s="32">
        <v>10</v>
      </c>
      <c r="H251" s="273">
        <v>7</v>
      </c>
      <c r="I251" s="273">
        <v>7.28</v>
      </c>
      <c r="J251" s="32">
        <v>84</v>
      </c>
      <c r="K251" s="32" t="s">
        <v>65</v>
      </c>
      <c r="L251" s="32" t="s">
        <v>66</v>
      </c>
      <c r="M251" s="33" t="s">
        <v>67</v>
      </c>
      <c r="N251" s="33"/>
      <c r="O251" s="32">
        <v>180</v>
      </c>
      <c r="P251" s="40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1" s="279"/>
      <c r="R251" s="279"/>
      <c r="S251" s="279"/>
      <c r="T251" s="280"/>
      <c r="U251" s="34"/>
      <c r="V251" s="34"/>
      <c r="W251" s="35" t="s">
        <v>68</v>
      </c>
      <c r="X251" s="274">
        <v>36</v>
      </c>
      <c r="Y251" s="275">
        <f>IFERROR(IF(X251="","",X251),"")</f>
        <v>36</v>
      </c>
      <c r="Z251" s="36">
        <f>IFERROR(IF(X251="","",X251*0.0155),"")</f>
        <v>0.55800000000000005</v>
      </c>
      <c r="AA251" s="56"/>
      <c r="AB251" s="57"/>
      <c r="AC251" s="236" t="s">
        <v>335</v>
      </c>
      <c r="AG251" s="67"/>
      <c r="AJ251" s="71" t="s">
        <v>70</v>
      </c>
      <c r="AK251" s="71">
        <v>1</v>
      </c>
      <c r="BB251" s="237" t="s">
        <v>1</v>
      </c>
      <c r="BM251" s="67">
        <f>IFERROR(X251*I251,"0")</f>
        <v>262.08</v>
      </c>
      <c r="BN251" s="67">
        <f>IFERROR(Y251*I251,"0")</f>
        <v>262.08</v>
      </c>
      <c r="BO251" s="67">
        <f>IFERROR(X251/J251,"0")</f>
        <v>0.42857142857142855</v>
      </c>
      <c r="BP251" s="67">
        <f>IFERROR(Y251/J251,"0")</f>
        <v>0.42857142857142855</v>
      </c>
    </row>
    <row r="252" spans="1:68" x14ac:dyDescent="0.2">
      <c r="A252" s="303"/>
      <c r="B252" s="287"/>
      <c r="C252" s="287"/>
      <c r="D252" s="287"/>
      <c r="E252" s="287"/>
      <c r="F252" s="287"/>
      <c r="G252" s="287"/>
      <c r="H252" s="287"/>
      <c r="I252" s="287"/>
      <c r="J252" s="287"/>
      <c r="K252" s="287"/>
      <c r="L252" s="287"/>
      <c r="M252" s="287"/>
      <c r="N252" s="287"/>
      <c r="O252" s="304"/>
      <c r="P252" s="288" t="s">
        <v>87</v>
      </c>
      <c r="Q252" s="289"/>
      <c r="R252" s="289"/>
      <c r="S252" s="289"/>
      <c r="T252" s="289"/>
      <c r="U252" s="289"/>
      <c r="V252" s="290"/>
      <c r="W252" s="37" t="s">
        <v>68</v>
      </c>
      <c r="X252" s="276">
        <f>IFERROR(SUM(X250:X251),"0")</f>
        <v>36</v>
      </c>
      <c r="Y252" s="276">
        <f>IFERROR(SUM(Y250:Y251),"0")</f>
        <v>36</v>
      </c>
      <c r="Z252" s="276">
        <f>IFERROR(IF(Z250="",0,Z250),"0")+IFERROR(IF(Z251="",0,Z251),"0")</f>
        <v>0.55800000000000005</v>
      </c>
      <c r="AA252" s="277"/>
      <c r="AB252" s="277"/>
      <c r="AC252" s="277"/>
    </row>
    <row r="253" spans="1:68" x14ac:dyDescent="0.2">
      <c r="A253" s="287"/>
      <c r="B253" s="287"/>
      <c r="C253" s="287"/>
      <c r="D253" s="287"/>
      <c r="E253" s="287"/>
      <c r="F253" s="287"/>
      <c r="G253" s="287"/>
      <c r="H253" s="287"/>
      <c r="I253" s="287"/>
      <c r="J253" s="287"/>
      <c r="K253" s="287"/>
      <c r="L253" s="287"/>
      <c r="M253" s="287"/>
      <c r="N253" s="287"/>
      <c r="O253" s="304"/>
      <c r="P253" s="288" t="s">
        <v>87</v>
      </c>
      <c r="Q253" s="289"/>
      <c r="R253" s="289"/>
      <c r="S253" s="289"/>
      <c r="T253" s="289"/>
      <c r="U253" s="289"/>
      <c r="V253" s="290"/>
      <c r="W253" s="37" t="s">
        <v>88</v>
      </c>
      <c r="X253" s="276">
        <f>IFERROR(SUMPRODUCT(X250:X251*H250:H251),"0")</f>
        <v>252</v>
      </c>
      <c r="Y253" s="276">
        <f>IFERROR(SUMPRODUCT(Y250:Y251*H250:H251),"0")</f>
        <v>252</v>
      </c>
      <c r="Z253" s="37"/>
      <c r="AA253" s="277"/>
      <c r="AB253" s="277"/>
      <c r="AC253" s="277"/>
    </row>
    <row r="254" spans="1:68" ht="14.25" hidden="1" customHeight="1" x14ac:dyDescent="0.25">
      <c r="A254" s="286" t="s">
        <v>172</v>
      </c>
      <c r="B254" s="287"/>
      <c r="C254" s="287"/>
      <c r="D254" s="287"/>
      <c r="E254" s="287"/>
      <c r="F254" s="287"/>
      <c r="G254" s="287"/>
      <c r="H254" s="287"/>
      <c r="I254" s="287"/>
      <c r="J254" s="287"/>
      <c r="K254" s="287"/>
      <c r="L254" s="287"/>
      <c r="M254" s="287"/>
      <c r="N254" s="287"/>
      <c r="O254" s="287"/>
      <c r="P254" s="287"/>
      <c r="Q254" s="287"/>
      <c r="R254" s="287"/>
      <c r="S254" s="287"/>
      <c r="T254" s="287"/>
      <c r="U254" s="287"/>
      <c r="V254" s="287"/>
      <c r="W254" s="287"/>
      <c r="X254" s="287"/>
      <c r="Y254" s="287"/>
      <c r="Z254" s="287"/>
      <c r="AA254" s="270"/>
      <c r="AB254" s="270"/>
      <c r="AC254" s="270"/>
    </row>
    <row r="255" spans="1:68" ht="27" customHeight="1" x14ac:dyDescent="0.25">
      <c r="A255" s="54" t="s">
        <v>336</v>
      </c>
      <c r="B255" s="54" t="s">
        <v>337</v>
      </c>
      <c r="C255" s="31">
        <v>4301136116</v>
      </c>
      <c r="D255" s="281">
        <v>4620207492147</v>
      </c>
      <c r="E255" s="282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105</v>
      </c>
      <c r="L255" s="32" t="s">
        <v>66</v>
      </c>
      <c r="M255" s="33" t="s">
        <v>67</v>
      </c>
      <c r="N255" s="33"/>
      <c r="O255" s="32">
        <v>180</v>
      </c>
      <c r="P255" s="340" t="s">
        <v>338</v>
      </c>
      <c r="Q255" s="279"/>
      <c r="R255" s="279"/>
      <c r="S255" s="279"/>
      <c r="T255" s="280"/>
      <c r="U255" s="34"/>
      <c r="V255" s="34"/>
      <c r="W255" s="35" t="s">
        <v>68</v>
      </c>
      <c r="X255" s="274">
        <v>140</v>
      </c>
      <c r="Y255" s="275">
        <f>IFERROR(IF(X255="","",X255),"")</f>
        <v>140</v>
      </c>
      <c r="Z255" s="36">
        <f>IFERROR(IF(X255="","",X255*0.00936),"")</f>
        <v>1.3104</v>
      </c>
      <c r="AA255" s="56"/>
      <c r="AB255" s="57"/>
      <c r="AC255" s="238" t="s">
        <v>175</v>
      </c>
      <c r="AG255" s="67"/>
      <c r="AJ255" s="71" t="s">
        <v>70</v>
      </c>
      <c r="AK255" s="71">
        <v>1</v>
      </c>
      <c r="BB255" s="239" t="s">
        <v>109</v>
      </c>
      <c r="BM255" s="67">
        <f>IFERROR(X255*I255,"0")</f>
        <v>404.68400000000003</v>
      </c>
      <c r="BN255" s="67">
        <f>IFERROR(Y255*I255,"0")</f>
        <v>404.68400000000003</v>
      </c>
      <c r="BO255" s="67">
        <f>IFERROR(X255/J255,"0")</f>
        <v>1.1111111111111112</v>
      </c>
      <c r="BP255" s="67">
        <f>IFERROR(Y255/J255,"0")</f>
        <v>1.1111111111111112</v>
      </c>
    </row>
    <row r="256" spans="1:68" ht="27" hidden="1" customHeight="1" x14ac:dyDescent="0.25">
      <c r="A256" s="54" t="s">
        <v>339</v>
      </c>
      <c r="B256" s="54" t="s">
        <v>340</v>
      </c>
      <c r="C256" s="31">
        <v>4301136112</v>
      </c>
      <c r="D256" s="281">
        <v>4620207492154</v>
      </c>
      <c r="E256" s="282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3" t="s">
        <v>341</v>
      </c>
      <c r="Q256" s="279"/>
      <c r="R256" s="279"/>
      <c r="S256" s="279"/>
      <c r="T256" s="280"/>
      <c r="U256" s="34"/>
      <c r="V256" s="34"/>
      <c r="W256" s="35" t="s">
        <v>68</v>
      </c>
      <c r="X256" s="274">
        <v>0</v>
      </c>
      <c r="Y256" s="275">
        <f>IFERROR(IF(X256="","",X256),"")</f>
        <v>0</v>
      </c>
      <c r="Z256" s="36">
        <f>IFERROR(IF(X256="","",X256*0.0155),"")</f>
        <v>0</v>
      </c>
      <c r="AA256" s="56"/>
      <c r="AB256" s="57"/>
      <c r="AC256" s="240" t="s">
        <v>175</v>
      </c>
      <c r="AG256" s="67"/>
      <c r="AJ256" s="71" t="s">
        <v>70</v>
      </c>
      <c r="AK256" s="71">
        <v>1</v>
      </c>
      <c r="BB256" s="241" t="s">
        <v>109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342</v>
      </c>
      <c r="B257" s="54" t="s">
        <v>343</v>
      </c>
      <c r="C257" s="31">
        <v>4301136114</v>
      </c>
      <c r="D257" s="281">
        <v>4620207492086</v>
      </c>
      <c r="E257" s="282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105</v>
      </c>
      <c r="L257" s="32" t="s">
        <v>66</v>
      </c>
      <c r="M257" s="33" t="s">
        <v>67</v>
      </c>
      <c r="N257" s="33"/>
      <c r="O257" s="32">
        <v>180</v>
      </c>
      <c r="P257" s="413" t="s">
        <v>344</v>
      </c>
      <c r="Q257" s="279"/>
      <c r="R257" s="279"/>
      <c r="S257" s="279"/>
      <c r="T257" s="280"/>
      <c r="U257" s="34"/>
      <c r="V257" s="34"/>
      <c r="W257" s="35" t="s">
        <v>68</v>
      </c>
      <c r="X257" s="274">
        <v>0</v>
      </c>
      <c r="Y257" s="275">
        <f>IFERROR(IF(X257="","",X257),"")</f>
        <v>0</v>
      </c>
      <c r="Z257" s="36">
        <f>IFERROR(IF(X257="","",X257*0.00936),"")</f>
        <v>0</v>
      </c>
      <c r="AA257" s="56"/>
      <c r="AB257" s="57"/>
      <c r="AC257" s="242" t="s">
        <v>175</v>
      </c>
      <c r="AG257" s="67"/>
      <c r="AJ257" s="71" t="s">
        <v>70</v>
      </c>
      <c r="AK257" s="71">
        <v>1</v>
      </c>
      <c r="BB257" s="243" t="s">
        <v>109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303"/>
      <c r="B258" s="287"/>
      <c r="C258" s="287"/>
      <c r="D258" s="287"/>
      <c r="E258" s="287"/>
      <c r="F258" s="287"/>
      <c r="G258" s="287"/>
      <c r="H258" s="287"/>
      <c r="I258" s="287"/>
      <c r="J258" s="287"/>
      <c r="K258" s="287"/>
      <c r="L258" s="287"/>
      <c r="M258" s="287"/>
      <c r="N258" s="287"/>
      <c r="O258" s="304"/>
      <c r="P258" s="288" t="s">
        <v>87</v>
      </c>
      <c r="Q258" s="289"/>
      <c r="R258" s="289"/>
      <c r="S258" s="289"/>
      <c r="T258" s="289"/>
      <c r="U258" s="289"/>
      <c r="V258" s="290"/>
      <c r="W258" s="37" t="s">
        <v>68</v>
      </c>
      <c r="X258" s="276">
        <f>IFERROR(SUM(X255:X257),"0")</f>
        <v>140</v>
      </c>
      <c r="Y258" s="276">
        <f>IFERROR(SUM(Y255:Y257),"0")</f>
        <v>140</v>
      </c>
      <c r="Z258" s="276">
        <f>IFERROR(IF(Z255="",0,Z255),"0")+IFERROR(IF(Z256="",0,Z256),"0")+IFERROR(IF(Z257="",0,Z257),"0")</f>
        <v>1.3104</v>
      </c>
      <c r="AA258" s="277"/>
      <c r="AB258" s="277"/>
      <c r="AC258" s="277"/>
    </row>
    <row r="259" spans="1:68" x14ac:dyDescent="0.2">
      <c r="A259" s="287"/>
      <c r="B259" s="287"/>
      <c r="C259" s="287"/>
      <c r="D259" s="287"/>
      <c r="E259" s="287"/>
      <c r="F259" s="287"/>
      <c r="G259" s="287"/>
      <c r="H259" s="287"/>
      <c r="I259" s="287"/>
      <c r="J259" s="287"/>
      <c r="K259" s="287"/>
      <c r="L259" s="287"/>
      <c r="M259" s="287"/>
      <c r="N259" s="287"/>
      <c r="O259" s="304"/>
      <c r="P259" s="288" t="s">
        <v>87</v>
      </c>
      <c r="Q259" s="289"/>
      <c r="R259" s="289"/>
      <c r="S259" s="289"/>
      <c r="T259" s="289"/>
      <c r="U259" s="289"/>
      <c r="V259" s="290"/>
      <c r="W259" s="37" t="s">
        <v>88</v>
      </c>
      <c r="X259" s="276">
        <f>IFERROR(SUMPRODUCT(X255:X257*H255:H257),"0")</f>
        <v>378</v>
      </c>
      <c r="Y259" s="276">
        <f>IFERROR(SUMPRODUCT(Y255:Y257*H255:H257),"0")</f>
        <v>378</v>
      </c>
      <c r="Z259" s="37"/>
      <c r="AA259" s="277"/>
      <c r="AB259" s="277"/>
      <c r="AC259" s="277"/>
    </row>
    <row r="260" spans="1:68" ht="14.25" hidden="1" customHeight="1" x14ac:dyDescent="0.25">
      <c r="A260" s="286" t="s">
        <v>144</v>
      </c>
      <c r="B260" s="287"/>
      <c r="C260" s="287"/>
      <c r="D260" s="287"/>
      <c r="E260" s="287"/>
      <c r="F260" s="287"/>
      <c r="G260" s="287"/>
      <c r="H260" s="287"/>
      <c r="I260" s="287"/>
      <c r="J260" s="287"/>
      <c r="K260" s="287"/>
      <c r="L260" s="287"/>
      <c r="M260" s="287"/>
      <c r="N260" s="287"/>
      <c r="O260" s="287"/>
      <c r="P260" s="287"/>
      <c r="Q260" s="287"/>
      <c r="R260" s="287"/>
      <c r="S260" s="287"/>
      <c r="T260" s="287"/>
      <c r="U260" s="287"/>
      <c r="V260" s="287"/>
      <c r="W260" s="287"/>
      <c r="X260" s="287"/>
      <c r="Y260" s="287"/>
      <c r="Z260" s="287"/>
      <c r="AA260" s="270"/>
      <c r="AB260" s="270"/>
      <c r="AC260" s="270"/>
    </row>
    <row r="261" spans="1:68" ht="27" hidden="1" customHeight="1" x14ac:dyDescent="0.25">
      <c r="A261" s="54" t="s">
        <v>345</v>
      </c>
      <c r="B261" s="54" t="s">
        <v>346</v>
      </c>
      <c r="C261" s="31">
        <v>4301137094</v>
      </c>
      <c r="D261" s="281">
        <v>4620207492284</v>
      </c>
      <c r="E261" s="282"/>
      <c r="F261" s="273">
        <v>3.7</v>
      </c>
      <c r="G261" s="32">
        <v>1</v>
      </c>
      <c r="H261" s="273">
        <v>3.7</v>
      </c>
      <c r="I261" s="273">
        <v>4.0599999999999996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5" t="s">
        <v>347</v>
      </c>
      <c r="Q261" s="279"/>
      <c r="R261" s="279"/>
      <c r="S261" s="279"/>
      <c r="T261" s="280"/>
      <c r="U261" s="34"/>
      <c r="V261" s="34"/>
      <c r="W261" s="35" t="s">
        <v>68</v>
      </c>
      <c r="X261" s="274">
        <v>0</v>
      </c>
      <c r="Y261" s="275">
        <f t="shared" ref="Y261:Y271" si="18">IFERROR(IF(X261="","",X261),"")</f>
        <v>0</v>
      </c>
      <c r="Z261" s="36">
        <f>IFERROR(IF(X261="","",X261*0.00936),"")</f>
        <v>0</v>
      </c>
      <c r="AA261" s="56"/>
      <c r="AB261" s="57" t="s">
        <v>92</v>
      </c>
      <c r="AC261" s="244" t="s">
        <v>348</v>
      </c>
      <c r="AG261" s="67"/>
      <c r="AJ261" s="71" t="s">
        <v>70</v>
      </c>
      <c r="AK261" s="71">
        <v>1</v>
      </c>
      <c r="BB261" s="245" t="s">
        <v>109</v>
      </c>
      <c r="BM261" s="67">
        <f t="shared" ref="BM261:BM271" si="19">IFERROR(X261*I261,"0")</f>
        <v>0</v>
      </c>
      <c r="BN261" s="67">
        <f t="shared" ref="BN261:BN271" si="20">IFERROR(Y261*I261,"0")</f>
        <v>0</v>
      </c>
      <c r="BO261" s="67">
        <f t="shared" ref="BO261:BO271" si="21">IFERROR(X261/J261,"0")</f>
        <v>0</v>
      </c>
      <c r="BP261" s="67">
        <f t="shared" ref="BP261:BP271" si="22">IFERROR(Y261/J261,"0")</f>
        <v>0</v>
      </c>
    </row>
    <row r="262" spans="1:68" ht="16.5" hidden="1" customHeight="1" x14ac:dyDescent="0.25">
      <c r="A262" s="54" t="s">
        <v>349</v>
      </c>
      <c r="B262" s="54" t="s">
        <v>350</v>
      </c>
      <c r="C262" s="31">
        <v>4301137066</v>
      </c>
      <c r="D262" s="281">
        <v>4620207492109</v>
      </c>
      <c r="E262" s="282"/>
      <c r="F262" s="273">
        <v>5.5</v>
      </c>
      <c r="G262" s="32">
        <v>1</v>
      </c>
      <c r="H262" s="273">
        <v>5.5</v>
      </c>
      <c r="I262" s="273">
        <v>5.7350000000000003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50" t="s">
        <v>351</v>
      </c>
      <c r="Q262" s="279"/>
      <c r="R262" s="279"/>
      <c r="S262" s="279"/>
      <c r="T262" s="280"/>
      <c r="U262" s="34"/>
      <c r="V262" s="34"/>
      <c r="W262" s="35" t="s">
        <v>68</v>
      </c>
      <c r="X262" s="274">
        <v>0</v>
      </c>
      <c r="Y262" s="275">
        <f t="shared" si="18"/>
        <v>0</v>
      </c>
      <c r="Z262" s="36">
        <f>IFERROR(IF(X262="","",X262*0.0155),"")</f>
        <v>0</v>
      </c>
      <c r="AA262" s="56"/>
      <c r="AB262" s="57"/>
      <c r="AC262" s="246" t="s">
        <v>260</v>
      </c>
      <c r="AG262" s="67"/>
      <c r="AJ262" s="71" t="s">
        <v>70</v>
      </c>
      <c r="AK262" s="71">
        <v>1</v>
      </c>
      <c r="BB262" s="247" t="s">
        <v>109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352</v>
      </c>
      <c r="B263" s="54" t="s">
        <v>353</v>
      </c>
      <c r="C263" s="31">
        <v>4301137068</v>
      </c>
      <c r="D263" s="281">
        <v>4620207492161</v>
      </c>
      <c r="E263" s="282"/>
      <c r="F263" s="273">
        <v>3</v>
      </c>
      <c r="G263" s="32">
        <v>1</v>
      </c>
      <c r="H263" s="273">
        <v>3</v>
      </c>
      <c r="I263" s="273">
        <v>3.1920000000000002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53" t="s">
        <v>354</v>
      </c>
      <c r="Q263" s="279"/>
      <c r="R263" s="279"/>
      <c r="S263" s="279"/>
      <c r="T263" s="280"/>
      <c r="U263" s="34"/>
      <c r="V263" s="34"/>
      <c r="W263" s="35" t="s">
        <v>68</v>
      </c>
      <c r="X263" s="274">
        <v>0</v>
      </c>
      <c r="Y263" s="275">
        <f t="shared" si="18"/>
        <v>0</v>
      </c>
      <c r="Z263" s="36">
        <f>IFERROR(IF(X263="","",X263*0.00936),"")</f>
        <v>0</v>
      </c>
      <c r="AA263" s="56"/>
      <c r="AB263" s="57"/>
      <c r="AC263" s="248" t="s">
        <v>355</v>
      </c>
      <c r="AG263" s="67"/>
      <c r="AJ263" s="71" t="s">
        <v>70</v>
      </c>
      <c r="AK263" s="71">
        <v>1</v>
      </c>
      <c r="BB263" s="249" t="s">
        <v>109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356</v>
      </c>
      <c r="B264" s="54" t="s">
        <v>357</v>
      </c>
      <c r="C264" s="31">
        <v>4301137046</v>
      </c>
      <c r="D264" s="281">
        <v>4620207492093</v>
      </c>
      <c r="E264" s="282"/>
      <c r="F264" s="273">
        <v>3.7</v>
      </c>
      <c r="G264" s="32">
        <v>1</v>
      </c>
      <c r="H264" s="273">
        <v>3.7</v>
      </c>
      <c r="I264" s="273">
        <v>3.8919999999999999</v>
      </c>
      <c r="J264" s="32">
        <v>126</v>
      </c>
      <c r="K264" s="32" t="s">
        <v>105</v>
      </c>
      <c r="L264" s="32" t="s">
        <v>66</v>
      </c>
      <c r="M264" s="33" t="s">
        <v>67</v>
      </c>
      <c r="N264" s="33"/>
      <c r="O264" s="32">
        <v>180</v>
      </c>
      <c r="P264" s="369" t="s">
        <v>358</v>
      </c>
      <c r="Q264" s="279"/>
      <c r="R264" s="279"/>
      <c r="S264" s="279"/>
      <c r="T264" s="280"/>
      <c r="U264" s="34"/>
      <c r="V264" s="34"/>
      <c r="W264" s="35" t="s">
        <v>68</v>
      </c>
      <c r="X264" s="274">
        <v>14</v>
      </c>
      <c r="Y264" s="275">
        <f t="shared" si="18"/>
        <v>14</v>
      </c>
      <c r="Z264" s="36">
        <f>IFERROR(IF(X264="","",X264*0.00936),"")</f>
        <v>0.13103999999999999</v>
      </c>
      <c r="AA264" s="56"/>
      <c r="AB264" s="57"/>
      <c r="AC264" s="250" t="s">
        <v>359</v>
      </c>
      <c r="AG264" s="67"/>
      <c r="AJ264" s="71" t="s">
        <v>70</v>
      </c>
      <c r="AK264" s="71">
        <v>1</v>
      </c>
      <c r="BB264" s="251" t="s">
        <v>109</v>
      </c>
      <c r="BM264" s="67">
        <f t="shared" si="19"/>
        <v>54.488</v>
      </c>
      <c r="BN264" s="67">
        <f t="shared" si="20"/>
        <v>54.488</v>
      </c>
      <c r="BO264" s="67">
        <f t="shared" si="21"/>
        <v>0.1111111111111111</v>
      </c>
      <c r="BP264" s="67">
        <f t="shared" si="22"/>
        <v>0.1111111111111111</v>
      </c>
    </row>
    <row r="265" spans="1:68" ht="27" hidden="1" customHeight="1" x14ac:dyDescent="0.25">
      <c r="A265" s="54" t="s">
        <v>360</v>
      </c>
      <c r="B265" s="54" t="s">
        <v>361</v>
      </c>
      <c r="C265" s="31">
        <v>4301137072</v>
      </c>
      <c r="D265" s="281">
        <v>4620207492222</v>
      </c>
      <c r="E265" s="282"/>
      <c r="F265" s="273">
        <v>5</v>
      </c>
      <c r="G265" s="32">
        <v>1</v>
      </c>
      <c r="H265" s="273">
        <v>5</v>
      </c>
      <c r="I265" s="273">
        <v>5.23</v>
      </c>
      <c r="J265" s="32">
        <v>84</v>
      </c>
      <c r="K265" s="32" t="s">
        <v>65</v>
      </c>
      <c r="L265" s="32" t="s">
        <v>66</v>
      </c>
      <c r="M265" s="33" t="s">
        <v>67</v>
      </c>
      <c r="N265" s="33"/>
      <c r="O265" s="32">
        <v>180</v>
      </c>
      <c r="P265" s="321" t="s">
        <v>362</v>
      </c>
      <c r="Q265" s="279"/>
      <c r="R265" s="279"/>
      <c r="S265" s="279"/>
      <c r="T265" s="280"/>
      <c r="U265" s="34"/>
      <c r="V265" s="34"/>
      <c r="W265" s="35" t="s">
        <v>68</v>
      </c>
      <c r="X265" s="274">
        <v>0</v>
      </c>
      <c r="Y265" s="275">
        <f t="shared" si="18"/>
        <v>0</v>
      </c>
      <c r="Z265" s="36">
        <f>IFERROR(IF(X265="","",X265*0.0155),"")</f>
        <v>0</v>
      </c>
      <c r="AA265" s="56"/>
      <c r="AB265" s="57"/>
      <c r="AC265" s="252" t="s">
        <v>359</v>
      </c>
      <c r="AG265" s="67"/>
      <c r="AJ265" s="71" t="s">
        <v>70</v>
      </c>
      <c r="AK265" s="71">
        <v>1</v>
      </c>
      <c r="BB265" s="253" t="s">
        <v>109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363</v>
      </c>
      <c r="B266" s="54" t="s">
        <v>364</v>
      </c>
      <c r="C266" s="31">
        <v>4301137074</v>
      </c>
      <c r="D266" s="281">
        <v>4620207492116</v>
      </c>
      <c r="E266" s="282"/>
      <c r="F266" s="273">
        <v>3</v>
      </c>
      <c r="G266" s="32">
        <v>1</v>
      </c>
      <c r="H266" s="273">
        <v>3</v>
      </c>
      <c r="I266" s="273">
        <v>3.1920000000000002</v>
      </c>
      <c r="J266" s="32">
        <v>126</v>
      </c>
      <c r="K266" s="32" t="s">
        <v>105</v>
      </c>
      <c r="L266" s="32" t="s">
        <v>66</v>
      </c>
      <c r="M266" s="33" t="s">
        <v>67</v>
      </c>
      <c r="N266" s="33"/>
      <c r="O266" s="32">
        <v>180</v>
      </c>
      <c r="P266" s="329" t="s">
        <v>365</v>
      </c>
      <c r="Q266" s="279"/>
      <c r="R266" s="279"/>
      <c r="S266" s="279"/>
      <c r="T266" s="280"/>
      <c r="U266" s="34"/>
      <c r="V266" s="34"/>
      <c r="W266" s="35" t="s">
        <v>68</v>
      </c>
      <c r="X266" s="274">
        <v>0</v>
      </c>
      <c r="Y266" s="275">
        <f t="shared" si="18"/>
        <v>0</v>
      </c>
      <c r="Z266" s="36">
        <f t="shared" ref="Z266:Z271" si="23">IFERROR(IF(X266="","",X266*0.00936),"")</f>
        <v>0</v>
      </c>
      <c r="AA266" s="56"/>
      <c r="AB266" s="57"/>
      <c r="AC266" s="254" t="s">
        <v>260</v>
      </c>
      <c r="AG266" s="67"/>
      <c r="AJ266" s="71" t="s">
        <v>70</v>
      </c>
      <c r="AK266" s="71">
        <v>1</v>
      </c>
      <c r="BB266" s="255" t="s">
        <v>109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4301137070</v>
      </c>
      <c r="D267" s="281">
        <v>4620207492123</v>
      </c>
      <c r="E267" s="282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105</v>
      </c>
      <c r="L267" s="32" t="s">
        <v>66</v>
      </c>
      <c r="M267" s="33" t="s">
        <v>67</v>
      </c>
      <c r="N267" s="33"/>
      <c r="O267" s="32">
        <v>180</v>
      </c>
      <c r="P267" s="380" t="s">
        <v>368</v>
      </c>
      <c r="Q267" s="279"/>
      <c r="R267" s="279"/>
      <c r="S267" s="279"/>
      <c r="T267" s="280"/>
      <c r="U267" s="34"/>
      <c r="V267" s="34"/>
      <c r="W267" s="35" t="s">
        <v>68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6" t="s">
        <v>355</v>
      </c>
      <c r="AG267" s="67"/>
      <c r="AJ267" s="71" t="s">
        <v>70</v>
      </c>
      <c r="AK267" s="71">
        <v>1</v>
      </c>
      <c r="BB267" s="257" t="s">
        <v>109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37.5" hidden="1" customHeight="1" x14ac:dyDescent="0.25">
      <c r="A268" s="54" t="s">
        <v>369</v>
      </c>
      <c r="B268" s="54" t="s">
        <v>370</v>
      </c>
      <c r="C268" s="31">
        <v>4301137078</v>
      </c>
      <c r="D268" s="281">
        <v>4620207492130</v>
      </c>
      <c r="E268" s="282"/>
      <c r="F268" s="273">
        <v>3.7</v>
      </c>
      <c r="G268" s="32">
        <v>1</v>
      </c>
      <c r="H268" s="273">
        <v>3.7</v>
      </c>
      <c r="I268" s="273">
        <v>3.8919999999999999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338" t="s">
        <v>371</v>
      </c>
      <c r="Q268" s="279"/>
      <c r="R268" s="279"/>
      <c r="S268" s="279"/>
      <c r="T268" s="280"/>
      <c r="U268" s="34"/>
      <c r="V268" s="34"/>
      <c r="W268" s="35" t="s">
        <v>68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58" t="s">
        <v>355</v>
      </c>
      <c r="AG268" s="67"/>
      <c r="AJ268" s="71" t="s">
        <v>70</v>
      </c>
      <c r="AK268" s="71">
        <v>1</v>
      </c>
      <c r="BB268" s="259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372</v>
      </c>
      <c r="B269" s="54" t="s">
        <v>373</v>
      </c>
      <c r="C269" s="31">
        <v>4301137092</v>
      </c>
      <c r="D269" s="281">
        <v>4620207491942</v>
      </c>
      <c r="E269" s="282"/>
      <c r="F269" s="273">
        <v>0.3</v>
      </c>
      <c r="G269" s="32">
        <v>9</v>
      </c>
      <c r="H269" s="273">
        <v>2.7</v>
      </c>
      <c r="I269" s="273">
        <v>2.88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22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69" s="279"/>
      <c r="R269" s="279"/>
      <c r="S269" s="279"/>
      <c r="T269" s="280"/>
      <c r="U269" s="34"/>
      <c r="V269" s="34"/>
      <c r="W269" s="35" t="s">
        <v>68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0" t="s">
        <v>355</v>
      </c>
      <c r="AG269" s="67"/>
      <c r="AJ269" s="71" t="s">
        <v>70</v>
      </c>
      <c r="AK269" s="71">
        <v>1</v>
      </c>
      <c r="BB269" s="261" t="s">
        <v>109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374</v>
      </c>
      <c r="B270" s="54" t="s">
        <v>375</v>
      </c>
      <c r="C270" s="31">
        <v>4301137014</v>
      </c>
      <c r="D270" s="281">
        <v>4620207491911</v>
      </c>
      <c r="E270" s="282"/>
      <c r="F270" s="273">
        <v>0.3</v>
      </c>
      <c r="G270" s="32">
        <v>9</v>
      </c>
      <c r="H270" s="273">
        <v>2.7</v>
      </c>
      <c r="I270" s="273">
        <v>2.988</v>
      </c>
      <c r="J270" s="32">
        <v>126</v>
      </c>
      <c r="K270" s="32" t="s">
        <v>105</v>
      </c>
      <c r="L270" s="32" t="s">
        <v>66</v>
      </c>
      <c r="M270" s="33" t="s">
        <v>67</v>
      </c>
      <c r="N270" s="33"/>
      <c r="O270" s="32">
        <v>180</v>
      </c>
      <c r="P270" s="433" t="s">
        <v>376</v>
      </c>
      <c r="Q270" s="279"/>
      <c r="R270" s="279"/>
      <c r="S270" s="279"/>
      <c r="T270" s="280"/>
      <c r="U270" s="34"/>
      <c r="V270" s="34"/>
      <c r="W270" s="35" t="s">
        <v>68</v>
      </c>
      <c r="X270" s="274">
        <v>0</v>
      </c>
      <c r="Y270" s="275">
        <f t="shared" si="18"/>
        <v>0</v>
      </c>
      <c r="Z270" s="36">
        <f t="shared" si="23"/>
        <v>0</v>
      </c>
      <c r="AA270" s="56"/>
      <c r="AB270" s="57"/>
      <c r="AC270" s="262" t="s">
        <v>359</v>
      </c>
      <c r="AG270" s="67"/>
      <c r="AJ270" s="71" t="s">
        <v>70</v>
      </c>
      <c r="AK270" s="71">
        <v>1</v>
      </c>
      <c r="BB270" s="263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377</v>
      </c>
      <c r="B271" s="54" t="s">
        <v>378</v>
      </c>
      <c r="C271" s="31">
        <v>4301137012</v>
      </c>
      <c r="D271" s="281">
        <v>4620207491935</v>
      </c>
      <c r="E271" s="282"/>
      <c r="F271" s="273">
        <v>0.3</v>
      </c>
      <c r="G271" s="32">
        <v>9</v>
      </c>
      <c r="H271" s="273">
        <v>2.7</v>
      </c>
      <c r="I271" s="273">
        <v>2.9249999999999998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1" s="279"/>
      <c r="R271" s="279"/>
      <c r="S271" s="279"/>
      <c r="T271" s="280"/>
      <c r="U271" s="34"/>
      <c r="V271" s="34"/>
      <c r="W271" s="35" t="s">
        <v>68</v>
      </c>
      <c r="X271" s="274">
        <v>0</v>
      </c>
      <c r="Y271" s="275">
        <f t="shared" si="18"/>
        <v>0</v>
      </c>
      <c r="Z271" s="36">
        <f t="shared" si="23"/>
        <v>0</v>
      </c>
      <c r="AA271" s="56"/>
      <c r="AB271" s="57"/>
      <c r="AC271" s="264" t="s">
        <v>260</v>
      </c>
      <c r="AG271" s="67"/>
      <c r="AJ271" s="71" t="s">
        <v>70</v>
      </c>
      <c r="AK271" s="71">
        <v>1</v>
      </c>
      <c r="BB271" s="265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x14ac:dyDescent="0.2">
      <c r="A272" s="303"/>
      <c r="B272" s="287"/>
      <c r="C272" s="287"/>
      <c r="D272" s="287"/>
      <c r="E272" s="287"/>
      <c r="F272" s="287"/>
      <c r="G272" s="287"/>
      <c r="H272" s="287"/>
      <c r="I272" s="287"/>
      <c r="J272" s="287"/>
      <c r="K272" s="287"/>
      <c r="L272" s="287"/>
      <c r="M272" s="287"/>
      <c r="N272" s="287"/>
      <c r="O272" s="304"/>
      <c r="P272" s="288" t="s">
        <v>87</v>
      </c>
      <c r="Q272" s="289"/>
      <c r="R272" s="289"/>
      <c r="S272" s="289"/>
      <c r="T272" s="289"/>
      <c r="U272" s="289"/>
      <c r="V272" s="290"/>
      <c r="W272" s="37" t="s">
        <v>68</v>
      </c>
      <c r="X272" s="276">
        <f>IFERROR(SUM(X261:X271),"0")</f>
        <v>14</v>
      </c>
      <c r="Y272" s="276">
        <f>IFERROR(SUM(Y261:Y271),"0")</f>
        <v>14</v>
      </c>
      <c r="Z272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0.13103999999999999</v>
      </c>
      <c r="AA272" s="277"/>
      <c r="AB272" s="277"/>
      <c r="AC272" s="277"/>
    </row>
    <row r="273" spans="1:32" x14ac:dyDescent="0.2">
      <c r="A273" s="287"/>
      <c r="B273" s="287"/>
      <c r="C273" s="287"/>
      <c r="D273" s="287"/>
      <c r="E273" s="287"/>
      <c r="F273" s="287"/>
      <c r="G273" s="287"/>
      <c r="H273" s="287"/>
      <c r="I273" s="287"/>
      <c r="J273" s="287"/>
      <c r="K273" s="287"/>
      <c r="L273" s="287"/>
      <c r="M273" s="287"/>
      <c r="N273" s="287"/>
      <c r="O273" s="304"/>
      <c r="P273" s="288" t="s">
        <v>87</v>
      </c>
      <c r="Q273" s="289"/>
      <c r="R273" s="289"/>
      <c r="S273" s="289"/>
      <c r="T273" s="289"/>
      <c r="U273" s="289"/>
      <c r="V273" s="290"/>
      <c r="W273" s="37" t="s">
        <v>88</v>
      </c>
      <c r="X273" s="276">
        <f>IFERROR(SUMPRODUCT(X261:X271*H261:H271),"0")</f>
        <v>51.800000000000004</v>
      </c>
      <c r="Y273" s="276">
        <f>IFERROR(SUMPRODUCT(Y261:Y271*H261:H271),"0")</f>
        <v>51.800000000000004</v>
      </c>
      <c r="Z273" s="37"/>
      <c r="AA273" s="277"/>
      <c r="AB273" s="277"/>
      <c r="AC273" s="277"/>
    </row>
    <row r="274" spans="1:32" ht="15" customHeight="1" x14ac:dyDescent="0.2">
      <c r="A274" s="451"/>
      <c r="B274" s="287"/>
      <c r="C274" s="287"/>
      <c r="D274" s="287"/>
      <c r="E274" s="287"/>
      <c r="F274" s="287"/>
      <c r="G274" s="287"/>
      <c r="H274" s="287"/>
      <c r="I274" s="287"/>
      <c r="J274" s="287"/>
      <c r="K274" s="287"/>
      <c r="L274" s="287"/>
      <c r="M274" s="287"/>
      <c r="N274" s="287"/>
      <c r="O274" s="378"/>
      <c r="P274" s="326" t="s">
        <v>379</v>
      </c>
      <c r="Q274" s="327"/>
      <c r="R274" s="327"/>
      <c r="S274" s="327"/>
      <c r="T274" s="327"/>
      <c r="U274" s="327"/>
      <c r="V274" s="328"/>
      <c r="W274" s="37" t="s">
        <v>88</v>
      </c>
      <c r="X274" s="276">
        <f>IFERROR(X31+X35+X41+X48+X56+X64+X70+X75+X81+X91+X97+X108+X112+X116+X121+X128+X134+X140+X146+X152+X157+X162+X167+X173+X178+X184+X189+X198+X204+X209+X215+X220+X226+X232+X236+X242+X246+X253+X259+X273,"0")</f>
        <v>6721.5199999999995</v>
      </c>
      <c r="Y274" s="276">
        <f>IFERROR(Y31+Y35+Y41+Y48+Y56+Y64+Y70+Y75+Y81+Y91+Y97+Y108+Y112+Y116+Y121+Y128+Y134+Y140+Y146+Y152+Y157+Y162+Y167+Y173+Y178+Y184+Y189+Y198+Y204+Y209+Y215+Y220+Y226+Y232+Y236+Y242+Y246+Y253+Y259+Y273,"0")</f>
        <v>6721.5199999999995</v>
      </c>
      <c r="Z274" s="37"/>
      <c r="AA274" s="277"/>
      <c r="AB274" s="277"/>
      <c r="AC274" s="277"/>
    </row>
    <row r="275" spans="1:32" x14ac:dyDescent="0.2">
      <c r="A275" s="287"/>
      <c r="B275" s="287"/>
      <c r="C275" s="287"/>
      <c r="D275" s="287"/>
      <c r="E275" s="287"/>
      <c r="F275" s="287"/>
      <c r="G275" s="287"/>
      <c r="H275" s="287"/>
      <c r="I275" s="287"/>
      <c r="J275" s="287"/>
      <c r="K275" s="287"/>
      <c r="L275" s="287"/>
      <c r="M275" s="287"/>
      <c r="N275" s="287"/>
      <c r="O275" s="378"/>
      <c r="P275" s="326" t="s">
        <v>380</v>
      </c>
      <c r="Q275" s="327"/>
      <c r="R275" s="327"/>
      <c r="S275" s="327"/>
      <c r="T275" s="327"/>
      <c r="U275" s="327"/>
      <c r="V275" s="328"/>
      <c r="W275" s="37" t="s">
        <v>88</v>
      </c>
      <c r="X275" s="276">
        <f>IFERROR(SUM(BM22:BM271),"0")</f>
        <v>7326.543200000001</v>
      </c>
      <c r="Y275" s="276">
        <f>IFERROR(SUM(BN22:BN271),"0")</f>
        <v>7326.543200000001</v>
      </c>
      <c r="Z275" s="37"/>
      <c r="AA275" s="277"/>
      <c r="AB275" s="277"/>
      <c r="AC275" s="277"/>
    </row>
    <row r="276" spans="1:32" x14ac:dyDescent="0.2">
      <c r="A276" s="287"/>
      <c r="B276" s="287"/>
      <c r="C276" s="287"/>
      <c r="D276" s="287"/>
      <c r="E276" s="287"/>
      <c r="F276" s="287"/>
      <c r="G276" s="287"/>
      <c r="H276" s="287"/>
      <c r="I276" s="287"/>
      <c r="J276" s="287"/>
      <c r="K276" s="287"/>
      <c r="L276" s="287"/>
      <c r="M276" s="287"/>
      <c r="N276" s="287"/>
      <c r="O276" s="378"/>
      <c r="P276" s="326" t="s">
        <v>381</v>
      </c>
      <c r="Q276" s="327"/>
      <c r="R276" s="327"/>
      <c r="S276" s="327"/>
      <c r="T276" s="327"/>
      <c r="U276" s="327"/>
      <c r="V276" s="328"/>
      <c r="W276" s="37" t="s">
        <v>382</v>
      </c>
      <c r="X276" s="38">
        <f>ROUNDUP(SUM(BO22:BO271),0)</f>
        <v>19</v>
      </c>
      <c r="Y276" s="38">
        <f>ROUNDUP(SUM(BP22:BP271),0)</f>
        <v>19</v>
      </c>
      <c r="Z276" s="37"/>
      <c r="AA276" s="277"/>
      <c r="AB276" s="277"/>
      <c r="AC276" s="277"/>
    </row>
    <row r="277" spans="1:32" x14ac:dyDescent="0.2">
      <c r="A277" s="287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378"/>
      <c r="P277" s="326" t="s">
        <v>383</v>
      </c>
      <c r="Q277" s="327"/>
      <c r="R277" s="327"/>
      <c r="S277" s="327"/>
      <c r="T277" s="327"/>
      <c r="U277" s="327"/>
      <c r="V277" s="328"/>
      <c r="W277" s="37" t="s">
        <v>88</v>
      </c>
      <c r="X277" s="276">
        <f>GrossWeightTotal+PalletQtyTotal*25</f>
        <v>7801.543200000001</v>
      </c>
      <c r="Y277" s="276">
        <f>GrossWeightTotalR+PalletQtyTotalR*25</f>
        <v>7801.543200000001</v>
      </c>
      <c r="Z277" s="37"/>
      <c r="AA277" s="277"/>
      <c r="AB277" s="277"/>
      <c r="AC277" s="277"/>
    </row>
    <row r="278" spans="1:32" x14ac:dyDescent="0.2">
      <c r="A278" s="287"/>
      <c r="B278" s="287"/>
      <c r="C278" s="287"/>
      <c r="D278" s="287"/>
      <c r="E278" s="287"/>
      <c r="F278" s="287"/>
      <c r="G278" s="287"/>
      <c r="H278" s="287"/>
      <c r="I278" s="287"/>
      <c r="J278" s="287"/>
      <c r="K278" s="287"/>
      <c r="L278" s="287"/>
      <c r="M278" s="287"/>
      <c r="N278" s="287"/>
      <c r="O278" s="378"/>
      <c r="P278" s="326" t="s">
        <v>384</v>
      </c>
      <c r="Q278" s="327"/>
      <c r="R278" s="327"/>
      <c r="S278" s="327"/>
      <c r="T278" s="327"/>
      <c r="U278" s="327"/>
      <c r="V278" s="328"/>
      <c r="W278" s="37" t="s">
        <v>382</v>
      </c>
      <c r="X278" s="276">
        <f>IFERROR(X30+X34+X40+X47+X55+X63+X69+X74+X80+X90+X96+X107+X111+X115+X120+X127+X133+X139+X145+X151+X156+X161+X166+X172+X177+X183+X188+X197+X203+X208+X214+X219+X225+X231+X235+X241+X245+X252+X258+X272,"0")</f>
        <v>1590</v>
      </c>
      <c r="Y278" s="276">
        <f>IFERROR(Y30+Y34+Y40+Y47+Y55+Y63+Y69+Y74+Y80+Y90+Y96+Y107+Y111+Y115+Y120+Y127+Y133+Y139+Y145+Y151+Y156+Y161+Y166+Y172+Y177+Y183+Y188+Y197+Y203+Y208+Y214+Y219+Y225+Y231+Y235+Y241+Y245+Y252+Y258+Y272,"0")</f>
        <v>1590</v>
      </c>
      <c r="Z278" s="37"/>
      <c r="AA278" s="277"/>
      <c r="AB278" s="277"/>
      <c r="AC278" s="277"/>
    </row>
    <row r="279" spans="1:32" ht="14.25" hidden="1" customHeight="1" x14ac:dyDescent="0.2">
      <c r="A279" s="287"/>
      <c r="B279" s="287"/>
      <c r="C279" s="287"/>
      <c r="D279" s="287"/>
      <c r="E279" s="287"/>
      <c r="F279" s="287"/>
      <c r="G279" s="287"/>
      <c r="H279" s="287"/>
      <c r="I279" s="287"/>
      <c r="J279" s="287"/>
      <c r="K279" s="287"/>
      <c r="L279" s="287"/>
      <c r="M279" s="287"/>
      <c r="N279" s="287"/>
      <c r="O279" s="378"/>
      <c r="P279" s="326" t="s">
        <v>385</v>
      </c>
      <c r="Q279" s="327"/>
      <c r="R279" s="327"/>
      <c r="S279" s="327"/>
      <c r="T279" s="327"/>
      <c r="U279" s="327"/>
      <c r="V279" s="328"/>
      <c r="W279" s="39" t="s">
        <v>386</v>
      </c>
      <c r="X279" s="37"/>
      <c r="Y279" s="37"/>
      <c r="Z279" s="37">
        <f>IFERROR(Z30+Z34+Z40+Z47+Z55+Z63+Z69+Z74+Z80+Z90+Z96+Z107+Z111+Z115+Z120+Z127+Z133+Z139+Z145+Z151+Z156+Z161+Z166+Z172+Z177+Z183+Z188+Z197+Z203+Z208+Z214+Z219+Z225+Z231+Z235+Z241+Z245+Z252+Z258+Z272,"0")</f>
        <v>23.63522</v>
      </c>
      <c r="AA279" s="277"/>
      <c r="AB279" s="277"/>
      <c r="AC279" s="277"/>
    </row>
    <row r="280" spans="1:32" ht="13.5" customHeight="1" thickBot="1" x14ac:dyDescent="0.25"/>
    <row r="281" spans="1:32" ht="27" customHeight="1" thickTop="1" thickBot="1" x14ac:dyDescent="0.25">
      <c r="A281" s="40" t="s">
        <v>387</v>
      </c>
      <c r="B281" s="291" t="s">
        <v>61</v>
      </c>
      <c r="C281" s="368"/>
      <c r="D281" s="291" t="s">
        <v>100</v>
      </c>
      <c r="E281" s="431"/>
      <c r="F281" s="431"/>
      <c r="G281" s="431"/>
      <c r="H281" s="431"/>
      <c r="I281" s="431"/>
      <c r="J281" s="431"/>
      <c r="K281" s="431"/>
      <c r="L281" s="431"/>
      <c r="M281" s="431"/>
      <c r="N281" s="431"/>
      <c r="O281" s="431"/>
      <c r="P281" s="431"/>
      <c r="Q281" s="431"/>
      <c r="R281" s="431"/>
      <c r="S281" s="431"/>
      <c r="T281" s="368"/>
      <c r="U281" s="291" t="s">
        <v>253</v>
      </c>
      <c r="V281" s="431"/>
      <c r="W281" s="368"/>
      <c r="X281" s="271" t="s">
        <v>274</v>
      </c>
      <c r="Y281" s="291" t="s">
        <v>288</v>
      </c>
      <c r="Z281" s="431"/>
      <c r="AA281" s="368"/>
      <c r="AB281" s="271" t="s">
        <v>310</v>
      </c>
      <c r="AC281" s="271" t="s">
        <v>315</v>
      </c>
      <c r="AD281" s="271" t="s">
        <v>323</v>
      </c>
      <c r="AE281" s="271" t="s">
        <v>254</v>
      </c>
      <c r="AF281" s="272"/>
    </row>
    <row r="282" spans="1:32" ht="14.25" customHeight="1" thickTop="1" x14ac:dyDescent="0.2">
      <c r="A282" s="311" t="s">
        <v>388</v>
      </c>
      <c r="B282" s="291" t="s">
        <v>61</v>
      </c>
      <c r="C282" s="291" t="s">
        <v>94</v>
      </c>
      <c r="D282" s="291" t="s">
        <v>101</v>
      </c>
      <c r="E282" s="291" t="s">
        <v>112</v>
      </c>
      <c r="F282" s="291" t="s">
        <v>123</v>
      </c>
      <c r="G282" s="291" t="s">
        <v>136</v>
      </c>
      <c r="H282" s="291" t="s">
        <v>143</v>
      </c>
      <c r="I282" s="291" t="s">
        <v>148</v>
      </c>
      <c r="J282" s="291" t="s">
        <v>156</v>
      </c>
      <c r="K282" s="291" t="s">
        <v>171</v>
      </c>
      <c r="L282" s="291" t="s">
        <v>178</v>
      </c>
      <c r="M282" s="291" t="s">
        <v>204</v>
      </c>
      <c r="N282" s="272"/>
      <c r="O282" s="291" t="s">
        <v>225</v>
      </c>
      <c r="P282" s="291" t="s">
        <v>231</v>
      </c>
      <c r="Q282" s="291" t="s">
        <v>237</v>
      </c>
      <c r="R282" s="291" t="s">
        <v>243</v>
      </c>
      <c r="S282" s="291" t="s">
        <v>246</v>
      </c>
      <c r="T282" s="291" t="s">
        <v>250</v>
      </c>
      <c r="U282" s="291" t="s">
        <v>254</v>
      </c>
      <c r="V282" s="291" t="s">
        <v>264</v>
      </c>
      <c r="W282" s="291" t="s">
        <v>271</v>
      </c>
      <c r="X282" s="291" t="s">
        <v>275</v>
      </c>
      <c r="Y282" s="291" t="s">
        <v>289</v>
      </c>
      <c r="Z282" s="291" t="s">
        <v>299</v>
      </c>
      <c r="AA282" s="291" t="s">
        <v>306</v>
      </c>
      <c r="AB282" s="291" t="s">
        <v>311</v>
      </c>
      <c r="AC282" s="291" t="s">
        <v>316</v>
      </c>
      <c r="AD282" s="291" t="s">
        <v>323</v>
      </c>
      <c r="AE282" s="291" t="s">
        <v>254</v>
      </c>
      <c r="AF282" s="272"/>
    </row>
    <row r="283" spans="1:32" ht="13.5" customHeight="1" thickBot="1" x14ac:dyDescent="0.25">
      <c r="A283" s="312"/>
      <c r="B283" s="292"/>
      <c r="C283" s="292"/>
      <c r="D283" s="292"/>
      <c r="E283" s="292"/>
      <c r="F283" s="292"/>
      <c r="G283" s="292"/>
      <c r="H283" s="292"/>
      <c r="I283" s="292"/>
      <c r="J283" s="292"/>
      <c r="K283" s="292"/>
      <c r="L283" s="292"/>
      <c r="M283" s="292"/>
      <c r="N283" s="272"/>
      <c r="O283" s="292"/>
      <c r="P283" s="292"/>
      <c r="Q283" s="292"/>
      <c r="R283" s="292"/>
      <c r="S283" s="292"/>
      <c r="T283" s="292"/>
      <c r="U283" s="292"/>
      <c r="V283" s="292"/>
      <c r="W283" s="292"/>
      <c r="X283" s="292"/>
      <c r="Y283" s="292"/>
      <c r="Z283" s="292"/>
      <c r="AA283" s="292"/>
      <c r="AB283" s="292"/>
      <c r="AC283" s="292"/>
      <c r="AD283" s="292"/>
      <c r="AE283" s="292"/>
      <c r="AF283" s="272"/>
    </row>
    <row r="284" spans="1:32" ht="18" customHeight="1" thickTop="1" thickBot="1" x14ac:dyDescent="0.25">
      <c r="A284" s="40" t="s">
        <v>389</v>
      </c>
      <c r="B284" s="46">
        <f>IFERROR(X22*H22,"0")+IFERROR(X23*H23,"0")+IFERROR(X24*H24,"0")+IFERROR(X25*H25,"0")+IFERROR(X26*H26,"0")+IFERROR(X27*H27,"0")+IFERROR(X28*H28,"0")+IFERROR(X29*H29,"0")+IFERROR(X33*H33,"0")</f>
        <v>470.4</v>
      </c>
      <c r="C284" s="46">
        <f>IFERROR(X38*H38,"0")+IFERROR(X39*H39,"0")</f>
        <v>0</v>
      </c>
      <c r="D284" s="46">
        <f>IFERROR(X45*H45,"0")+IFERROR(X46*H46,"0")</f>
        <v>84</v>
      </c>
      <c r="E284" s="46">
        <f>IFERROR(X51*H51,"0")+IFERROR(X52*H52,"0")+IFERROR(X53*H53,"0")+IFERROR(X54*H54,"0")</f>
        <v>0</v>
      </c>
      <c r="F284" s="46">
        <f>IFERROR(X59*H59,"0")+IFERROR(X60*H60,"0")+IFERROR(X61*H61,"0")+IFERROR(X62*H62,"0")</f>
        <v>0</v>
      </c>
      <c r="G284" s="46">
        <f>IFERROR(X67*H67,"0")+IFERROR(X68*H68,"0")</f>
        <v>360</v>
      </c>
      <c r="H284" s="46">
        <f>IFERROR(X73*H73,"0")</f>
        <v>0</v>
      </c>
      <c r="I284" s="46">
        <f>IFERROR(X78*H78,"0")+IFERROR(X79*H79,"0")</f>
        <v>403.2</v>
      </c>
      <c r="J284" s="46">
        <f>IFERROR(X84*H84,"0")+IFERROR(X85*H85,"0")+IFERROR(X86*H86,"0")+IFERROR(X87*H87,"0")+IFERROR(X88*H88,"0")+IFERROR(X89*H89,"0")</f>
        <v>497.28</v>
      </c>
      <c r="K284" s="46">
        <f>IFERROR(X94*H94,"0")+IFERROR(X95*H95,"0")</f>
        <v>0</v>
      </c>
      <c r="L284" s="46">
        <f>IFERROR(X100*H100,"0")+IFERROR(X101*H101,"0")+IFERROR(X102*H102,"0")+IFERROR(X103*H103,"0")+IFERROR(X104*H104,"0")+IFERROR(X105*H105,"0")+IFERROR(X106*H106,"0")+IFERROR(X110*H110,"0")+IFERROR(X114*H114,"0")</f>
        <v>1260</v>
      </c>
      <c r="M284" s="46">
        <f>IFERROR(X119*H119,"0")+IFERROR(X123*H123,"0")+IFERROR(X124*H124,"0")+IFERROR(X125*H125,"0")+IFERROR(X126*H126,"0")+IFERROR(X130*H130,"0")+IFERROR(X131*H131,"0")+IFERROR(X132*H132,"0")</f>
        <v>135.24</v>
      </c>
      <c r="N284" s="272"/>
      <c r="O284" s="46">
        <f>IFERROR(X137*H137,"0")+IFERROR(X138*H138,"0")</f>
        <v>252</v>
      </c>
      <c r="P284" s="46">
        <f>IFERROR(X143*H143,"0")+IFERROR(X144*H144,"0")</f>
        <v>84</v>
      </c>
      <c r="Q284" s="46">
        <f>IFERROR(X149*H149,"0")+IFERROR(X150*H150,"0")</f>
        <v>33.6</v>
      </c>
      <c r="R284" s="46">
        <f>IFERROR(X155*H155,"0")</f>
        <v>0</v>
      </c>
      <c r="S284" s="46">
        <f>IFERROR(X160*H160,"0")</f>
        <v>0</v>
      </c>
      <c r="T284" s="46">
        <f>IFERROR(X165*H165,"0")</f>
        <v>0</v>
      </c>
      <c r="U284" s="46">
        <f>IFERROR(X171*H171,"0")+IFERROR(X175*H175,"0")+IFERROR(X176*H176,"0")</f>
        <v>792</v>
      </c>
      <c r="V284" s="46">
        <f>IFERROR(X181*H181,"0")+IFERROR(X182*H182,"0")</f>
        <v>0</v>
      </c>
      <c r="W284" s="46">
        <f>IFERROR(X187*H187,"0")</f>
        <v>1080</v>
      </c>
      <c r="X284" s="46">
        <f>IFERROR(X193*H193,"0")+IFERROR(X194*H194,"0")+IFERROR(X195*H195,"0")+IFERROR(X196*H196,"0")</f>
        <v>588</v>
      </c>
      <c r="Y284" s="46">
        <f>IFERROR(X202*H202,"0")+IFERROR(X206*H206,"0")+IFERROR(X207*H207,"0")</f>
        <v>0</v>
      </c>
      <c r="Z284" s="46">
        <f>IFERROR(X212*H212,"0")+IFERROR(X213*H213,"0")</f>
        <v>0</v>
      </c>
      <c r="AA284" s="46">
        <f>IFERROR(X218*H218,"0")</f>
        <v>0</v>
      </c>
      <c r="AB284" s="46">
        <f>IFERROR(X224*H224,"0")</f>
        <v>0</v>
      </c>
      <c r="AC284" s="46">
        <f>IFERROR(X230*H230,"0")+IFERROR(X234*H234,"0")</f>
        <v>0</v>
      </c>
      <c r="AD284" s="46">
        <f>IFERROR(X240*H240,"0")+IFERROR(X244*H244,"0")</f>
        <v>0</v>
      </c>
      <c r="AE284" s="46">
        <f>IFERROR(X250*H250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+IFERROR(X271*H271,"0")</f>
        <v>681.8</v>
      </c>
      <c r="AF284" s="272"/>
    </row>
    <row r="285" spans="1:32" ht="13.5" customHeight="1" thickTop="1" x14ac:dyDescent="0.2">
      <c r="C285" s="272"/>
    </row>
    <row r="286" spans="1:32" ht="19.5" customHeight="1" x14ac:dyDescent="0.2">
      <c r="A286" s="58" t="s">
        <v>390</v>
      </c>
      <c r="B286" s="58" t="s">
        <v>391</v>
      </c>
      <c r="C286" s="58" t="s">
        <v>392</v>
      </c>
    </row>
    <row r="287" spans="1:32" x14ac:dyDescent="0.2">
      <c r="A287" s="59">
        <f>SUMPRODUCT(--(BB:BB="ЗПФ"),--(W:W="кор"),H:H,Y:Y)+SUMPRODUCT(--(BB:BB="ЗПФ"),--(W:W="кг"),Y:Y)</f>
        <v>3422.4</v>
      </c>
      <c r="B287" s="60">
        <f>SUMPRODUCT(--(BB:BB="ПГП"),--(W:W="кор"),H:H,Y:Y)+SUMPRODUCT(--(BB:BB="ПГП"),--(W:W="кг"),Y:Y)</f>
        <v>3299.12</v>
      </c>
      <c r="C287" s="60">
        <f>SUMPRODUCT(--(BB:BB="КИЗ"),--(W:W="кор"),H:H,Y:Y)+SUMPRODUCT(--(BB:BB="КИЗ"),--(W:W="кг"),Y:Y)</f>
        <v>0</v>
      </c>
    </row>
  </sheetData>
  <sheetProtection algorithmName="SHA-512" hashValue="OOT/nYJyTckv5GWMIjV2ndh6LLZpS8z5cCtZL/wGEu6M+FYPANfaPHnKVtvy2DqJsa5z87Cy3ku2UXhc8HhwnA==" saltValue="2oy2m5XKP3Zv3mldGKZDJA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80,00"/>
        <filter val="1 260,00"/>
        <filter val="1 590,00"/>
        <filter val="112,00"/>
        <filter val="12,00"/>
        <filter val="132,00"/>
        <filter val="135,24"/>
        <filter val="14,00"/>
        <filter val="140,00"/>
        <filter val="180,00"/>
        <filter val="19"/>
        <filter val="196,00"/>
        <filter val="216,00"/>
        <filter val="252,00"/>
        <filter val="28,00"/>
        <filter val="33,60"/>
        <filter val="36,00"/>
        <filter val="360,00"/>
        <filter val="378,00"/>
        <filter val="403,20"/>
        <filter val="42,00"/>
        <filter val="470,40"/>
        <filter val="497,28"/>
        <filter val="51,80"/>
        <filter val="56,00"/>
        <filter val="588,00"/>
        <filter val="6 721,52"/>
        <filter val="60,00"/>
        <filter val="7 326,54"/>
        <filter val="7 801,54"/>
        <filter val="72,00"/>
        <filter val="792,00"/>
        <filter val="84,00"/>
        <filter val="98,00"/>
      </filters>
    </filterColumn>
    <filterColumn colId="29" showButton="0"/>
    <filterColumn colId="30" showButton="0"/>
  </autoFilter>
  <mergeCells count="499">
    <mergeCell ref="J282:J283"/>
    <mergeCell ref="L282:L283"/>
    <mergeCell ref="A129:Z129"/>
    <mergeCell ref="D17:E18"/>
    <mergeCell ref="A151:O152"/>
    <mergeCell ref="U281:W281"/>
    <mergeCell ref="P202:T202"/>
    <mergeCell ref="A188:O189"/>
    <mergeCell ref="D123:E123"/>
    <mergeCell ref="D250:E250"/>
    <mergeCell ref="X17:X18"/>
    <mergeCell ref="D110:E110"/>
    <mergeCell ref="A8:C8"/>
    <mergeCell ref="P124:T124"/>
    <mergeCell ref="A153:Z153"/>
    <mergeCell ref="D268:E268"/>
    <mergeCell ref="A197:O198"/>
    <mergeCell ref="A10:C10"/>
    <mergeCell ref="P126:T126"/>
    <mergeCell ref="A217:Z217"/>
    <mergeCell ref="P218:T218"/>
    <mergeCell ref="P69:V69"/>
    <mergeCell ref="P140:V140"/>
    <mergeCell ref="A136:Z136"/>
    <mergeCell ref="A192:Z192"/>
    <mergeCell ref="A21:Z21"/>
    <mergeCell ref="A57:Z57"/>
    <mergeCell ref="Q6:R6"/>
    <mergeCell ref="W282:W283"/>
    <mergeCell ref="M282:M283"/>
    <mergeCell ref="O282:O283"/>
    <mergeCell ref="D102:E102"/>
    <mergeCell ref="Q282:Q283"/>
    <mergeCell ref="P81:V81"/>
    <mergeCell ref="P208:V208"/>
    <mergeCell ref="D196:E196"/>
    <mergeCell ref="D25:E25"/>
    <mergeCell ref="A55:O56"/>
    <mergeCell ref="P219:V219"/>
    <mergeCell ref="P145:V145"/>
    <mergeCell ref="P272:V272"/>
    <mergeCell ref="D54:E54"/>
    <mergeCell ref="D271:E271"/>
    <mergeCell ref="V12:W12"/>
    <mergeCell ref="D282:D283"/>
    <mergeCell ref="D262:E262"/>
    <mergeCell ref="P25:T25"/>
    <mergeCell ref="P85:T85"/>
    <mergeCell ref="P60:T60"/>
    <mergeCell ref="D266:E266"/>
    <mergeCell ref="P149:T149"/>
    <mergeCell ref="AD17:AF18"/>
    <mergeCell ref="P167:V167"/>
    <mergeCell ref="D101:E101"/>
    <mergeCell ref="F5:G5"/>
    <mergeCell ref="P55:V55"/>
    <mergeCell ref="A221:Z221"/>
    <mergeCell ref="P67:T67"/>
    <mergeCell ref="D175:E175"/>
    <mergeCell ref="A223:Z223"/>
    <mergeCell ref="V11:W11"/>
    <mergeCell ref="D165:E165"/>
    <mergeCell ref="P181:T181"/>
    <mergeCell ref="D29:E29"/>
    <mergeCell ref="D23:E23"/>
    <mergeCell ref="A20:Z20"/>
    <mergeCell ref="P123:T123"/>
    <mergeCell ref="P110:T110"/>
    <mergeCell ref="D218:E218"/>
    <mergeCell ref="P197:V197"/>
    <mergeCell ref="A191:Z191"/>
    <mergeCell ref="D105:E105"/>
    <mergeCell ref="N17:N18"/>
    <mergeCell ref="Q5:R5"/>
    <mergeCell ref="F17:F18"/>
    <mergeCell ref="V282:V283"/>
    <mergeCell ref="P62:T62"/>
    <mergeCell ref="P2:W3"/>
    <mergeCell ref="X282:X283"/>
    <mergeCell ref="A43:Z43"/>
    <mergeCell ref="P54:T54"/>
    <mergeCell ref="A170:Z170"/>
    <mergeCell ref="D10:E10"/>
    <mergeCell ref="F10:G10"/>
    <mergeCell ref="A115:O116"/>
    <mergeCell ref="D270:E270"/>
    <mergeCell ref="A201:Z201"/>
    <mergeCell ref="A245:O246"/>
    <mergeCell ref="A254:Z254"/>
    <mergeCell ref="D265:E265"/>
    <mergeCell ref="A258:O259"/>
    <mergeCell ref="A249:Z249"/>
    <mergeCell ref="P262:T262"/>
    <mergeCell ref="A274:O279"/>
    <mergeCell ref="D281:T281"/>
    <mergeCell ref="D234:E234"/>
    <mergeCell ref="P263:T263"/>
    <mergeCell ref="D244:E244"/>
    <mergeCell ref="D171:E171"/>
    <mergeCell ref="O17:O18"/>
    <mergeCell ref="P258:V258"/>
    <mergeCell ref="A248:Z248"/>
    <mergeCell ref="P102:T102"/>
    <mergeCell ref="A247:Z247"/>
    <mergeCell ref="P189:V189"/>
    <mergeCell ref="A185:Z185"/>
    <mergeCell ref="P196:T196"/>
    <mergeCell ref="D33:E33"/>
    <mergeCell ref="D95:E95"/>
    <mergeCell ref="P74:V74"/>
    <mergeCell ref="U17:V17"/>
    <mergeCell ref="Y17:Y18"/>
    <mergeCell ref="Y281:AA281"/>
    <mergeCell ref="P105:T105"/>
    <mergeCell ref="D257:E257"/>
    <mergeCell ref="P270:T270"/>
    <mergeCell ref="D86:E86"/>
    <mergeCell ref="D213:E213"/>
    <mergeCell ref="A166:O167"/>
    <mergeCell ref="D150:E150"/>
    <mergeCell ref="P101:T101"/>
    <mergeCell ref="A233:Z233"/>
    <mergeCell ref="H5:M5"/>
    <mergeCell ref="P31:V31"/>
    <mergeCell ref="A154:Z154"/>
    <mergeCell ref="D212:E212"/>
    <mergeCell ref="D6:M6"/>
    <mergeCell ref="P175:T175"/>
    <mergeCell ref="D143:E143"/>
    <mergeCell ref="P106:T106"/>
    <mergeCell ref="P33:T33"/>
    <mergeCell ref="D207:E207"/>
    <mergeCell ref="P120:V120"/>
    <mergeCell ref="D85:E85"/>
    <mergeCell ref="G17:G18"/>
    <mergeCell ref="P184:V184"/>
    <mergeCell ref="P121:V121"/>
    <mergeCell ref="A169:Z169"/>
    <mergeCell ref="P59:T59"/>
    <mergeCell ref="P130:T130"/>
    <mergeCell ref="P46:T46"/>
    <mergeCell ref="P61:T61"/>
    <mergeCell ref="A9:C9"/>
    <mergeCell ref="P125:T125"/>
    <mergeCell ref="D202:E202"/>
    <mergeCell ref="A179:Z179"/>
    <mergeCell ref="F282:F283"/>
    <mergeCell ref="P282:P283"/>
    <mergeCell ref="P22:T22"/>
    <mergeCell ref="P236:V236"/>
    <mergeCell ref="P257:T257"/>
    <mergeCell ref="D194:E194"/>
    <mergeCell ref="Z17:Z18"/>
    <mergeCell ref="P173:V173"/>
    <mergeCell ref="A172:O173"/>
    <mergeCell ref="D256:E256"/>
    <mergeCell ref="P269:T269"/>
    <mergeCell ref="A231:O232"/>
    <mergeCell ref="P242:V242"/>
    <mergeCell ref="Y282:Y283"/>
    <mergeCell ref="H282:H283"/>
    <mergeCell ref="A241:O242"/>
    <mergeCell ref="A227:Z227"/>
    <mergeCell ref="P273:V273"/>
    <mergeCell ref="P70:V70"/>
    <mergeCell ref="A219:O220"/>
    <mergeCell ref="P116:V116"/>
    <mergeCell ref="E282:E283"/>
    <mergeCell ref="G282:G283"/>
    <mergeCell ref="P134:V134"/>
    <mergeCell ref="AA17:AA18"/>
    <mergeCell ref="P107:V107"/>
    <mergeCell ref="AC17:AC18"/>
    <mergeCell ref="H10:M10"/>
    <mergeCell ref="A122:Z122"/>
    <mergeCell ref="D89:E89"/>
    <mergeCell ref="P209:V209"/>
    <mergeCell ref="A72:Z72"/>
    <mergeCell ref="A199:Z199"/>
    <mergeCell ref="P45:T45"/>
    <mergeCell ref="P38:T38"/>
    <mergeCell ref="P84:T84"/>
    <mergeCell ref="P193:T193"/>
    <mergeCell ref="AB17:AB18"/>
    <mergeCell ref="P97:V97"/>
    <mergeCell ref="A93:Z93"/>
    <mergeCell ref="Q13:R13"/>
    <mergeCell ref="P47:V47"/>
    <mergeCell ref="P176:T176"/>
    <mergeCell ref="P114:T114"/>
    <mergeCell ref="D84:E84"/>
    <mergeCell ref="D155:E155"/>
    <mergeCell ref="D22:E22"/>
    <mergeCell ref="D149:E149"/>
    <mergeCell ref="D267:E267"/>
    <mergeCell ref="H17:H18"/>
    <mergeCell ref="P261:T261"/>
    <mergeCell ref="D269:E269"/>
    <mergeCell ref="P275:V275"/>
    <mergeCell ref="P27:T27"/>
    <mergeCell ref="D206:E206"/>
    <mergeCell ref="P241:V241"/>
    <mergeCell ref="A66:Z66"/>
    <mergeCell ref="P41:V41"/>
    <mergeCell ref="D181:E181"/>
    <mergeCell ref="A158:Z158"/>
    <mergeCell ref="P252:V252"/>
    <mergeCell ref="P56:V56"/>
    <mergeCell ref="A80:O81"/>
    <mergeCell ref="D39:E39"/>
    <mergeCell ref="A141:Z141"/>
    <mergeCell ref="P212:T212"/>
    <mergeCell ref="A135:Z135"/>
    <mergeCell ref="P251:T251"/>
    <mergeCell ref="A235:O236"/>
    <mergeCell ref="P256:T256"/>
    <mergeCell ref="A222:Z222"/>
    <mergeCell ref="A127:O128"/>
    <mergeCell ref="J9:M9"/>
    <mergeCell ref="A90:O91"/>
    <mergeCell ref="D62:E62"/>
    <mergeCell ref="D193:E193"/>
    <mergeCell ref="P206:T206"/>
    <mergeCell ref="D176:E176"/>
    <mergeCell ref="D114:E114"/>
    <mergeCell ref="P220:V220"/>
    <mergeCell ref="P143:T143"/>
    <mergeCell ref="D51:E51"/>
    <mergeCell ref="P157:V157"/>
    <mergeCell ref="A147:Z147"/>
    <mergeCell ref="P207:T207"/>
    <mergeCell ref="P172:V172"/>
    <mergeCell ref="D138:E138"/>
    <mergeCell ref="P215:V215"/>
    <mergeCell ref="A211:Z211"/>
    <mergeCell ref="A186:Z186"/>
    <mergeCell ref="P152:V152"/>
    <mergeCell ref="P30:V30"/>
    <mergeCell ref="A82:Z82"/>
    <mergeCell ref="V6:W9"/>
    <mergeCell ref="P63:V63"/>
    <mergeCell ref="M17:M18"/>
    <mergeCell ref="A252:O253"/>
    <mergeCell ref="D137:E137"/>
    <mergeCell ref="A210:Z210"/>
    <mergeCell ref="P80:V80"/>
    <mergeCell ref="P151:V151"/>
    <mergeCell ref="D130:E130"/>
    <mergeCell ref="P87:T87"/>
    <mergeCell ref="D68:E68"/>
    <mergeCell ref="P224:T224"/>
    <mergeCell ref="P89:T89"/>
    <mergeCell ref="D132:E132"/>
    <mergeCell ref="P225:V225"/>
    <mergeCell ref="P88:T88"/>
    <mergeCell ref="A156:O157"/>
    <mergeCell ref="A92:Z92"/>
    <mergeCell ref="P231:V231"/>
    <mergeCell ref="D125:E125"/>
    <mergeCell ref="A19:Z19"/>
    <mergeCell ref="D182:E182"/>
    <mergeCell ref="A117:Z117"/>
    <mergeCell ref="A14:M14"/>
    <mergeCell ref="P138:T138"/>
    <mergeCell ref="T5:U5"/>
    <mergeCell ref="D119:E119"/>
    <mergeCell ref="V5:W5"/>
    <mergeCell ref="D46:E46"/>
    <mergeCell ref="A34:O35"/>
    <mergeCell ref="A142:Z142"/>
    <mergeCell ref="Q8:R8"/>
    <mergeCell ref="D104:E104"/>
    <mergeCell ref="T6:U9"/>
    <mergeCell ref="A30:O31"/>
    <mergeCell ref="Q10:R10"/>
    <mergeCell ref="A37:Z37"/>
    <mergeCell ref="P24:T24"/>
    <mergeCell ref="D59:E59"/>
    <mergeCell ref="P51:T51"/>
    <mergeCell ref="P26:T26"/>
    <mergeCell ref="A13:M13"/>
    <mergeCell ref="D61:E61"/>
    <mergeCell ref="A15:M15"/>
    <mergeCell ref="A5:C5"/>
    <mergeCell ref="A107:O108"/>
    <mergeCell ref="A237:Z237"/>
    <mergeCell ref="P64:V64"/>
    <mergeCell ref="A174:Z174"/>
    <mergeCell ref="P128:V128"/>
    <mergeCell ref="P195:T195"/>
    <mergeCell ref="A118:Z118"/>
    <mergeCell ref="A17:A18"/>
    <mergeCell ref="C17:C18"/>
    <mergeCell ref="K17:K18"/>
    <mergeCell ref="D103:E103"/>
    <mergeCell ref="D230:E230"/>
    <mergeCell ref="A208:O209"/>
    <mergeCell ref="P137:T137"/>
    <mergeCell ref="D9:E9"/>
    <mergeCell ref="A183:O184"/>
    <mergeCell ref="P53:T53"/>
    <mergeCell ref="F9:G9"/>
    <mergeCell ref="P68:T68"/>
    <mergeCell ref="D38:E38"/>
    <mergeCell ref="P204:V204"/>
    <mergeCell ref="P132:T132"/>
    <mergeCell ref="A44:Z44"/>
    <mergeCell ref="A6:C6"/>
    <mergeCell ref="D88:E88"/>
    <mergeCell ref="D26:E26"/>
    <mergeCell ref="P182:T182"/>
    <mergeCell ref="A203:O204"/>
    <mergeCell ref="Q12:R12"/>
    <mergeCell ref="D261:E261"/>
    <mergeCell ref="P119:T119"/>
    <mergeCell ref="P183:V183"/>
    <mergeCell ref="P133:V133"/>
    <mergeCell ref="P127:V127"/>
    <mergeCell ref="P198:V198"/>
    <mergeCell ref="A238:Z238"/>
    <mergeCell ref="P253:V253"/>
    <mergeCell ref="P75:V75"/>
    <mergeCell ref="P146:V146"/>
    <mergeCell ref="A98:Z98"/>
    <mergeCell ref="D52:E52"/>
    <mergeCell ref="A40:O41"/>
    <mergeCell ref="D27:E27"/>
    <mergeCell ref="P15:T16"/>
    <mergeCell ref="P23:T23"/>
    <mergeCell ref="A164:Z164"/>
    <mergeCell ref="A69:O70"/>
    <mergeCell ref="P34:V34"/>
    <mergeCell ref="P276:V276"/>
    <mergeCell ref="A239:Z239"/>
    <mergeCell ref="P214:V214"/>
    <mergeCell ref="Q9:R9"/>
    <mergeCell ref="D255:E255"/>
    <mergeCell ref="R282:R283"/>
    <mergeCell ref="A113:Z113"/>
    <mergeCell ref="A32:Z32"/>
    <mergeCell ref="P278:V278"/>
    <mergeCell ref="A159:Z159"/>
    <mergeCell ref="P78:T78"/>
    <mergeCell ref="D24:E24"/>
    <mergeCell ref="Q11:R11"/>
    <mergeCell ref="B281:C281"/>
    <mergeCell ref="A272:O273"/>
    <mergeCell ref="P264:T264"/>
    <mergeCell ref="D106:E106"/>
    <mergeCell ref="D264:E264"/>
    <mergeCell ref="A133:O134"/>
    <mergeCell ref="A42:Z42"/>
    <mergeCell ref="D251:E251"/>
    <mergeCell ref="A12:M12"/>
    <mergeCell ref="A109:Z109"/>
    <mergeCell ref="D1:F1"/>
    <mergeCell ref="A71:Z71"/>
    <mergeCell ref="P111:V111"/>
    <mergeCell ref="J17:J18"/>
    <mergeCell ref="L17:L18"/>
    <mergeCell ref="D240:E240"/>
    <mergeCell ref="P48:V48"/>
    <mergeCell ref="P255:T255"/>
    <mergeCell ref="P112:V112"/>
    <mergeCell ref="D100:E100"/>
    <mergeCell ref="A229:Z229"/>
    <mergeCell ref="P17:T18"/>
    <mergeCell ref="A77:Z77"/>
    <mergeCell ref="A148:Z148"/>
    <mergeCell ref="P194:T194"/>
    <mergeCell ref="P250:T250"/>
    <mergeCell ref="P131:T131"/>
    <mergeCell ref="P187:T187"/>
    <mergeCell ref="A111:O112"/>
    <mergeCell ref="P52:T52"/>
    <mergeCell ref="A168:Z168"/>
    <mergeCell ref="D160:E160"/>
    <mergeCell ref="P139:V139"/>
    <mergeCell ref="I17:I18"/>
    <mergeCell ref="H1:Q1"/>
    <mergeCell ref="A243:Z243"/>
    <mergeCell ref="P274:V274"/>
    <mergeCell ref="A99:Z99"/>
    <mergeCell ref="P246:V246"/>
    <mergeCell ref="P40:V40"/>
    <mergeCell ref="A163:Z163"/>
    <mergeCell ref="D28:E28"/>
    <mergeCell ref="A76:Z76"/>
    <mergeCell ref="P171:T171"/>
    <mergeCell ref="D67:E67"/>
    <mergeCell ref="A214:O215"/>
    <mergeCell ref="D5:E5"/>
    <mergeCell ref="D94:E94"/>
    <mergeCell ref="A47:O48"/>
    <mergeCell ref="P240:T240"/>
    <mergeCell ref="A96:O97"/>
    <mergeCell ref="P162:V162"/>
    <mergeCell ref="P177:V177"/>
    <mergeCell ref="P226:V226"/>
    <mergeCell ref="A216:Z216"/>
    <mergeCell ref="P35:V35"/>
    <mergeCell ref="A225:O226"/>
    <mergeCell ref="P39:T39"/>
    <mergeCell ref="D7:M7"/>
    <mergeCell ref="AD282:AD283"/>
    <mergeCell ref="P91:V91"/>
    <mergeCell ref="D79:E79"/>
    <mergeCell ref="P156:V156"/>
    <mergeCell ref="D144:E144"/>
    <mergeCell ref="P29:T29"/>
    <mergeCell ref="P271:T271"/>
    <mergeCell ref="P100:T100"/>
    <mergeCell ref="P265:T265"/>
    <mergeCell ref="P94:T94"/>
    <mergeCell ref="D8:M8"/>
    <mergeCell ref="P279:V279"/>
    <mergeCell ref="P108:V108"/>
    <mergeCell ref="A161:O162"/>
    <mergeCell ref="A228:Z228"/>
    <mergeCell ref="P266:T266"/>
    <mergeCell ref="P95:T95"/>
    <mergeCell ref="B282:B283"/>
    <mergeCell ref="D87:E87"/>
    <mergeCell ref="P188:V188"/>
    <mergeCell ref="D224:E224"/>
    <mergeCell ref="P103:T103"/>
    <mergeCell ref="P268:T268"/>
    <mergeCell ref="R1:T1"/>
    <mergeCell ref="P150:T150"/>
    <mergeCell ref="P28:T28"/>
    <mergeCell ref="A74:O75"/>
    <mergeCell ref="A145:O146"/>
    <mergeCell ref="P115:V115"/>
    <mergeCell ref="A139:O140"/>
    <mergeCell ref="P165:T165"/>
    <mergeCell ref="D73:E73"/>
    <mergeCell ref="A58:Z58"/>
    <mergeCell ref="A63:O64"/>
    <mergeCell ref="P104:T104"/>
    <mergeCell ref="B17:B18"/>
    <mergeCell ref="D131:E131"/>
    <mergeCell ref="D124:E124"/>
    <mergeCell ref="V10:W10"/>
    <mergeCell ref="D126:E126"/>
    <mergeCell ref="D53:E53"/>
    <mergeCell ref="P160:T160"/>
    <mergeCell ref="A50:Z50"/>
    <mergeCell ref="W17:W18"/>
    <mergeCell ref="P96:V96"/>
    <mergeCell ref="P90:V90"/>
    <mergeCell ref="P161:V161"/>
    <mergeCell ref="H9:I9"/>
    <mergeCell ref="D45:E45"/>
    <mergeCell ref="A49:Z49"/>
    <mergeCell ref="A36:Z36"/>
    <mergeCell ref="P259:V259"/>
    <mergeCell ref="P155:T155"/>
    <mergeCell ref="A205:Z205"/>
    <mergeCell ref="D263:E263"/>
    <mergeCell ref="A65:Z65"/>
    <mergeCell ref="P86:T86"/>
    <mergeCell ref="D78:E78"/>
    <mergeCell ref="P213:T213"/>
    <mergeCell ref="A200:Z200"/>
    <mergeCell ref="P166:V166"/>
    <mergeCell ref="A260:Z260"/>
    <mergeCell ref="P235:V235"/>
    <mergeCell ref="D195:E195"/>
    <mergeCell ref="P232:V232"/>
    <mergeCell ref="P234:T234"/>
    <mergeCell ref="A120:O121"/>
    <mergeCell ref="P230:T230"/>
    <mergeCell ref="P203:V203"/>
    <mergeCell ref="P178:V178"/>
    <mergeCell ref="A177:O178"/>
    <mergeCell ref="P79:T79"/>
    <mergeCell ref="D60:E60"/>
    <mergeCell ref="P244:T244"/>
    <mergeCell ref="P73:T73"/>
    <mergeCell ref="D187:E187"/>
    <mergeCell ref="P144:T144"/>
    <mergeCell ref="A83:Z83"/>
    <mergeCell ref="P245:V245"/>
    <mergeCell ref="AE282:AE283"/>
    <mergeCell ref="I282:I283"/>
    <mergeCell ref="A282:A283"/>
    <mergeCell ref="K282:K283"/>
    <mergeCell ref="C282:C283"/>
    <mergeCell ref="P277:V277"/>
    <mergeCell ref="S282:S283"/>
    <mergeCell ref="U282:U283"/>
    <mergeCell ref="AA282:AA283"/>
    <mergeCell ref="AC282:AC283"/>
    <mergeCell ref="A180:Z180"/>
    <mergeCell ref="A190:Z190"/>
    <mergeCell ref="P267:T267"/>
    <mergeCell ref="Z282:Z283"/>
    <mergeCell ref="AB282:AB283"/>
    <mergeCell ref="T282:T28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59:X62 X67 X73 X85:X89 X94:X95 X101 X104:X106 X110 X114 X119 X123:X126 X130:X132 X137:X138 X143:X144 X149:X150 X155 X165 X171 X175:X176 X181 X187 X196 X206 X212:X213 X224 X230 X234 X240 X244 X250:X251 X255:X257 X261:X271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4 X68 X78:X79 X84 X100 X102:X103 X160 X182 X193:X195 X202 X207 X218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393</v>
      </c>
      <c r="H1" s="52"/>
    </row>
    <row r="3" spans="2:8" x14ac:dyDescent="0.2">
      <c r="B3" s="47" t="s">
        <v>394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395</v>
      </c>
      <c r="C6" s="47" t="s">
        <v>396</v>
      </c>
      <c r="D6" s="47" t="s">
        <v>397</v>
      </c>
      <c r="E6" s="47"/>
    </row>
    <row r="7" spans="2:8" x14ac:dyDescent="0.2">
      <c r="B7" s="47" t="s">
        <v>398</v>
      </c>
      <c r="C7" s="47" t="s">
        <v>399</v>
      </c>
      <c r="D7" s="47" t="s">
        <v>400</v>
      </c>
      <c r="E7" s="47"/>
    </row>
    <row r="8" spans="2:8" x14ac:dyDescent="0.2">
      <c r="B8" s="47" t="s">
        <v>401</v>
      </c>
      <c r="C8" s="47" t="s">
        <v>402</v>
      </c>
      <c r="D8" s="47" t="s">
        <v>403</v>
      </c>
      <c r="E8" s="47"/>
    </row>
    <row r="9" spans="2:8" x14ac:dyDescent="0.2">
      <c r="B9" s="47" t="s">
        <v>404</v>
      </c>
      <c r="C9" s="47" t="s">
        <v>405</v>
      </c>
      <c r="D9" s="47" t="s">
        <v>406</v>
      </c>
      <c r="E9" s="47"/>
    </row>
    <row r="10" spans="2:8" x14ac:dyDescent="0.2">
      <c r="B10" s="47" t="s">
        <v>407</v>
      </c>
      <c r="C10" s="47" t="s">
        <v>408</v>
      </c>
      <c r="D10" s="47" t="s">
        <v>409</v>
      </c>
      <c r="E10" s="47"/>
    </row>
    <row r="11" spans="2:8" x14ac:dyDescent="0.2">
      <c r="B11" s="47" t="s">
        <v>410</v>
      </c>
      <c r="C11" s="47" t="s">
        <v>411</v>
      </c>
      <c r="D11" s="47" t="s">
        <v>412</v>
      </c>
      <c r="E11" s="47"/>
    </row>
    <row r="13" spans="2:8" x14ac:dyDescent="0.2">
      <c r="B13" s="47" t="s">
        <v>413</v>
      </c>
      <c r="C13" s="47" t="s">
        <v>396</v>
      </c>
      <c r="D13" s="47"/>
      <c r="E13" s="47"/>
    </row>
    <row r="15" spans="2:8" x14ac:dyDescent="0.2">
      <c r="B15" s="47" t="s">
        <v>414</v>
      </c>
      <c r="C15" s="47" t="s">
        <v>399</v>
      </c>
      <c r="D15" s="47"/>
      <c r="E15" s="47"/>
    </row>
    <row r="17" spans="2:5" x14ac:dyDescent="0.2">
      <c r="B17" s="47" t="s">
        <v>415</v>
      </c>
      <c r="C17" s="47" t="s">
        <v>402</v>
      </c>
      <c r="D17" s="47"/>
      <c r="E17" s="47"/>
    </row>
    <row r="19" spans="2:5" x14ac:dyDescent="0.2">
      <c r="B19" s="47" t="s">
        <v>416</v>
      </c>
      <c r="C19" s="47" t="s">
        <v>405</v>
      </c>
      <c r="D19" s="47"/>
      <c r="E19" s="47"/>
    </row>
    <row r="21" spans="2:5" x14ac:dyDescent="0.2">
      <c r="B21" s="47" t="s">
        <v>417</v>
      </c>
      <c r="C21" s="47" t="s">
        <v>408</v>
      </c>
      <c r="D21" s="47"/>
      <c r="E21" s="47"/>
    </row>
    <row r="23" spans="2:5" x14ac:dyDescent="0.2">
      <c r="B23" s="47" t="s">
        <v>418</v>
      </c>
      <c r="C23" s="47" t="s">
        <v>411</v>
      </c>
      <c r="D23" s="47"/>
      <c r="E23" s="47"/>
    </row>
    <row r="25" spans="2:5" x14ac:dyDescent="0.2">
      <c r="B25" s="47" t="s">
        <v>419</v>
      </c>
      <c r="C25" s="47"/>
      <c r="D25" s="47"/>
      <c r="E25" s="47"/>
    </row>
    <row r="26" spans="2:5" x14ac:dyDescent="0.2">
      <c r="B26" s="47" t="s">
        <v>420</v>
      </c>
      <c r="C26" s="47"/>
      <c r="D26" s="47"/>
      <c r="E26" s="47"/>
    </row>
    <row r="27" spans="2:5" x14ac:dyDescent="0.2">
      <c r="B27" s="47" t="s">
        <v>421</v>
      </c>
      <c r="C27" s="47"/>
      <c r="D27" s="47"/>
      <c r="E27" s="47"/>
    </row>
    <row r="28" spans="2:5" x14ac:dyDescent="0.2">
      <c r="B28" s="47" t="s">
        <v>422</v>
      </c>
      <c r="C28" s="47"/>
      <c r="D28" s="47"/>
      <c r="E28" s="47"/>
    </row>
    <row r="29" spans="2:5" x14ac:dyDescent="0.2">
      <c r="B29" s="47" t="s">
        <v>423</v>
      </c>
      <c r="C29" s="47"/>
      <c r="D29" s="47"/>
      <c r="E29" s="47"/>
    </row>
    <row r="30" spans="2:5" x14ac:dyDescent="0.2">
      <c r="B30" s="47" t="s">
        <v>424</v>
      </c>
      <c r="C30" s="47"/>
      <c r="D30" s="47"/>
      <c r="E30" s="47"/>
    </row>
    <row r="31" spans="2:5" x14ac:dyDescent="0.2">
      <c r="B31" s="47" t="s">
        <v>425</v>
      </c>
      <c r="C31" s="47"/>
      <c r="D31" s="47"/>
      <c r="E31" s="47"/>
    </row>
    <row r="32" spans="2:5" x14ac:dyDescent="0.2">
      <c r="B32" s="47" t="s">
        <v>426</v>
      </c>
      <c r="C32" s="47"/>
      <c r="D32" s="47"/>
      <c r="E32" s="47"/>
    </row>
    <row r="33" spans="2:5" x14ac:dyDescent="0.2">
      <c r="B33" s="47" t="s">
        <v>427</v>
      </c>
      <c r="C33" s="47"/>
      <c r="D33" s="47"/>
      <c r="E33" s="47"/>
    </row>
    <row r="34" spans="2:5" x14ac:dyDescent="0.2">
      <c r="B34" s="47" t="s">
        <v>428</v>
      </c>
      <c r="C34" s="47"/>
      <c r="D34" s="47"/>
      <c r="E34" s="47"/>
    </row>
    <row r="35" spans="2:5" x14ac:dyDescent="0.2">
      <c r="B35" s="47" t="s">
        <v>429</v>
      </c>
      <c r="C35" s="47"/>
      <c r="D35" s="47"/>
      <c r="E35" s="47"/>
    </row>
  </sheetData>
  <sheetProtection algorithmName="SHA-512" hashValue="Alvt5AQYqaDPH7Vz6CMJzKhbsG4obNaykjDxvaDdXLMBEqy11+5GOn+9eweGjPYvtv0q74WzV4QYVK9inIltIw==" saltValue="aClZFzGz7vji4Iy8V8FQQ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439</vt:i4>
      </vt:variant>
    </vt:vector>
  </HeadingPairs>
  <TitlesOfParts>
    <vt:vector size="44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