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882B9011-6DDD-48EF-A983-82CCDA578DD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заказа'!$A$18:$AF$284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заказа'!$B$38:$B$38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заказа'!$B$57:$B$57</definedName>
    <definedName name="ProductId17">'Бланк заказа'!$B$58:$B$58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заказа'!$B$67:$B$67</definedName>
    <definedName name="ProductId23">'Бланк заказа'!$B$68:$B$68</definedName>
    <definedName name="ProductId24">'Бланк заказа'!$B$69:$B$69</definedName>
    <definedName name="ProductId25">'Бланк заказа'!$B$74:$B$74</definedName>
    <definedName name="ProductId26">'Бланк заказа'!$B$75:$B$75</definedName>
    <definedName name="ProductId27">'Бланк заказа'!$B$80:$B$80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заказа'!$B$91:$B$91</definedName>
    <definedName name="ProductId31">'Бланк заказа'!$B$92:$B$92</definedName>
    <definedName name="ProductId32">'Бланк заказа'!$B$93:$B$93</definedName>
    <definedName name="ProductId33">'Бланк заказа'!$B$94:$B$94</definedName>
    <definedName name="ProductId34">'Бланк заказа'!$B$95:$B$95</definedName>
    <definedName name="ProductId35">'Бланк заказа'!$B$96:$B$96</definedName>
    <definedName name="ProductId36">'Бланк заказа'!$B$101:$B$101</definedName>
    <definedName name="ProductId37">'Бланк заказа'!$B$102:$B$102</definedName>
    <definedName name="ProductId38">'Бланк заказа'!$B$107:$B$107</definedName>
    <definedName name="ProductId39">'Бланк заказа'!$B$108:$B$108</definedName>
    <definedName name="ProductId4">'Бланк заказа'!$B$25:$B$25</definedName>
    <definedName name="ProductId40">'Бланк заказа'!$B$109:$B$109</definedName>
    <definedName name="ProductId41">'Бланк заказа'!$B$110:$B$110</definedName>
    <definedName name="ProductId42">'Бланк заказа'!$B$111:$B$111</definedName>
    <definedName name="ProductId43">'Бланк заказа'!$B$112:$B$112</definedName>
    <definedName name="ProductId44">'Бланк заказа'!$B$113:$B$113</definedName>
    <definedName name="ProductId45">'Бланк заказа'!$B$117:$B$117</definedName>
    <definedName name="ProductId46">'Бланк заказа'!$B$121:$B$121</definedName>
    <definedName name="ProductId47">'Бланк заказа'!$B$126:$B$126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заказа'!$B$182:$B$182</definedName>
    <definedName name="ProductId66">'Бланк заказа'!$B$187:$B$187</definedName>
    <definedName name="ProductId67">'Бланк заказа'!$B$188:$B$188</definedName>
    <definedName name="ProductId68">'Бланк заказа'!$B$193:$B$193</definedName>
    <definedName name="ProductId69">'Бланк заказа'!$B$199:$B$199</definedName>
    <definedName name="ProductId7">'Бланк заказа'!$B$28:$B$28</definedName>
    <definedName name="ProductId70">'Бланк заказа'!$B$200:$B$200</definedName>
    <definedName name="ProductId71">'Бланк заказа'!$B$201:$B$201</definedName>
    <definedName name="ProductId72">'Бланк заказа'!$B$202:$B$202</definedName>
    <definedName name="ProductId73">'Бланк заказа'!$B$208:$B$208</definedName>
    <definedName name="ProductId74">'Бланк заказа'!$B$212:$B$212</definedName>
    <definedName name="ProductId75">'Бланк заказа'!$B$213:$B$213</definedName>
    <definedName name="ProductId76">'Бланк заказа'!$B$218:$B$218</definedName>
    <definedName name="ProductId77">'Бланк заказа'!$B$219:$B$219</definedName>
    <definedName name="ProductId78">'Бланк заказа'!$B$224:$B$224</definedName>
    <definedName name="ProductId79">'Бланк заказа'!$B$230:$B$230</definedName>
    <definedName name="ProductId8">'Бланк заказа'!$B$29:$B$29</definedName>
    <definedName name="ProductId80">'Бланк заказа'!$B$236:$B$236</definedName>
    <definedName name="ProductId81">'Бланк заказа'!$B$240:$B$240</definedName>
    <definedName name="ProductId82">'Бланк заказа'!$B$246:$B$246</definedName>
    <definedName name="ProductId83">'Бланк заказа'!$B$250:$B$250</definedName>
    <definedName name="ProductId84">'Бланк заказа'!$B$256:$B$256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заказа'!$B$33:$B$33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заказа'!$X$57:$X$57</definedName>
    <definedName name="SalesQty17">'Бланк заказа'!$X$58:$X$58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заказа'!$X$67:$X$67</definedName>
    <definedName name="SalesQty23">'Бланк заказа'!$X$68:$X$68</definedName>
    <definedName name="SalesQty24">'Бланк заказа'!$X$69:$X$69</definedName>
    <definedName name="SalesQty25">'Бланк заказа'!$X$74:$X$74</definedName>
    <definedName name="SalesQty26">'Бланк заказа'!$X$75:$X$75</definedName>
    <definedName name="SalesQty27">'Бланк заказа'!$X$80:$X$80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заказа'!$X$91:$X$91</definedName>
    <definedName name="SalesQty31">'Бланк заказа'!$X$92:$X$92</definedName>
    <definedName name="SalesQty32">'Бланк заказа'!$X$93:$X$93</definedName>
    <definedName name="SalesQty33">'Бланк заказа'!$X$94:$X$94</definedName>
    <definedName name="SalesQty34">'Бланк заказа'!$X$95:$X$95</definedName>
    <definedName name="SalesQty35">'Бланк заказа'!$X$96:$X$96</definedName>
    <definedName name="SalesQty36">'Бланк заказа'!$X$101:$X$101</definedName>
    <definedName name="SalesQty37">'Бланк заказа'!$X$102:$X$102</definedName>
    <definedName name="SalesQty38">'Бланк заказа'!$X$107:$X$107</definedName>
    <definedName name="SalesQty39">'Бланк заказа'!$X$108:$X$108</definedName>
    <definedName name="SalesQty4">'Бланк заказа'!$X$25:$X$25</definedName>
    <definedName name="SalesQty40">'Бланк заказа'!$X$109:$X$109</definedName>
    <definedName name="SalesQty41">'Бланк заказа'!$X$110:$X$110</definedName>
    <definedName name="SalesQty42">'Бланк заказа'!$X$111:$X$111</definedName>
    <definedName name="SalesQty43">'Бланк заказа'!$X$112:$X$112</definedName>
    <definedName name="SalesQty44">'Бланк заказа'!$X$113:$X$113</definedName>
    <definedName name="SalesQty45">'Бланк заказа'!$X$117:$X$117</definedName>
    <definedName name="SalesQty46">'Бланк заказа'!$X$121:$X$121</definedName>
    <definedName name="SalesQty47">'Бланк заказа'!$X$126:$X$126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заказа'!$X$182:$X$182</definedName>
    <definedName name="SalesQty66">'Бланк заказа'!$X$187:$X$187</definedName>
    <definedName name="SalesQty67">'Бланк заказа'!$X$188:$X$188</definedName>
    <definedName name="SalesQty68">'Бланк заказа'!$X$193:$X$193</definedName>
    <definedName name="SalesQty69">'Бланк заказа'!$X$199:$X$199</definedName>
    <definedName name="SalesQty7">'Бланк заказа'!$X$28:$X$28</definedName>
    <definedName name="SalesQty70">'Бланк заказа'!$X$200:$X$200</definedName>
    <definedName name="SalesQty71">'Бланк заказа'!$X$201:$X$201</definedName>
    <definedName name="SalesQty72">'Бланк заказа'!$X$202:$X$202</definedName>
    <definedName name="SalesQty73">'Бланк заказа'!$X$208:$X$208</definedName>
    <definedName name="SalesQty74">'Бланк заказа'!$X$212:$X$212</definedName>
    <definedName name="SalesQty75">'Бланк заказа'!$X$213:$X$213</definedName>
    <definedName name="SalesQty76">'Бланк заказа'!$X$218:$X$218</definedName>
    <definedName name="SalesQty77">'Бланк заказа'!$X$219:$X$219</definedName>
    <definedName name="SalesQty78">'Бланк заказа'!$X$224:$X$224</definedName>
    <definedName name="SalesQty79">'Бланк заказа'!$X$230:$X$230</definedName>
    <definedName name="SalesQty8">'Бланк заказа'!$X$29:$X$29</definedName>
    <definedName name="SalesQty80">'Бланк заказа'!$X$236:$X$236</definedName>
    <definedName name="SalesQty81">'Бланк заказа'!$X$240:$X$240</definedName>
    <definedName name="SalesQty82">'Бланк заказа'!$X$246:$X$246</definedName>
    <definedName name="SalesQty83">'Бланк заказа'!$X$250:$X$250</definedName>
    <definedName name="SalesQty84">'Бланк заказа'!$X$256:$X$256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заказа'!$X$33:$X$33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заказа'!$Y$57:$Y$57</definedName>
    <definedName name="SalesRoundBox17">'Бланк заказа'!$Y$58:$Y$58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заказа'!$Y$67:$Y$67</definedName>
    <definedName name="SalesRoundBox23">'Бланк заказа'!$Y$68:$Y$68</definedName>
    <definedName name="SalesRoundBox24">'Бланк заказа'!$Y$69:$Y$69</definedName>
    <definedName name="SalesRoundBox25">'Бланк заказа'!$Y$74:$Y$74</definedName>
    <definedName name="SalesRoundBox26">'Бланк заказа'!$Y$75:$Y$75</definedName>
    <definedName name="SalesRoundBox27">'Бланк заказа'!$Y$80:$Y$80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заказа'!$Y$91:$Y$91</definedName>
    <definedName name="SalesRoundBox31">'Бланк заказа'!$Y$92:$Y$92</definedName>
    <definedName name="SalesRoundBox32">'Бланк заказа'!$Y$93:$Y$93</definedName>
    <definedName name="SalesRoundBox33">'Бланк заказа'!$Y$94:$Y$94</definedName>
    <definedName name="SalesRoundBox34">'Бланк заказа'!$Y$95:$Y$95</definedName>
    <definedName name="SalesRoundBox35">'Бланк заказа'!$Y$96:$Y$96</definedName>
    <definedName name="SalesRoundBox36">'Бланк заказа'!$Y$101:$Y$101</definedName>
    <definedName name="SalesRoundBox37">'Бланк заказа'!$Y$102:$Y$102</definedName>
    <definedName name="SalesRoundBox38">'Бланк заказа'!$Y$107:$Y$107</definedName>
    <definedName name="SalesRoundBox39">'Бланк заказа'!$Y$108:$Y$108</definedName>
    <definedName name="SalesRoundBox4">'Бланк заказа'!$Y$25:$Y$25</definedName>
    <definedName name="SalesRoundBox40">'Бланк заказа'!$Y$109:$Y$109</definedName>
    <definedName name="SalesRoundBox41">'Бланк заказа'!$Y$110:$Y$110</definedName>
    <definedName name="SalesRoundBox42">'Бланк заказа'!$Y$111:$Y$111</definedName>
    <definedName name="SalesRoundBox43">'Бланк заказа'!$Y$112:$Y$112</definedName>
    <definedName name="SalesRoundBox44">'Бланк заказа'!$Y$113:$Y$113</definedName>
    <definedName name="SalesRoundBox45">'Бланк заказа'!$Y$117:$Y$117</definedName>
    <definedName name="SalesRoundBox46">'Бланк заказа'!$Y$121:$Y$121</definedName>
    <definedName name="SalesRoundBox47">'Бланк заказа'!$Y$126:$Y$126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заказа'!$Y$182:$Y$182</definedName>
    <definedName name="SalesRoundBox66">'Бланк заказа'!$Y$187:$Y$187</definedName>
    <definedName name="SalesRoundBox67">'Бланк заказа'!$Y$188:$Y$188</definedName>
    <definedName name="SalesRoundBox68">'Бланк заказа'!$Y$193:$Y$193</definedName>
    <definedName name="SalesRoundBox69">'Бланк заказа'!$Y$199:$Y$199</definedName>
    <definedName name="SalesRoundBox7">'Бланк заказа'!$Y$28:$Y$28</definedName>
    <definedName name="SalesRoundBox70">'Бланк заказа'!$Y$200:$Y$200</definedName>
    <definedName name="SalesRoundBox71">'Бланк заказа'!$Y$201:$Y$201</definedName>
    <definedName name="SalesRoundBox72">'Бланк заказа'!$Y$202:$Y$202</definedName>
    <definedName name="SalesRoundBox73">'Бланк заказа'!$Y$208:$Y$208</definedName>
    <definedName name="SalesRoundBox74">'Бланк заказа'!$Y$212:$Y$212</definedName>
    <definedName name="SalesRoundBox75">'Бланк заказа'!$Y$213:$Y$213</definedName>
    <definedName name="SalesRoundBox76">'Бланк заказа'!$Y$218:$Y$218</definedName>
    <definedName name="SalesRoundBox77">'Бланк заказа'!$Y$219:$Y$219</definedName>
    <definedName name="SalesRoundBox78">'Бланк заказа'!$Y$224:$Y$224</definedName>
    <definedName name="SalesRoundBox79">'Бланк заказа'!$Y$230:$Y$230</definedName>
    <definedName name="SalesRoundBox8">'Бланк заказа'!$Y$29:$Y$29</definedName>
    <definedName name="SalesRoundBox80">'Бланк заказа'!$Y$236:$Y$236</definedName>
    <definedName name="SalesRoundBox81">'Бланк заказа'!$Y$240:$Y$240</definedName>
    <definedName name="SalesRoundBox82">'Бланк заказа'!$Y$246:$Y$246</definedName>
    <definedName name="SalesRoundBox83">'Бланк заказа'!$Y$250:$Y$250</definedName>
    <definedName name="SalesRoundBox84">'Бланк заказа'!$Y$256:$Y$256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заказа'!$Y$33:$Y$33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заказа'!$W$57:$W$57</definedName>
    <definedName name="UnitOfMeasure17">'Бланк заказа'!$W$58:$W$58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заказа'!$W$67:$W$67</definedName>
    <definedName name="UnitOfMeasure23">'Бланк заказа'!$W$68:$W$68</definedName>
    <definedName name="UnitOfMeasure24">'Бланк заказа'!$W$69:$W$69</definedName>
    <definedName name="UnitOfMeasure25">'Бланк заказа'!$W$74:$W$74</definedName>
    <definedName name="UnitOfMeasure26">'Бланк заказа'!$W$75:$W$75</definedName>
    <definedName name="UnitOfMeasure27">'Бланк заказа'!$W$80:$W$80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заказа'!$W$91:$W$91</definedName>
    <definedName name="UnitOfMeasure31">'Бланк заказа'!$W$92:$W$92</definedName>
    <definedName name="UnitOfMeasure32">'Бланк заказа'!$W$93:$W$93</definedName>
    <definedName name="UnitOfMeasure33">'Бланк заказа'!$W$94:$W$94</definedName>
    <definedName name="UnitOfMeasure34">'Бланк заказа'!$W$95:$W$95</definedName>
    <definedName name="UnitOfMeasure35">'Бланк заказа'!$W$96:$W$96</definedName>
    <definedName name="UnitOfMeasure36">'Бланк заказа'!$W$101:$W$101</definedName>
    <definedName name="UnitOfMeasure37">'Бланк заказа'!$W$102:$W$102</definedName>
    <definedName name="UnitOfMeasure38">'Бланк заказа'!$W$107:$W$107</definedName>
    <definedName name="UnitOfMeasure39">'Бланк заказа'!$W$108:$W$108</definedName>
    <definedName name="UnitOfMeasure4">'Бланк заказа'!$W$25:$W$25</definedName>
    <definedName name="UnitOfMeasure40">'Бланк заказа'!$W$109:$W$109</definedName>
    <definedName name="UnitOfMeasure41">'Бланк заказа'!$W$110:$W$110</definedName>
    <definedName name="UnitOfMeasure42">'Бланк заказа'!$W$111:$W$111</definedName>
    <definedName name="UnitOfMeasure43">'Бланк заказа'!$W$112:$W$112</definedName>
    <definedName name="UnitOfMeasure44">'Бланк заказа'!$W$113:$W$113</definedName>
    <definedName name="UnitOfMeasure45">'Бланк заказа'!$W$117:$W$117</definedName>
    <definedName name="UnitOfMeasure46">'Бланк заказа'!$W$121:$W$121</definedName>
    <definedName name="UnitOfMeasure47">'Бланк заказа'!$W$126:$W$126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заказа'!$W$182:$W$182</definedName>
    <definedName name="UnitOfMeasure66">'Бланк заказа'!$W$187:$W$187</definedName>
    <definedName name="UnitOfMeasure67">'Бланк заказа'!$W$188:$W$188</definedName>
    <definedName name="UnitOfMeasure68">'Бланк заказа'!$W$193:$W$193</definedName>
    <definedName name="UnitOfMeasure69">'Бланк заказа'!$W$199:$W$199</definedName>
    <definedName name="UnitOfMeasure7">'Бланк заказа'!$W$28:$W$28</definedName>
    <definedName name="UnitOfMeasure70">'Бланк заказа'!$W$200:$W$200</definedName>
    <definedName name="UnitOfMeasure71">'Бланк заказа'!$W$201:$W$201</definedName>
    <definedName name="UnitOfMeasure72">'Бланк заказа'!$W$202:$W$202</definedName>
    <definedName name="UnitOfMeasure73">'Бланк заказа'!$W$208:$W$208</definedName>
    <definedName name="UnitOfMeasure74">'Бланк заказа'!$W$212:$W$212</definedName>
    <definedName name="UnitOfMeasure75">'Бланк заказа'!$W$213:$W$213</definedName>
    <definedName name="UnitOfMeasure76">'Бланк заказа'!$W$218:$W$218</definedName>
    <definedName name="UnitOfMeasure77">'Бланк заказа'!$W$219:$W$219</definedName>
    <definedName name="UnitOfMeasure78">'Бланк заказа'!$W$224:$W$224</definedName>
    <definedName name="UnitOfMeasure79">'Бланк заказа'!$W$230:$W$230</definedName>
    <definedName name="UnitOfMeasure8">'Бланк заказа'!$W$29:$W$29</definedName>
    <definedName name="UnitOfMeasure80">'Бланк заказа'!$W$236:$W$236</definedName>
    <definedName name="UnitOfMeasure81">'Бланк заказа'!$W$240:$W$240</definedName>
    <definedName name="UnitOfMeasure82">'Бланк заказа'!$W$246:$W$246</definedName>
    <definedName name="UnitOfMeasure83">'Бланк заказа'!$W$250:$W$250</definedName>
    <definedName name="UnitOfMeasure84">'Бланк заказа'!$W$256:$W$256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заказа'!$W$33:$W$33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89" i="1" l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X278" i="1"/>
  <c r="X277" i="1"/>
  <c r="BO276" i="1"/>
  <c r="BM276" i="1"/>
  <c r="Z276" i="1"/>
  <c r="Y276" i="1"/>
  <c r="P276" i="1"/>
  <c r="BP275" i="1"/>
  <c r="BO275" i="1"/>
  <c r="BN275" i="1"/>
  <c r="BM275" i="1"/>
  <c r="Z275" i="1"/>
  <c r="Y275" i="1"/>
  <c r="BP274" i="1"/>
  <c r="BO274" i="1"/>
  <c r="BN274" i="1"/>
  <c r="BM274" i="1"/>
  <c r="Z274" i="1"/>
  <c r="Y274" i="1"/>
  <c r="P274" i="1"/>
  <c r="BO273" i="1"/>
  <c r="BM273" i="1"/>
  <c r="Z273" i="1"/>
  <c r="Y273" i="1"/>
  <c r="BO272" i="1"/>
  <c r="BM272" i="1"/>
  <c r="Z272" i="1"/>
  <c r="Y272" i="1"/>
  <c r="BO271" i="1"/>
  <c r="BM271" i="1"/>
  <c r="Z271" i="1"/>
  <c r="Y271" i="1"/>
  <c r="BO270" i="1"/>
  <c r="BM270" i="1"/>
  <c r="Z270" i="1"/>
  <c r="Y270" i="1"/>
  <c r="BO269" i="1"/>
  <c r="BM269" i="1"/>
  <c r="Z269" i="1"/>
  <c r="Y269" i="1"/>
  <c r="BO268" i="1"/>
  <c r="BM268" i="1"/>
  <c r="Z268" i="1"/>
  <c r="Y268" i="1"/>
  <c r="BO267" i="1"/>
  <c r="BM267" i="1"/>
  <c r="Z267" i="1"/>
  <c r="Y267" i="1"/>
  <c r="Y278" i="1" s="1"/>
  <c r="X265" i="1"/>
  <c r="Y264" i="1"/>
  <c r="X264" i="1"/>
  <c r="BP263" i="1"/>
  <c r="BO263" i="1"/>
  <c r="BN263" i="1"/>
  <c r="BM263" i="1"/>
  <c r="Z263" i="1"/>
  <c r="Y263" i="1"/>
  <c r="BP262" i="1"/>
  <c r="BO262" i="1"/>
  <c r="BN262" i="1"/>
  <c r="BM262" i="1"/>
  <c r="Z262" i="1"/>
  <c r="Y262" i="1"/>
  <c r="BP261" i="1"/>
  <c r="BO261" i="1"/>
  <c r="BN261" i="1"/>
  <c r="BM261" i="1"/>
  <c r="Z261" i="1"/>
  <c r="Z264" i="1" s="1"/>
  <c r="Y261" i="1"/>
  <c r="Y265" i="1" s="1"/>
  <c r="X259" i="1"/>
  <c r="X258" i="1"/>
  <c r="BO257" i="1"/>
  <c r="BM257" i="1"/>
  <c r="Z257" i="1"/>
  <c r="Y257" i="1"/>
  <c r="P257" i="1"/>
  <c r="BO256" i="1"/>
  <c r="BM256" i="1"/>
  <c r="Z256" i="1"/>
  <c r="Y256" i="1"/>
  <c r="P256" i="1"/>
  <c r="X252" i="1"/>
  <c r="X251" i="1"/>
  <c r="BO250" i="1"/>
  <c r="BM250" i="1"/>
  <c r="Z250" i="1"/>
  <c r="Z251" i="1" s="1"/>
  <c r="Y250" i="1"/>
  <c r="P250" i="1"/>
  <c r="X248" i="1"/>
  <c r="X247" i="1"/>
  <c r="BO246" i="1"/>
  <c r="BM246" i="1"/>
  <c r="Z246" i="1"/>
  <c r="Z247" i="1" s="1"/>
  <c r="Y246" i="1"/>
  <c r="P246" i="1"/>
  <c r="X242" i="1"/>
  <c r="X241" i="1"/>
  <c r="BO240" i="1"/>
  <c r="BM240" i="1"/>
  <c r="Z240" i="1"/>
  <c r="Z241" i="1" s="1"/>
  <c r="Y240" i="1"/>
  <c r="P240" i="1"/>
  <c r="X238" i="1"/>
  <c r="X237" i="1"/>
  <c r="BO236" i="1"/>
  <c r="BM236" i="1"/>
  <c r="Z236" i="1"/>
  <c r="Z237" i="1" s="1"/>
  <c r="Y236" i="1"/>
  <c r="P236" i="1"/>
  <c r="X232" i="1"/>
  <c r="X231" i="1"/>
  <c r="BO230" i="1"/>
  <c r="BM230" i="1"/>
  <c r="Z230" i="1"/>
  <c r="Z231" i="1" s="1"/>
  <c r="Y230" i="1"/>
  <c r="P230" i="1"/>
  <c r="X226" i="1"/>
  <c r="X225" i="1"/>
  <c r="BO224" i="1"/>
  <c r="BM224" i="1"/>
  <c r="Z224" i="1"/>
  <c r="Z225" i="1" s="1"/>
  <c r="Y224" i="1"/>
  <c r="P224" i="1"/>
  <c r="X221" i="1"/>
  <c r="X220" i="1"/>
  <c r="BP219" i="1"/>
  <c r="BO219" i="1"/>
  <c r="BN219" i="1"/>
  <c r="BM219" i="1"/>
  <c r="Z219" i="1"/>
  <c r="Y219" i="1"/>
  <c r="P219" i="1"/>
  <c r="BO218" i="1"/>
  <c r="BM218" i="1"/>
  <c r="Z218" i="1"/>
  <c r="Y218" i="1"/>
  <c r="P218" i="1"/>
  <c r="X215" i="1"/>
  <c r="X214" i="1"/>
  <c r="BO213" i="1"/>
  <c r="BM213" i="1"/>
  <c r="Z213" i="1"/>
  <c r="Z214" i="1" s="1"/>
  <c r="Y213" i="1"/>
  <c r="P213" i="1"/>
  <c r="BO212" i="1"/>
  <c r="BM212" i="1"/>
  <c r="Z212" i="1"/>
  <c r="Y212" i="1"/>
  <c r="P212" i="1"/>
  <c r="X210" i="1"/>
  <c r="X209" i="1"/>
  <c r="BO208" i="1"/>
  <c r="BM208" i="1"/>
  <c r="Z208" i="1"/>
  <c r="Z209" i="1" s="1"/>
  <c r="Y208" i="1"/>
  <c r="P208" i="1"/>
  <c r="X204" i="1"/>
  <c r="X203" i="1"/>
  <c r="BP202" i="1"/>
  <c r="BO202" i="1"/>
  <c r="BN202" i="1"/>
  <c r="BM202" i="1"/>
  <c r="Z202" i="1"/>
  <c r="Y202" i="1"/>
  <c r="P202" i="1"/>
  <c r="BO201" i="1"/>
  <c r="BM201" i="1"/>
  <c r="Z201" i="1"/>
  <c r="Y201" i="1"/>
  <c r="P201" i="1"/>
  <c r="BP200" i="1"/>
  <c r="BO200" i="1"/>
  <c r="BN200" i="1"/>
  <c r="BM200" i="1"/>
  <c r="Z200" i="1"/>
  <c r="Y200" i="1"/>
  <c r="P200" i="1"/>
  <c r="BO199" i="1"/>
  <c r="BM199" i="1"/>
  <c r="Z199" i="1"/>
  <c r="Y199" i="1"/>
  <c r="P199" i="1"/>
  <c r="X195" i="1"/>
  <c r="X194" i="1"/>
  <c r="BO193" i="1"/>
  <c r="BM193" i="1"/>
  <c r="Z193" i="1"/>
  <c r="Z194" i="1" s="1"/>
  <c r="Y193" i="1"/>
  <c r="P193" i="1"/>
  <c r="X190" i="1"/>
  <c r="X189" i="1"/>
  <c r="BO188" i="1"/>
  <c r="BM188" i="1"/>
  <c r="Z188" i="1"/>
  <c r="Z189" i="1" s="1"/>
  <c r="Y188" i="1"/>
  <c r="P188" i="1"/>
  <c r="BO187" i="1"/>
  <c r="BM187" i="1"/>
  <c r="Z187" i="1"/>
  <c r="Y187" i="1"/>
  <c r="P187" i="1"/>
  <c r="X184" i="1"/>
  <c r="X183" i="1"/>
  <c r="BO182" i="1"/>
  <c r="BM182" i="1"/>
  <c r="Z182" i="1"/>
  <c r="Z183" i="1" s="1"/>
  <c r="Y182" i="1"/>
  <c r="P182" i="1"/>
  <c r="X180" i="1"/>
  <c r="X179" i="1"/>
  <c r="BO178" i="1"/>
  <c r="BM178" i="1"/>
  <c r="Z178" i="1"/>
  <c r="Z179" i="1" s="1"/>
  <c r="Y178" i="1"/>
  <c r="P178" i="1"/>
  <c r="X174" i="1"/>
  <c r="X173" i="1"/>
  <c r="BO172" i="1"/>
  <c r="BM172" i="1"/>
  <c r="Z172" i="1"/>
  <c r="Z173" i="1" s="1"/>
  <c r="Y172" i="1"/>
  <c r="P172" i="1"/>
  <c r="X169" i="1"/>
  <c r="X168" i="1"/>
  <c r="BO167" i="1"/>
  <c r="BM167" i="1"/>
  <c r="Z167" i="1"/>
  <c r="Z168" i="1" s="1"/>
  <c r="Y167" i="1"/>
  <c r="P167" i="1"/>
  <c r="X164" i="1"/>
  <c r="X163" i="1"/>
  <c r="BO162" i="1"/>
  <c r="BM162" i="1"/>
  <c r="Z162" i="1"/>
  <c r="Z163" i="1" s="1"/>
  <c r="Y162" i="1"/>
  <c r="P162" i="1"/>
  <c r="X159" i="1"/>
  <c r="X158" i="1"/>
  <c r="BP157" i="1"/>
  <c r="BO157" i="1"/>
  <c r="BN157" i="1"/>
  <c r="BM157" i="1"/>
  <c r="Z157" i="1"/>
  <c r="Y157" i="1"/>
  <c r="P157" i="1"/>
  <c r="BO156" i="1"/>
  <c r="BM156" i="1"/>
  <c r="Z156" i="1"/>
  <c r="Y156" i="1"/>
  <c r="P156" i="1"/>
  <c r="X153" i="1"/>
  <c r="X152" i="1"/>
  <c r="BO151" i="1"/>
  <c r="BM151" i="1"/>
  <c r="Z151" i="1"/>
  <c r="Y151" i="1"/>
  <c r="P151" i="1"/>
  <c r="BO150" i="1"/>
  <c r="BM150" i="1"/>
  <c r="Z150" i="1"/>
  <c r="Y150" i="1"/>
  <c r="P150" i="1"/>
  <c r="X147" i="1"/>
  <c r="X146" i="1"/>
  <c r="BP145" i="1"/>
  <c r="BO145" i="1"/>
  <c r="BN145" i="1"/>
  <c r="BM145" i="1"/>
  <c r="Z145" i="1"/>
  <c r="Y145" i="1"/>
  <c r="P145" i="1"/>
  <c r="BO144" i="1"/>
  <c r="BM144" i="1"/>
  <c r="Z144" i="1"/>
  <c r="Y144" i="1"/>
  <c r="P144" i="1"/>
  <c r="X141" i="1"/>
  <c r="X140" i="1"/>
  <c r="BO139" i="1"/>
  <c r="BM139" i="1"/>
  <c r="Z139" i="1"/>
  <c r="Y139" i="1"/>
  <c r="BP139" i="1" s="1"/>
  <c r="P139" i="1"/>
  <c r="BO138" i="1"/>
  <c r="BM138" i="1"/>
  <c r="Z138" i="1"/>
  <c r="Y138" i="1"/>
  <c r="P138" i="1"/>
  <c r="BO137" i="1"/>
  <c r="BM137" i="1"/>
  <c r="Z137" i="1"/>
  <c r="Z140" i="1" s="1"/>
  <c r="Y137" i="1"/>
  <c r="P137" i="1"/>
  <c r="X135" i="1"/>
  <c r="X134" i="1"/>
  <c r="BO133" i="1"/>
  <c r="BM133" i="1"/>
  <c r="Z133" i="1"/>
  <c r="Y133" i="1"/>
  <c r="BP133" i="1" s="1"/>
  <c r="P133" i="1"/>
  <c r="BP132" i="1"/>
  <c r="BO132" i="1"/>
  <c r="BN132" i="1"/>
  <c r="BM132" i="1"/>
  <c r="Z132" i="1"/>
  <c r="Y132" i="1"/>
  <c r="P132" i="1"/>
  <c r="BO131" i="1"/>
  <c r="BM131" i="1"/>
  <c r="Z131" i="1"/>
  <c r="Y131" i="1"/>
  <c r="BP131" i="1" s="1"/>
  <c r="P131" i="1"/>
  <c r="BP130" i="1"/>
  <c r="BO130" i="1"/>
  <c r="BN130" i="1"/>
  <c r="BM130" i="1"/>
  <c r="Z130" i="1"/>
  <c r="Z134" i="1" s="1"/>
  <c r="Y130" i="1"/>
  <c r="P130" i="1"/>
  <c r="X128" i="1"/>
  <c r="Y127" i="1"/>
  <c r="X127" i="1"/>
  <c r="BP126" i="1"/>
  <c r="BO126" i="1"/>
  <c r="BN126" i="1"/>
  <c r="BM126" i="1"/>
  <c r="Z126" i="1"/>
  <c r="Z127" i="1" s="1"/>
  <c r="Y126" i="1"/>
  <c r="Y128" i="1" s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Y118" i="1"/>
  <c r="X118" i="1"/>
  <c r="BP117" i="1"/>
  <c r="BO117" i="1"/>
  <c r="BN117" i="1"/>
  <c r="BM117" i="1"/>
  <c r="Z117" i="1"/>
  <c r="Z118" i="1" s="1"/>
  <c r="Y117" i="1"/>
  <c r="Y119" i="1" s="1"/>
  <c r="P117" i="1"/>
  <c r="X115" i="1"/>
  <c r="X114" i="1"/>
  <c r="BO113" i="1"/>
  <c r="BM113" i="1"/>
  <c r="Z113" i="1"/>
  <c r="Y113" i="1"/>
  <c r="P113" i="1"/>
  <c r="BO112" i="1"/>
  <c r="BM112" i="1"/>
  <c r="Z112" i="1"/>
  <c r="Y112" i="1"/>
  <c r="BP112" i="1" s="1"/>
  <c r="P112" i="1"/>
  <c r="BO111" i="1"/>
  <c r="BM111" i="1"/>
  <c r="Z111" i="1"/>
  <c r="Y111" i="1"/>
  <c r="P111" i="1"/>
  <c r="BO110" i="1"/>
  <c r="BM110" i="1"/>
  <c r="Z110" i="1"/>
  <c r="Y110" i="1"/>
  <c r="BP110" i="1" s="1"/>
  <c r="P110" i="1"/>
  <c r="BO109" i="1"/>
  <c r="BM109" i="1"/>
  <c r="Z109" i="1"/>
  <c r="Y109" i="1"/>
  <c r="P109" i="1"/>
  <c r="BO108" i="1"/>
  <c r="BM108" i="1"/>
  <c r="Z108" i="1"/>
  <c r="Y108" i="1"/>
  <c r="BP108" i="1" s="1"/>
  <c r="P108" i="1"/>
  <c r="BO107" i="1"/>
  <c r="BM107" i="1"/>
  <c r="Z107" i="1"/>
  <c r="Y107" i="1"/>
  <c r="P107" i="1"/>
  <c r="X104" i="1"/>
  <c r="X103" i="1"/>
  <c r="BP102" i="1"/>
  <c r="BO102" i="1"/>
  <c r="BN102" i="1"/>
  <c r="BM102" i="1"/>
  <c r="Z102" i="1"/>
  <c r="Y102" i="1"/>
  <c r="P102" i="1"/>
  <c r="BO101" i="1"/>
  <c r="BM101" i="1"/>
  <c r="Z101" i="1"/>
  <c r="Y101" i="1"/>
  <c r="Y104" i="1" s="1"/>
  <c r="P101" i="1"/>
  <c r="X98" i="1"/>
  <c r="X97" i="1"/>
  <c r="BO96" i="1"/>
  <c r="BM96" i="1"/>
  <c r="Z96" i="1"/>
  <c r="Y96" i="1"/>
  <c r="BP96" i="1" s="1"/>
  <c r="P96" i="1"/>
  <c r="BO95" i="1"/>
  <c r="BM95" i="1"/>
  <c r="Z95" i="1"/>
  <c r="Y95" i="1"/>
  <c r="P95" i="1"/>
  <c r="BO94" i="1"/>
  <c r="BM94" i="1"/>
  <c r="Z94" i="1"/>
  <c r="Y94" i="1"/>
  <c r="BP94" i="1" s="1"/>
  <c r="P94" i="1"/>
  <c r="BO93" i="1"/>
  <c r="BM93" i="1"/>
  <c r="Z93" i="1"/>
  <c r="Y93" i="1"/>
  <c r="P93" i="1"/>
  <c r="BO92" i="1"/>
  <c r="BM92" i="1"/>
  <c r="Z92" i="1"/>
  <c r="Y92" i="1"/>
  <c r="BP92" i="1" s="1"/>
  <c r="P92" i="1"/>
  <c r="BO91" i="1"/>
  <c r="BM91" i="1"/>
  <c r="Z91" i="1"/>
  <c r="Y91" i="1"/>
  <c r="P91" i="1"/>
  <c r="X88" i="1"/>
  <c r="X87" i="1"/>
  <c r="BP86" i="1"/>
  <c r="BO86" i="1"/>
  <c r="BN86" i="1"/>
  <c r="BM86" i="1"/>
  <c r="Z86" i="1"/>
  <c r="Y86" i="1"/>
  <c r="P86" i="1"/>
  <c r="BO85" i="1"/>
  <c r="BM85" i="1"/>
  <c r="Z85" i="1"/>
  <c r="Y85" i="1"/>
  <c r="Y88" i="1" s="1"/>
  <c r="P85" i="1"/>
  <c r="X82" i="1"/>
  <c r="X81" i="1"/>
  <c r="BO80" i="1"/>
  <c r="BM80" i="1"/>
  <c r="Z80" i="1"/>
  <c r="Z81" i="1" s="1"/>
  <c r="Y80" i="1"/>
  <c r="Y81" i="1" s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P74" i="1"/>
  <c r="X71" i="1"/>
  <c r="X70" i="1"/>
  <c r="BP69" i="1"/>
  <c r="BO69" i="1"/>
  <c r="BN69" i="1"/>
  <c r="BM69" i="1"/>
  <c r="Z69" i="1"/>
  <c r="Y69" i="1"/>
  <c r="P69" i="1"/>
  <c r="BO68" i="1"/>
  <c r="BM68" i="1"/>
  <c r="Z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Z66" i="1"/>
  <c r="Y66" i="1"/>
  <c r="BP66" i="1" s="1"/>
  <c r="P66" i="1"/>
  <c r="BP65" i="1"/>
  <c r="BO65" i="1"/>
  <c r="BN65" i="1"/>
  <c r="BM65" i="1"/>
  <c r="Z65" i="1"/>
  <c r="Z70" i="1" s="1"/>
  <c r="Y65" i="1"/>
  <c r="P65" i="1"/>
  <c r="X62" i="1"/>
  <c r="X61" i="1"/>
  <c r="BO60" i="1"/>
  <c r="BM60" i="1"/>
  <c r="Z60" i="1"/>
  <c r="Y60" i="1"/>
  <c r="P60" i="1"/>
  <c r="BO59" i="1"/>
  <c r="BM59" i="1"/>
  <c r="Z59" i="1"/>
  <c r="Y59" i="1"/>
  <c r="BP59" i="1" s="1"/>
  <c r="P59" i="1"/>
  <c r="BO58" i="1"/>
  <c r="BM58" i="1"/>
  <c r="Z58" i="1"/>
  <c r="Y58" i="1"/>
  <c r="P58" i="1"/>
  <c r="BO57" i="1"/>
  <c r="BM57" i="1"/>
  <c r="Z57" i="1"/>
  <c r="Z61" i="1" s="1"/>
  <c r="Y57" i="1"/>
  <c r="P57" i="1"/>
  <c r="X54" i="1"/>
  <c r="X53" i="1"/>
  <c r="BO52" i="1"/>
  <c r="BM52" i="1"/>
  <c r="Z52" i="1"/>
  <c r="Y52" i="1"/>
  <c r="BP52" i="1" s="1"/>
  <c r="P52" i="1"/>
  <c r="BP51" i="1"/>
  <c r="BO51" i="1"/>
  <c r="BN51" i="1"/>
  <c r="BM51" i="1"/>
  <c r="Z51" i="1"/>
  <c r="Z53" i="1" s="1"/>
  <c r="Y51" i="1"/>
  <c r="P51" i="1"/>
  <c r="X48" i="1"/>
  <c r="X47" i="1"/>
  <c r="BO46" i="1"/>
  <c r="BN46" i="1"/>
  <c r="BM46" i="1"/>
  <c r="Z46" i="1"/>
  <c r="Y46" i="1"/>
  <c r="BP46" i="1" s="1"/>
  <c r="P46" i="1"/>
  <c r="BO45" i="1"/>
  <c r="BM45" i="1"/>
  <c r="Z45" i="1"/>
  <c r="Z47" i="1" s="1"/>
  <c r="Y45" i="1"/>
  <c r="Y48" i="1" s="1"/>
  <c r="P45" i="1"/>
  <c r="X41" i="1"/>
  <c r="X40" i="1"/>
  <c r="BO39" i="1"/>
  <c r="BM39" i="1"/>
  <c r="Z39" i="1"/>
  <c r="Y39" i="1"/>
  <c r="P39" i="1"/>
  <c r="BO38" i="1"/>
  <c r="BM38" i="1"/>
  <c r="Z38" i="1"/>
  <c r="Z40" i="1" s="1"/>
  <c r="Y38" i="1"/>
  <c r="BP38" i="1" s="1"/>
  <c r="P38" i="1"/>
  <c r="X35" i="1"/>
  <c r="X34" i="1"/>
  <c r="BO33" i="1"/>
  <c r="BM33" i="1"/>
  <c r="Z33" i="1"/>
  <c r="Z34" i="1" s="1"/>
  <c r="Y33" i="1"/>
  <c r="Y35" i="1" s="1"/>
  <c r="P33" i="1"/>
  <c r="X31" i="1"/>
  <c r="X279" i="1" s="1"/>
  <c r="X30" i="1"/>
  <c r="X283" i="1" s="1"/>
  <c r="BO29" i="1"/>
  <c r="BM29" i="1"/>
  <c r="Z29" i="1"/>
  <c r="Y29" i="1"/>
  <c r="BP29" i="1" s="1"/>
  <c r="P29" i="1"/>
  <c r="BO28" i="1"/>
  <c r="BM28" i="1"/>
  <c r="Z28" i="1"/>
  <c r="Y28" i="1"/>
  <c r="BP28" i="1" s="1"/>
  <c r="P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N24" i="1"/>
  <c r="BM24" i="1"/>
  <c r="Z24" i="1"/>
  <c r="Y24" i="1"/>
  <c r="BP24" i="1" s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30" i="1" s="1"/>
  <c r="Y22" i="1"/>
  <c r="P22" i="1"/>
  <c r="H10" i="1"/>
  <c r="A9" i="1"/>
  <c r="F10" i="1" s="1"/>
  <c r="D7" i="1"/>
  <c r="Q6" i="1"/>
  <c r="P2" i="1"/>
  <c r="BP58" i="1" l="1"/>
  <c r="BN58" i="1"/>
  <c r="BP60" i="1"/>
  <c r="BN60" i="1"/>
  <c r="Y76" i="1"/>
  <c r="BP74" i="1"/>
  <c r="BN74" i="1"/>
  <c r="Y169" i="1"/>
  <c r="Y168" i="1"/>
  <c r="BP167" i="1"/>
  <c r="BN167" i="1"/>
  <c r="Y180" i="1"/>
  <c r="Y179" i="1"/>
  <c r="BP178" i="1"/>
  <c r="BN178" i="1"/>
  <c r="Y189" i="1"/>
  <c r="BP187" i="1"/>
  <c r="BN187" i="1"/>
  <c r="Y190" i="1"/>
  <c r="Y214" i="1"/>
  <c r="BP212" i="1"/>
  <c r="BN212" i="1"/>
  <c r="Y215" i="1"/>
  <c r="Y226" i="1"/>
  <c r="Y225" i="1"/>
  <c r="BP224" i="1"/>
  <c r="BN224" i="1"/>
  <c r="Y238" i="1"/>
  <c r="Y237" i="1"/>
  <c r="BP236" i="1"/>
  <c r="BN236" i="1"/>
  <c r="Y248" i="1"/>
  <c r="Y247" i="1"/>
  <c r="BP246" i="1"/>
  <c r="BN246" i="1"/>
  <c r="BP256" i="1"/>
  <c r="BN256" i="1"/>
  <c r="BN26" i="1"/>
  <c r="BN28" i="1"/>
  <c r="BN33" i="1"/>
  <c r="BP33" i="1"/>
  <c r="Y34" i="1"/>
  <c r="BN38" i="1"/>
  <c r="Y97" i="1"/>
  <c r="BP91" i="1"/>
  <c r="BN91" i="1"/>
  <c r="BP93" i="1"/>
  <c r="BN93" i="1"/>
  <c r="BP95" i="1"/>
  <c r="BN95" i="1"/>
  <c r="Y115" i="1"/>
  <c r="BP107" i="1"/>
  <c r="BN107" i="1"/>
  <c r="BP109" i="1"/>
  <c r="BN109" i="1"/>
  <c r="BP111" i="1"/>
  <c r="BN111" i="1"/>
  <c r="BP113" i="1"/>
  <c r="BN113" i="1"/>
  <c r="BP138" i="1"/>
  <c r="BN138" i="1"/>
  <c r="Y152" i="1"/>
  <c r="BP150" i="1"/>
  <c r="BN150" i="1"/>
  <c r="Y164" i="1"/>
  <c r="Y163" i="1"/>
  <c r="BP162" i="1"/>
  <c r="BN162" i="1"/>
  <c r="Y174" i="1"/>
  <c r="Y173" i="1"/>
  <c r="BP172" i="1"/>
  <c r="BN172" i="1"/>
  <c r="Y184" i="1"/>
  <c r="Y183" i="1"/>
  <c r="BP182" i="1"/>
  <c r="BN182" i="1"/>
  <c r="Y210" i="1"/>
  <c r="Y209" i="1"/>
  <c r="BP208" i="1"/>
  <c r="BN208" i="1"/>
  <c r="Y232" i="1"/>
  <c r="Y231" i="1"/>
  <c r="BP230" i="1"/>
  <c r="BN230" i="1"/>
  <c r="Y242" i="1"/>
  <c r="Y241" i="1"/>
  <c r="BP240" i="1"/>
  <c r="BN240" i="1"/>
  <c r="Y252" i="1"/>
  <c r="Y251" i="1"/>
  <c r="BP250" i="1"/>
  <c r="BN250" i="1"/>
  <c r="Z277" i="1"/>
  <c r="Y53" i="1"/>
  <c r="Y62" i="1"/>
  <c r="Y71" i="1"/>
  <c r="Z76" i="1"/>
  <c r="Z87" i="1"/>
  <c r="Z97" i="1"/>
  <c r="Z103" i="1"/>
  <c r="Z114" i="1"/>
  <c r="Y134" i="1"/>
  <c r="Y140" i="1"/>
  <c r="Z152" i="1"/>
  <c r="Z158" i="1"/>
  <c r="Z203" i="1"/>
  <c r="Z258" i="1"/>
  <c r="H9" i="1"/>
  <c r="A10" i="1"/>
  <c r="Y31" i="1"/>
  <c r="X280" i="1"/>
  <c r="X281" i="1"/>
  <c r="BN23" i="1"/>
  <c r="BN25" i="1"/>
  <c r="BN27" i="1"/>
  <c r="BN29" i="1"/>
  <c r="Y30" i="1"/>
  <c r="Y40" i="1"/>
  <c r="F9" i="1"/>
  <c r="J9" i="1"/>
  <c r="BP39" i="1"/>
  <c r="BN39" i="1"/>
  <c r="Y41" i="1"/>
  <c r="Y47" i="1"/>
  <c r="Y54" i="1"/>
  <c r="Y61" i="1"/>
  <c r="Y70" i="1"/>
  <c r="Y77" i="1"/>
  <c r="Y82" i="1"/>
  <c r="Y87" i="1"/>
  <c r="Y98" i="1"/>
  <c r="Y103" i="1"/>
  <c r="Y114" i="1"/>
  <c r="Y135" i="1"/>
  <c r="Y141" i="1"/>
  <c r="Y147" i="1"/>
  <c r="BP144" i="1"/>
  <c r="BN144" i="1"/>
  <c r="Y146" i="1"/>
  <c r="BP151" i="1"/>
  <c r="BN151" i="1"/>
  <c r="Y194" i="1"/>
  <c r="BP193" i="1"/>
  <c r="BN193" i="1"/>
  <c r="Y221" i="1"/>
  <c r="BP218" i="1"/>
  <c r="BN218" i="1"/>
  <c r="Y220" i="1"/>
  <c r="BP257" i="1"/>
  <c r="BN257" i="1"/>
  <c r="BN45" i="1"/>
  <c r="BP45" i="1"/>
  <c r="BN52" i="1"/>
  <c r="BN57" i="1"/>
  <c r="BP57" i="1"/>
  <c r="BN59" i="1"/>
  <c r="BN66" i="1"/>
  <c r="BN68" i="1"/>
  <c r="BN75" i="1"/>
  <c r="BN80" i="1"/>
  <c r="BP80" i="1"/>
  <c r="BN85" i="1"/>
  <c r="BP85" i="1"/>
  <c r="BN92" i="1"/>
  <c r="BN94" i="1"/>
  <c r="BN96" i="1"/>
  <c r="BN101" i="1"/>
  <c r="BP101" i="1"/>
  <c r="BN108" i="1"/>
  <c r="BN110" i="1"/>
  <c r="BN112" i="1"/>
  <c r="BN131" i="1"/>
  <c r="BN133" i="1"/>
  <c r="BN137" i="1"/>
  <c r="BP137" i="1"/>
  <c r="BN139" i="1"/>
  <c r="Z146" i="1"/>
  <c r="Y153" i="1"/>
  <c r="Y159" i="1"/>
  <c r="BP156" i="1"/>
  <c r="BN156" i="1"/>
  <c r="Y158" i="1"/>
  <c r="BP188" i="1"/>
  <c r="BN188" i="1"/>
  <c r="Y195" i="1"/>
  <c r="Y204" i="1"/>
  <c r="BP199" i="1"/>
  <c r="BN199" i="1"/>
  <c r="BP201" i="1"/>
  <c r="BN201" i="1"/>
  <c r="Y203" i="1"/>
  <c r="BP213" i="1"/>
  <c r="BN213" i="1"/>
  <c r="Z220" i="1"/>
  <c r="Y258" i="1"/>
  <c r="Y259" i="1"/>
  <c r="Y277" i="1"/>
  <c r="BP267" i="1"/>
  <c r="BN267" i="1"/>
  <c r="BP268" i="1"/>
  <c r="BN268" i="1"/>
  <c r="BP269" i="1"/>
  <c r="BN269" i="1"/>
  <c r="BP270" i="1"/>
  <c r="BN270" i="1"/>
  <c r="BP271" i="1"/>
  <c r="BN271" i="1"/>
  <c r="BP272" i="1"/>
  <c r="BN272" i="1"/>
  <c r="BP273" i="1"/>
  <c r="BN273" i="1"/>
  <c r="BP276" i="1"/>
  <c r="BN276" i="1"/>
  <c r="Y281" i="1" l="1"/>
  <c r="Y280" i="1"/>
  <c r="Z284" i="1"/>
  <c r="Y282" i="1"/>
  <c r="A292" i="1"/>
  <c r="Y279" i="1"/>
  <c r="Y283" i="1"/>
  <c r="C292" i="1" s="1"/>
  <c r="X282" i="1"/>
  <c r="B292" i="1" l="1"/>
</calcChain>
</file>

<file path=xl/sharedStrings.xml><?xml version="1.0" encoding="utf-8"?>
<sst xmlns="http://schemas.openxmlformats.org/spreadsheetml/2006/main" count="1301" uniqueCount="433">
  <si>
    <t xml:space="preserve">  БЛАНК ЗАКАЗА </t>
  </si>
  <si>
    <t>ЗПФ</t>
  </si>
  <si>
    <t>на отгрузку продукции с ООО Трейд-Сервис с</t>
  </si>
  <si>
    <t>23.10.2026</t>
  </si>
  <si>
    <t>бланк создан</t>
  </si>
  <si>
    <t>22.10.2026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</si>
  <si>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</si>
  <si>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</si>
  <si>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</si>
  <si>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</si>
  <si>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</si>
  <si>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</si>
  <si>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</si>
  <si>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</si>
  <si>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</si>
  <si>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</si>
  <si>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</si>
  <si>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</si>
  <si>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</si>
  <si>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</si>
  <si>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</si>
  <si>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</si>
  <si>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</si>
  <si>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</si>
  <si>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</si>
  <si>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</si>
  <si>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</si>
  <si>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</si>
  <si>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</si>
  <si>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</si>
  <si>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</si>
  <si>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</si>
  <si>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</si>
  <si>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</si>
  <si>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</si>
  <si>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</si>
  <si>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</si>
  <si>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</si>
  <si>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</si>
  <si>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</si>
  <si>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</si>
  <si>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</si>
  <si>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</si>
  <si>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</si>
  <si>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</si>
  <si>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</si>
  <si>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</si>
  <si>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</si>
  <si>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</si>
  <si>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</si>
  <si>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</si>
  <si>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</si>
  <si>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</si>
  <si>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</si>
  <si>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</si>
  <si>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</si>
  <si>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</si>
  <si>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</si>
  <si>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</si>
  <si>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</si>
  <si>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</si>
  <si>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</si>
  <si>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</si>
  <si>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</si>
  <si>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</si>
  <si>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</si>
  <si>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</si>
  <si>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</si>
  <si>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</si>
  <si>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</si>
  <si>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</si>
  <si>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</si>
  <si>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</si>
  <si>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</si>
  <si>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</si>
  <si>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</si>
  <si>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</si>
  <si>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</si>
  <si>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</si>
  <si>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</si>
  <si>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</si>
  <si>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</si>
  <si>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</si>
  <si>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</si>
  <si>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</si>
  <si>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</si>
  <si>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</si>
  <si>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</si>
  <si>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</si>
  <si>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Вареники</t>
  </si>
  <si>
    <t>SU004310</t>
  </si>
  <si>
    <t>P005660</t>
  </si>
  <si>
    <t>Новинка</t>
  </si>
  <si>
    <t>ЕАЭС N RU Д-RU.РА04.В.71581/26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</si>
  <si>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</si>
  <si>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</si>
  <si>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</si>
  <si>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</si>
  <si>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</si>
  <si>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</si>
  <si>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</si>
  <si>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</si>
  <si>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</si>
  <si>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</si>
  <si>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</si>
  <si>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</si>
  <si>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</si>
  <si>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</si>
  <si>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</si>
  <si>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</si>
  <si>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</si>
  <si>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</si>
  <si>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</si>
  <si>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</si>
  <si>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</si>
  <si>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</si>
  <si>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</si>
  <si>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</si>
  <si>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</si>
  <si>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</si>
  <si>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</si>
  <si>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</si>
  <si>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</si>
  <si>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</si>
  <si>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</si>
  <si>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</si>
  <si>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</si>
  <si>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</si>
  <si>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</si>
  <si>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</si>
  <si>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</si>
  <si>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</si>
  <si>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</si>
  <si>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</si>
  <si>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</si>
  <si>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</si>
  <si>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</si>
  <si>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</si>
  <si>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</si>
  <si>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</si>
  <si>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</si>
  <si>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</si>
  <si>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</si>
  <si>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SU002607</t>
  </si>
  <si>
    <t>P002938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</si>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</sst>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2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47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49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9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6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0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89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0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9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6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75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2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4" customWidth="1"/>
    <col min="19" max="19" width="6.140625" style="27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4" customWidth="1"/>
    <col min="25" max="25" width="11" style="274" customWidth="1"/>
    <col min="26" max="26" width="10" style="274" customWidth="1"/>
    <col min="27" max="27" width="11.5703125" style="274" customWidth="1"/>
    <col min="28" max="28" width="10.42578125" style="274" customWidth="1"/>
    <col min="29" max="29" width="30" style="27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4" customWidth="1"/>
    <col min="34" max="34" width="9.140625" style="274" customWidth="1"/>
    <col min="35" max="16384" width="9.140625" style="274"/>
  </cols>
  <sheetData>
    <row r="1" spans="1:32" s="270" customFormat="1" ht="45" customHeight="1" x14ac:dyDescent="0.2">
      <c r="A1" s="41"/>
      <c r="B1" s="41"/>
      <c r="C1" s="41"/>
      <c r="D1" s="330" t="s">
        <v>0</v>
      </c>
      <c r="E1" s="305"/>
      <c r="F1" s="305"/>
      <c r="G1" s="12" t="s">
        <v>1</v>
      </c>
      <c r="H1" s="330" t="s">
        <v>2</v>
      </c>
      <c r="I1" s="305"/>
      <c r="J1" s="305"/>
      <c r="K1" s="305"/>
      <c r="L1" s="305"/>
      <c r="M1" s="305"/>
      <c r="N1" s="305"/>
      <c r="O1" s="305"/>
      <c r="P1" s="305"/>
      <c r="Q1" s="305"/>
      <c r="R1" s="304" t="s">
        <v>3</v>
      </c>
      <c r="S1" s="305"/>
      <c r="T1" s="30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9"/>
      <c r="R2" s="289"/>
      <c r="S2" s="289"/>
      <c r="T2" s="289"/>
      <c r="U2" s="289"/>
      <c r="V2" s="289"/>
      <c r="W2" s="289"/>
      <c r="X2" s="16"/>
      <c r="Y2" s="16"/>
      <c r="Z2" s="16"/>
      <c r="AA2" s="16"/>
      <c r="AB2" s="51"/>
      <c r="AC2" s="51"/>
      <c r="AD2" s="51"/>
      <c r="AE2" s="51"/>
    </row>
    <row r="3" spans="1:32" s="27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9"/>
      <c r="Q3" s="289"/>
      <c r="R3" s="289"/>
      <c r="S3" s="289"/>
      <c r="T3" s="289"/>
      <c r="U3" s="289"/>
      <c r="V3" s="289"/>
      <c r="W3" s="289"/>
      <c r="X3" s="16"/>
      <c r="Y3" s="16"/>
      <c r="Z3" s="16"/>
      <c r="AA3" s="16"/>
      <c r="AB3" s="51"/>
      <c r="AC3" s="51"/>
      <c r="AD3" s="51"/>
      <c r="AE3" s="51"/>
    </row>
    <row r="4" spans="1:32" s="27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0" customFormat="1" ht="23.45" customHeight="1" x14ac:dyDescent="0.2">
      <c r="A5" s="352" t="s">
        <v>8</v>
      </c>
      <c r="B5" s="327"/>
      <c r="C5" s="328"/>
      <c r="D5" s="331"/>
      <c r="E5" s="332"/>
      <c r="F5" s="445" t="s">
        <v>9</v>
      </c>
      <c r="G5" s="328"/>
      <c r="H5" s="331"/>
      <c r="I5" s="416"/>
      <c r="J5" s="416"/>
      <c r="K5" s="416"/>
      <c r="L5" s="416"/>
      <c r="M5" s="332"/>
      <c r="N5" s="61"/>
      <c r="P5" s="24" t="s">
        <v>10</v>
      </c>
      <c r="Q5" s="452">
        <v>46321</v>
      </c>
      <c r="R5" s="351"/>
      <c r="T5" s="374" t="s">
        <v>11</v>
      </c>
      <c r="U5" s="375"/>
      <c r="V5" s="376" t="s">
        <v>12</v>
      </c>
      <c r="W5" s="351"/>
      <c r="AB5" s="51"/>
      <c r="AC5" s="51"/>
      <c r="AD5" s="51"/>
      <c r="AE5" s="51"/>
    </row>
    <row r="6" spans="1:32" s="270" customFormat="1" ht="24" customHeight="1" x14ac:dyDescent="0.2">
      <c r="A6" s="352" t="s">
        <v>13</v>
      </c>
      <c r="B6" s="327"/>
      <c r="C6" s="328"/>
      <c r="D6" s="417"/>
      <c r="E6" s="418"/>
      <c r="F6" s="418"/>
      <c r="G6" s="418"/>
      <c r="H6" s="418"/>
      <c r="I6" s="418"/>
      <c r="J6" s="418"/>
      <c r="K6" s="418"/>
      <c r="L6" s="418"/>
      <c r="M6" s="351"/>
      <c r="N6" s="62"/>
      <c r="P6" s="24" t="s">
        <v>14</v>
      </c>
      <c r="Q6" s="456" t="str">
        <f>IF(Q5=0," ",CHOOSE(WEEKDAY(Q5,2),"Понедельник","Вторник","Среда","Четверг","Пятница","Суббота","Воскресенье"))</f>
        <v>Понедельник</v>
      </c>
      <c r="R6" s="281"/>
      <c r="T6" s="379" t="s">
        <v>15</v>
      </c>
      <c r="U6" s="375"/>
      <c r="V6" s="402" t="s">
        <v>16</v>
      </c>
      <c r="W6" s="313"/>
      <c r="AB6" s="51"/>
      <c r="AC6" s="51"/>
      <c r="AD6" s="51"/>
      <c r="AE6" s="51"/>
    </row>
    <row r="7" spans="1:32" s="270" customFormat="1" ht="21.75" hidden="1" customHeight="1" x14ac:dyDescent="0.2">
      <c r="A7" s="55"/>
      <c r="B7" s="55"/>
      <c r="C7" s="55"/>
      <c r="D7" s="315">
        <f>IFERROR(VLOOKUP(DeliveryAddress,Table,3,0),1)</f>
        <v>1</v>
      </c>
      <c r="E7" s="316"/>
      <c r="F7" s="316"/>
      <c r="G7" s="316"/>
      <c r="H7" s="316"/>
      <c r="I7" s="316"/>
      <c r="J7" s="316"/>
      <c r="K7" s="316"/>
      <c r="L7" s="316"/>
      <c r="M7" s="317"/>
      <c r="N7" s="63"/>
      <c r="P7" s="24"/>
      <c r="Q7" s="42"/>
      <c r="R7" s="42"/>
      <c r="T7" s="289"/>
      <c r="U7" s="375"/>
      <c r="V7" s="403"/>
      <c r="W7" s="404"/>
      <c r="AB7" s="51"/>
      <c r="AC7" s="51"/>
      <c r="AD7" s="51"/>
      <c r="AE7" s="51"/>
    </row>
    <row r="8" spans="1:32" s="270" customFormat="1" ht="25.5" customHeight="1" x14ac:dyDescent="0.2">
      <c r="A8" s="464" t="s">
        <v>17</v>
      </c>
      <c r="B8" s="286"/>
      <c r="C8" s="287"/>
      <c r="D8" s="323"/>
      <c r="E8" s="324"/>
      <c r="F8" s="324"/>
      <c r="G8" s="324"/>
      <c r="H8" s="324"/>
      <c r="I8" s="324"/>
      <c r="J8" s="324"/>
      <c r="K8" s="324"/>
      <c r="L8" s="324"/>
      <c r="M8" s="325"/>
      <c r="N8" s="64"/>
      <c r="P8" s="24" t="s">
        <v>18</v>
      </c>
      <c r="Q8" s="356">
        <v>0.41666666666666669</v>
      </c>
      <c r="R8" s="317"/>
      <c r="T8" s="289"/>
      <c r="U8" s="375"/>
      <c r="V8" s="403"/>
      <c r="W8" s="404"/>
      <c r="AB8" s="51"/>
      <c r="AC8" s="51"/>
      <c r="AD8" s="51"/>
      <c r="AE8" s="51"/>
    </row>
    <row r="9" spans="1:32" s="270" customFormat="1" ht="39.950000000000003" customHeight="1" x14ac:dyDescent="0.2">
      <c r="A9" s="3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9"/>
      <c r="C9" s="289"/>
      <c r="D9" s="361"/>
      <c r="E9" s="291"/>
      <c r="F9" s="3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9"/>
      <c r="H9" s="290" t="str">
        <f>IF(AND($A$9="Тип доверенности/получателя при получении в адресе перегруза:",$D$9="Разовая доверенность"),"Введите ФИО","")</f>
        <v/>
      </c>
      <c r="I9" s="291"/>
      <c r="J9" s="29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1"/>
      <c r="L9" s="291"/>
      <c r="M9" s="291"/>
      <c r="N9" s="268"/>
      <c r="P9" s="26" t="s">
        <v>19</v>
      </c>
      <c r="Q9" s="348"/>
      <c r="R9" s="349"/>
      <c r="T9" s="289"/>
      <c r="U9" s="375"/>
      <c r="V9" s="405"/>
      <c r="W9" s="406"/>
      <c r="X9" s="43"/>
      <c r="Y9" s="43"/>
      <c r="Z9" s="43"/>
      <c r="AA9" s="43"/>
      <c r="AB9" s="51"/>
      <c r="AC9" s="51"/>
      <c r="AD9" s="51"/>
      <c r="AE9" s="51"/>
    </row>
    <row r="10" spans="1:32" s="270" customFormat="1" ht="26.45" customHeight="1" x14ac:dyDescent="0.2">
      <c r="A10" s="3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9"/>
      <c r="C10" s="289"/>
      <c r="D10" s="361"/>
      <c r="E10" s="291"/>
      <c r="F10" s="3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9"/>
      <c r="H10" s="398" t="str">
        <f>IFERROR(VLOOKUP($D$10,Proxy,2,FALSE),"")</f>
        <v/>
      </c>
      <c r="I10" s="289"/>
      <c r="J10" s="289"/>
      <c r="K10" s="289"/>
      <c r="L10" s="289"/>
      <c r="M10" s="289"/>
      <c r="N10" s="269"/>
      <c r="P10" s="26" t="s">
        <v>20</v>
      </c>
      <c r="Q10" s="381"/>
      <c r="R10" s="382"/>
      <c r="U10" s="24" t="s">
        <v>21</v>
      </c>
      <c r="V10" s="312" t="s">
        <v>22</v>
      </c>
      <c r="W10" s="313"/>
      <c r="X10" s="44"/>
      <c r="Y10" s="44"/>
      <c r="Z10" s="44"/>
      <c r="AA10" s="44"/>
      <c r="AB10" s="51"/>
      <c r="AC10" s="51"/>
      <c r="AD10" s="51"/>
      <c r="AE10" s="51"/>
    </row>
    <row r="11" spans="1:32" s="270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0"/>
      <c r="R11" s="351"/>
      <c r="U11" s="24" t="s">
        <v>25</v>
      </c>
      <c r="V11" s="429" t="s">
        <v>26</v>
      </c>
      <c r="W11" s="349"/>
      <c r="X11" s="45"/>
      <c r="Y11" s="45"/>
      <c r="Z11" s="45"/>
      <c r="AA11" s="45"/>
      <c r="AB11" s="51"/>
      <c r="AC11" s="51"/>
      <c r="AD11" s="51"/>
      <c r="AE11" s="51"/>
    </row>
    <row r="12" spans="1:32" s="270" customFormat="1" ht="18.600000000000001" customHeight="1" x14ac:dyDescent="0.2">
      <c r="A12" s="371" t="s">
        <v>27</v>
      </c>
      <c r="B12" s="327"/>
      <c r="C12" s="327"/>
      <c r="D12" s="327"/>
      <c r="E12" s="327"/>
      <c r="F12" s="327"/>
      <c r="G12" s="327"/>
      <c r="H12" s="327"/>
      <c r="I12" s="327"/>
      <c r="J12" s="327"/>
      <c r="K12" s="327"/>
      <c r="L12" s="327"/>
      <c r="M12" s="328"/>
      <c r="N12" s="65"/>
      <c r="P12" s="24" t="s">
        <v>28</v>
      </c>
      <c r="Q12" s="356"/>
      <c r="R12" s="317"/>
      <c r="S12" s="23"/>
      <c r="U12" s="24"/>
      <c r="V12" s="305"/>
      <c r="W12" s="289"/>
      <c r="AB12" s="51"/>
      <c r="AC12" s="51"/>
      <c r="AD12" s="51"/>
      <c r="AE12" s="51"/>
    </row>
    <row r="13" spans="1:32" s="270" customFormat="1" ht="23.25" customHeight="1" x14ac:dyDescent="0.2">
      <c r="A13" s="371" t="s">
        <v>29</v>
      </c>
      <c r="B13" s="327"/>
      <c r="C13" s="327"/>
      <c r="D13" s="327"/>
      <c r="E13" s="327"/>
      <c r="F13" s="327"/>
      <c r="G13" s="327"/>
      <c r="H13" s="327"/>
      <c r="I13" s="327"/>
      <c r="J13" s="327"/>
      <c r="K13" s="327"/>
      <c r="L13" s="327"/>
      <c r="M13" s="328"/>
      <c r="N13" s="65"/>
      <c r="O13" s="26"/>
      <c r="P13" s="26" t="s">
        <v>30</v>
      </c>
      <c r="Q13" s="429"/>
      <c r="R13" s="3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0" customFormat="1" ht="18.600000000000001" customHeight="1" x14ac:dyDescent="0.2">
      <c r="A14" s="371" t="s">
        <v>31</v>
      </c>
      <c r="B14" s="327"/>
      <c r="C14" s="327"/>
      <c r="D14" s="327"/>
      <c r="E14" s="327"/>
      <c r="F14" s="327"/>
      <c r="G14" s="327"/>
      <c r="H14" s="327"/>
      <c r="I14" s="327"/>
      <c r="J14" s="327"/>
      <c r="K14" s="327"/>
      <c r="L14" s="327"/>
      <c r="M14" s="328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0" customFormat="1" ht="22.5" customHeight="1" x14ac:dyDescent="0.2">
      <c r="A15" s="389" t="s">
        <v>32</v>
      </c>
      <c r="B15" s="327"/>
      <c r="C15" s="327"/>
      <c r="D15" s="327"/>
      <c r="E15" s="327"/>
      <c r="F15" s="327"/>
      <c r="G15" s="327"/>
      <c r="H15" s="327"/>
      <c r="I15" s="327"/>
      <c r="J15" s="327"/>
      <c r="K15" s="327"/>
      <c r="L15" s="327"/>
      <c r="M15" s="328"/>
      <c r="N15" s="66"/>
      <c r="P15" s="366" t="s">
        <v>33</v>
      </c>
      <c r="Q15" s="305"/>
      <c r="R15" s="305"/>
      <c r="S15" s="305"/>
      <c r="T15" s="30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7"/>
      <c r="Q16" s="367"/>
      <c r="R16" s="367"/>
      <c r="S16" s="367"/>
      <c r="T16" s="36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7" t="s">
        <v>34</v>
      </c>
      <c r="B17" s="307" t="s">
        <v>35</v>
      </c>
      <c r="C17" s="358" t="s">
        <v>36</v>
      </c>
      <c r="D17" s="307" t="s">
        <v>37</v>
      </c>
      <c r="E17" s="340"/>
      <c r="F17" s="307" t="s">
        <v>38</v>
      </c>
      <c r="G17" s="307" t="s">
        <v>39</v>
      </c>
      <c r="H17" s="307" t="s">
        <v>40</v>
      </c>
      <c r="I17" s="307" t="s">
        <v>41</v>
      </c>
      <c r="J17" s="307" t="s">
        <v>42</v>
      </c>
      <c r="K17" s="307" t="s">
        <v>43</v>
      </c>
      <c r="L17" s="307" t="s">
        <v>44</v>
      </c>
      <c r="M17" s="307" t="s">
        <v>45</v>
      </c>
      <c r="N17" s="307" t="s">
        <v>46</v>
      </c>
      <c r="O17" s="307" t="s">
        <v>47</v>
      </c>
      <c r="P17" s="307" t="s">
        <v>48</v>
      </c>
      <c r="Q17" s="339"/>
      <c r="R17" s="339"/>
      <c r="S17" s="339"/>
      <c r="T17" s="340"/>
      <c r="U17" s="461" t="s">
        <v>49</v>
      </c>
      <c r="V17" s="328"/>
      <c r="W17" s="307" t="s">
        <v>50</v>
      </c>
      <c r="X17" s="307" t="s">
        <v>51</v>
      </c>
      <c r="Y17" s="462" t="s">
        <v>52</v>
      </c>
      <c r="Z17" s="414" t="s">
        <v>53</v>
      </c>
      <c r="AA17" s="396" t="s">
        <v>54</v>
      </c>
      <c r="AB17" s="396" t="s">
        <v>55</v>
      </c>
      <c r="AC17" s="396" t="s">
        <v>56</v>
      </c>
      <c r="AD17" s="396" t="s">
        <v>57</v>
      </c>
      <c r="AE17" s="440"/>
      <c r="AF17" s="441"/>
      <c r="AG17" s="69"/>
      <c r="BD17" s="68" t="s">
        <v>58</v>
      </c>
    </row>
    <row r="18" spans="1:68" ht="14.25" customHeight="1" x14ac:dyDescent="0.2">
      <c r="A18" s="308"/>
      <c r="B18" s="308"/>
      <c r="C18" s="308"/>
      <c r="D18" s="341"/>
      <c r="E18" s="343"/>
      <c r="F18" s="308"/>
      <c r="G18" s="308"/>
      <c r="H18" s="308"/>
      <c r="I18" s="308"/>
      <c r="J18" s="308"/>
      <c r="K18" s="308"/>
      <c r="L18" s="308"/>
      <c r="M18" s="308"/>
      <c r="N18" s="308"/>
      <c r="O18" s="308"/>
      <c r="P18" s="341"/>
      <c r="Q18" s="342"/>
      <c r="R18" s="342"/>
      <c r="S18" s="342"/>
      <c r="T18" s="343"/>
      <c r="U18" s="70" t="s">
        <v>59</v>
      </c>
      <c r="V18" s="70" t="s">
        <v>60</v>
      </c>
      <c r="W18" s="308"/>
      <c r="X18" s="308"/>
      <c r="Y18" s="463"/>
      <c r="Z18" s="415"/>
      <c r="AA18" s="397"/>
      <c r="AB18" s="397"/>
      <c r="AC18" s="397"/>
      <c r="AD18" s="442"/>
      <c r="AE18" s="443"/>
      <c r="AF18" s="444"/>
      <c r="AG18" s="69"/>
      <c r="BD18" s="68"/>
    </row>
    <row r="19" spans="1:68" ht="27.75" hidden="1" customHeight="1" x14ac:dyDescent="0.2">
      <c r="A19" s="292" t="s">
        <v>61</v>
      </c>
      <c r="B19" s="293"/>
      <c r="C19" s="293"/>
      <c r="D19" s="293"/>
      <c r="E19" s="293"/>
      <c r="F19" s="293"/>
      <c r="G19" s="293"/>
      <c r="H19" s="293"/>
      <c r="I19" s="293"/>
      <c r="J19" s="293"/>
      <c r="K19" s="293"/>
      <c r="L19" s="293"/>
      <c r="M19" s="293"/>
      <c r="N19" s="293"/>
      <c r="O19" s="293"/>
      <c r="P19" s="293"/>
      <c r="Q19" s="293"/>
      <c r="R19" s="293"/>
      <c r="S19" s="293"/>
      <c r="T19" s="293"/>
      <c r="U19" s="293"/>
      <c r="V19" s="293"/>
      <c r="W19" s="293"/>
      <c r="X19" s="293"/>
      <c r="Y19" s="293"/>
      <c r="Z19" s="293"/>
      <c r="AA19" s="48"/>
      <c r="AB19" s="48"/>
      <c r="AC19" s="48"/>
    </row>
    <row r="20" spans="1:68" ht="16.5" hidden="1" customHeight="1" x14ac:dyDescent="0.25">
      <c r="A20" s="288" t="s">
        <v>61</v>
      </c>
      <c r="B20" s="289"/>
      <c r="C20" s="289"/>
      <c r="D20" s="289"/>
      <c r="E20" s="289"/>
      <c r="F20" s="289"/>
      <c r="G20" s="289"/>
      <c r="H20" s="289"/>
      <c r="I20" s="289"/>
      <c r="J20" s="289"/>
      <c r="K20" s="289"/>
      <c r="L20" s="289"/>
      <c r="M20" s="289"/>
      <c r="N20" s="289"/>
      <c r="O20" s="289"/>
      <c r="P20" s="289"/>
      <c r="Q20" s="289"/>
      <c r="R20" s="289"/>
      <c r="S20" s="289"/>
      <c r="T20" s="289"/>
      <c r="U20" s="289"/>
      <c r="V20" s="289"/>
      <c r="W20" s="289"/>
      <c r="X20" s="289"/>
      <c r="Y20" s="289"/>
      <c r="Z20" s="289"/>
      <c r="AA20" s="271"/>
      <c r="AB20" s="271"/>
      <c r="AC20" s="271"/>
    </row>
    <row r="21" spans="1:68" ht="14.25" hidden="1" customHeight="1" x14ac:dyDescent="0.25">
      <c r="A21" s="311" t="s">
        <v>62</v>
      </c>
      <c r="B21" s="289"/>
      <c r="C21" s="289"/>
      <c r="D21" s="289"/>
      <c r="E21" s="289"/>
      <c r="F21" s="289"/>
      <c r="G21" s="289"/>
      <c r="H21" s="289"/>
      <c r="I21" s="289"/>
      <c r="J21" s="289"/>
      <c r="K21" s="289"/>
      <c r="L21" s="289"/>
      <c r="M21" s="289"/>
      <c r="N21" s="289"/>
      <c r="O21" s="289"/>
      <c r="P21" s="289"/>
      <c r="Q21" s="289"/>
      <c r="R21" s="289"/>
      <c r="S21" s="289"/>
      <c r="T21" s="289"/>
      <c r="U21" s="289"/>
      <c r="V21" s="289"/>
      <c r="W21" s="289"/>
      <c r="X21" s="289"/>
      <c r="Y21" s="289"/>
      <c r="Z21" s="289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0">
        <v>4620207491508</v>
      </c>
      <c r="E22" s="281"/>
      <c r="F22" s="275">
        <v>0.4</v>
      </c>
      <c r="G22" s="32">
        <v>16</v>
      </c>
      <c r="H22" s="275">
        <v>6.4</v>
      </c>
      <c r="I22" s="275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1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3"/>
      <c r="R22" s="283"/>
      <c r="S22" s="283"/>
      <c r="T22" s="284"/>
      <c r="U22" s="34"/>
      <c r="V22" s="34"/>
      <c r="W22" s="35" t="s">
        <v>68</v>
      </c>
      <c r="X22" s="276">
        <v>0</v>
      </c>
      <c r="Y22" s="277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80">
        <v>4620207491256</v>
      </c>
      <c r="E23" s="281"/>
      <c r="F23" s="275">
        <v>0.8</v>
      </c>
      <c r="G23" s="32">
        <v>8</v>
      </c>
      <c r="H23" s="275">
        <v>6.4</v>
      </c>
      <c r="I23" s="275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69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3"/>
      <c r="R23" s="283"/>
      <c r="S23" s="283"/>
      <c r="T23" s="284"/>
      <c r="U23" s="34"/>
      <c r="V23" s="34"/>
      <c r="W23" s="35" t="s">
        <v>68</v>
      </c>
      <c r="X23" s="276">
        <v>48</v>
      </c>
      <c r="Y23" s="277">
        <f t="shared" si="0"/>
        <v>48</v>
      </c>
      <c r="Z23" s="36">
        <f t="shared" si="1"/>
        <v>0.74399999999999999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318.24</v>
      </c>
      <c r="BN23" s="67">
        <f t="shared" si="3"/>
        <v>318.24</v>
      </c>
      <c r="BO23" s="67">
        <f t="shared" si="4"/>
        <v>0.5714285714285714</v>
      </c>
      <c r="BP23" s="67">
        <f t="shared" si="5"/>
        <v>0.5714285714285714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80">
        <v>4620207491713</v>
      </c>
      <c r="E24" s="281"/>
      <c r="F24" s="275">
        <v>0.4</v>
      </c>
      <c r="G24" s="32">
        <v>16</v>
      </c>
      <c r="H24" s="275">
        <v>6.4</v>
      </c>
      <c r="I24" s="275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84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3"/>
      <c r="R24" s="283"/>
      <c r="S24" s="283"/>
      <c r="T24" s="284"/>
      <c r="U24" s="34"/>
      <c r="V24" s="34"/>
      <c r="W24" s="35" t="s">
        <v>68</v>
      </c>
      <c r="X24" s="276">
        <v>0</v>
      </c>
      <c r="Y24" s="277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280">
        <v>4620207491720</v>
      </c>
      <c r="E25" s="281"/>
      <c r="F25" s="275">
        <v>0.8</v>
      </c>
      <c r="G25" s="32">
        <v>8</v>
      </c>
      <c r="H25" s="275">
        <v>6.4</v>
      </c>
      <c r="I25" s="275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58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3"/>
      <c r="R25" s="283"/>
      <c r="S25" s="283"/>
      <c r="T25" s="284"/>
      <c r="U25" s="34"/>
      <c r="V25" s="34"/>
      <c r="W25" s="35" t="s">
        <v>68</v>
      </c>
      <c r="X25" s="276">
        <v>0</v>
      </c>
      <c r="Y25" s="277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0">
        <v>4607111035912</v>
      </c>
      <c r="E26" s="281"/>
      <c r="F26" s="275">
        <v>0.43</v>
      </c>
      <c r="G26" s="32">
        <v>16</v>
      </c>
      <c r="H26" s="275">
        <v>6.88</v>
      </c>
      <c r="I26" s="275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88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3"/>
      <c r="R26" s="283"/>
      <c r="S26" s="283"/>
      <c r="T26" s="284"/>
      <c r="U26" s="34"/>
      <c r="V26" s="34"/>
      <c r="W26" s="35" t="s">
        <v>68</v>
      </c>
      <c r="X26" s="276">
        <v>0</v>
      </c>
      <c r="Y26" s="277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4301071109</v>
      </c>
      <c r="D27" s="280">
        <v>4607111035929</v>
      </c>
      <c r="E27" s="281"/>
      <c r="F27" s="275">
        <v>0.9</v>
      </c>
      <c r="G27" s="32">
        <v>8</v>
      </c>
      <c r="H27" s="275">
        <v>7.2</v>
      </c>
      <c r="I27" s="275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392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3"/>
      <c r="R27" s="283"/>
      <c r="S27" s="283"/>
      <c r="T27" s="284"/>
      <c r="U27" s="34"/>
      <c r="V27" s="34"/>
      <c r="W27" s="35" t="s">
        <v>68</v>
      </c>
      <c r="X27" s="276">
        <v>0</v>
      </c>
      <c r="Y27" s="277">
        <f t="shared" si="0"/>
        <v>0</v>
      </c>
      <c r="Z27" s="36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0">
        <v>4607111035882</v>
      </c>
      <c r="E28" s="281"/>
      <c r="F28" s="275">
        <v>0.43</v>
      </c>
      <c r="G28" s="32">
        <v>16</v>
      </c>
      <c r="H28" s="275">
        <v>6.88</v>
      </c>
      <c r="I28" s="275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303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3"/>
      <c r="R28" s="283"/>
      <c r="S28" s="283"/>
      <c r="T28" s="284"/>
      <c r="U28" s="34"/>
      <c r="V28" s="34"/>
      <c r="W28" s="35" t="s">
        <v>68</v>
      </c>
      <c r="X28" s="276">
        <v>0</v>
      </c>
      <c r="Y28" s="277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80">
        <v>4607111035905</v>
      </c>
      <c r="E29" s="281"/>
      <c r="F29" s="275">
        <v>0.9</v>
      </c>
      <c r="G29" s="32">
        <v>8</v>
      </c>
      <c r="H29" s="275">
        <v>7.2</v>
      </c>
      <c r="I29" s="275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2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3"/>
      <c r="R29" s="283"/>
      <c r="S29" s="283"/>
      <c r="T29" s="284"/>
      <c r="U29" s="34"/>
      <c r="V29" s="34"/>
      <c r="W29" s="35" t="s">
        <v>68</v>
      </c>
      <c r="X29" s="276">
        <v>0</v>
      </c>
      <c r="Y29" s="277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94"/>
      <c r="B30" s="289"/>
      <c r="C30" s="289"/>
      <c r="D30" s="289"/>
      <c r="E30" s="289"/>
      <c r="F30" s="289"/>
      <c r="G30" s="289"/>
      <c r="H30" s="289"/>
      <c r="I30" s="289"/>
      <c r="J30" s="289"/>
      <c r="K30" s="289"/>
      <c r="L30" s="289"/>
      <c r="M30" s="289"/>
      <c r="N30" s="289"/>
      <c r="O30" s="295"/>
      <c r="P30" s="285" t="s">
        <v>87</v>
      </c>
      <c r="Q30" s="286"/>
      <c r="R30" s="286"/>
      <c r="S30" s="286"/>
      <c r="T30" s="286"/>
      <c r="U30" s="286"/>
      <c r="V30" s="287"/>
      <c r="W30" s="37" t="s">
        <v>68</v>
      </c>
      <c r="X30" s="278">
        <f>IFERROR(SUM(X22:X29),"0")</f>
        <v>48</v>
      </c>
      <c r="Y30" s="278">
        <f>IFERROR(SUM(Y22:Y29),"0")</f>
        <v>48</v>
      </c>
      <c r="Z30" s="278">
        <f>IFERROR(IF(Z22="",0,Z22),"0")+IFERROR(IF(Z23="",0,Z23),"0")+IFERROR(IF(Z24="",0,Z24),"0")+IFERROR(IF(Z25="",0,Z25),"0")+IFERROR(IF(Z26="",0,Z26),"0")+IFERROR(IF(Z27="",0,Z27),"0")+IFERROR(IF(Z28="",0,Z28),"0")+IFERROR(IF(Z29="",0,Z29),"0")</f>
        <v>0.74399999999999999</v>
      </c>
      <c r="AA30" s="279"/>
      <c r="AB30" s="279"/>
      <c r="AC30" s="279"/>
    </row>
    <row r="31" spans="1:68" x14ac:dyDescent="0.2">
      <c r="A31" s="289"/>
      <c r="B31" s="289"/>
      <c r="C31" s="289"/>
      <c r="D31" s="289"/>
      <c r="E31" s="289"/>
      <c r="F31" s="289"/>
      <c r="G31" s="289"/>
      <c r="H31" s="289"/>
      <c r="I31" s="289"/>
      <c r="J31" s="289"/>
      <c r="K31" s="289"/>
      <c r="L31" s="289"/>
      <c r="M31" s="289"/>
      <c r="N31" s="289"/>
      <c r="O31" s="295"/>
      <c r="P31" s="285" t="s">
        <v>87</v>
      </c>
      <c r="Q31" s="286"/>
      <c r="R31" s="286"/>
      <c r="S31" s="286"/>
      <c r="T31" s="286"/>
      <c r="U31" s="286"/>
      <c r="V31" s="287"/>
      <c r="W31" s="37" t="s">
        <v>88</v>
      </c>
      <c r="X31" s="278">
        <f>IFERROR(SUMPRODUCT(X22:X29*H22:H29),"0")</f>
        <v>307.20000000000005</v>
      </c>
      <c r="Y31" s="278">
        <f>IFERROR(SUMPRODUCT(Y22:Y29*H22:H29),"0")</f>
        <v>307.20000000000005</v>
      </c>
      <c r="Z31" s="37"/>
      <c r="AA31" s="279"/>
      <c r="AB31" s="279"/>
      <c r="AC31" s="279"/>
    </row>
    <row r="32" spans="1:68" ht="14.25" hidden="1" customHeight="1" x14ac:dyDescent="0.25">
      <c r="A32" s="311" t="s">
        <v>89</v>
      </c>
      <c r="B32" s="289"/>
      <c r="C32" s="289"/>
      <c r="D32" s="289"/>
      <c r="E32" s="289"/>
      <c r="F32" s="289"/>
      <c r="G32" s="289"/>
      <c r="H32" s="289"/>
      <c r="I32" s="289"/>
      <c r="J32" s="289"/>
      <c r="K32" s="289"/>
      <c r="L32" s="289"/>
      <c r="M32" s="289"/>
      <c r="N32" s="289"/>
      <c r="O32" s="289"/>
      <c r="P32" s="289"/>
      <c r="Q32" s="289"/>
      <c r="R32" s="289"/>
      <c r="S32" s="289"/>
      <c r="T32" s="289"/>
      <c r="U32" s="289"/>
      <c r="V32" s="289"/>
      <c r="W32" s="289"/>
      <c r="X32" s="289"/>
      <c r="Y32" s="289"/>
      <c r="Z32" s="289"/>
      <c r="AA32" s="272"/>
      <c r="AB32" s="272"/>
      <c r="AC32" s="272"/>
    </row>
    <row r="33" spans="1:68" ht="37.5" hidden="1" customHeight="1" x14ac:dyDescent="0.25">
      <c r="A33" s="54" t="s">
        <v>90</v>
      </c>
      <c r="B33" s="54" t="s">
        <v>91</v>
      </c>
      <c r="C33" s="31">
        <v>4301080162</v>
      </c>
      <c r="D33" s="280">
        <v>4620207492178</v>
      </c>
      <c r="E33" s="281"/>
      <c r="F33" s="275">
        <v>0.6</v>
      </c>
      <c r="G33" s="32">
        <v>10</v>
      </c>
      <c r="H33" s="275">
        <v>6</v>
      </c>
      <c r="I33" s="275">
        <v>6.23</v>
      </c>
      <c r="J33" s="32">
        <v>84</v>
      </c>
      <c r="K33" s="32" t="s">
        <v>65</v>
      </c>
      <c r="L33" s="32" t="s">
        <v>66</v>
      </c>
      <c r="M33" s="33" t="s">
        <v>67</v>
      </c>
      <c r="N33" s="33"/>
      <c r="O33" s="32">
        <v>180</v>
      </c>
      <c r="P33" s="420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283"/>
      <c r="R33" s="283"/>
      <c r="S33" s="283"/>
      <c r="T33" s="284"/>
      <c r="U33" s="34"/>
      <c r="V33" s="34"/>
      <c r="W33" s="35" t="s">
        <v>68</v>
      </c>
      <c r="X33" s="276">
        <v>0</v>
      </c>
      <c r="Y33" s="277">
        <f>IFERROR(IF(X33="","",X33),"")</f>
        <v>0</v>
      </c>
      <c r="Z33" s="36">
        <f>IFERROR(IF(X33="","",X33*0.0155),"")</f>
        <v>0</v>
      </c>
      <c r="AA33" s="56"/>
      <c r="AB33" s="57" t="s">
        <v>92</v>
      </c>
      <c r="AC33" s="88" t="s">
        <v>93</v>
      </c>
      <c r="AG33" s="67"/>
      <c r="AJ33" s="71" t="s">
        <v>70</v>
      </c>
      <c r="AK33" s="71">
        <v>1</v>
      </c>
      <c r="BB33" s="89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94"/>
      <c r="B34" s="289"/>
      <c r="C34" s="289"/>
      <c r="D34" s="289"/>
      <c r="E34" s="289"/>
      <c r="F34" s="289"/>
      <c r="G34" s="289"/>
      <c r="H34" s="289"/>
      <c r="I34" s="289"/>
      <c r="J34" s="289"/>
      <c r="K34" s="289"/>
      <c r="L34" s="289"/>
      <c r="M34" s="289"/>
      <c r="N34" s="289"/>
      <c r="O34" s="295"/>
      <c r="P34" s="285" t="s">
        <v>87</v>
      </c>
      <c r="Q34" s="286"/>
      <c r="R34" s="286"/>
      <c r="S34" s="286"/>
      <c r="T34" s="286"/>
      <c r="U34" s="286"/>
      <c r="V34" s="287"/>
      <c r="W34" s="37" t="s">
        <v>68</v>
      </c>
      <c r="X34" s="278">
        <f>IFERROR(SUM(X33:X33),"0")</f>
        <v>0</v>
      </c>
      <c r="Y34" s="278">
        <f>IFERROR(SUM(Y33:Y33),"0")</f>
        <v>0</v>
      </c>
      <c r="Z34" s="278">
        <f>IFERROR(IF(Z33="",0,Z33),"0")</f>
        <v>0</v>
      </c>
      <c r="AA34" s="279"/>
      <c r="AB34" s="279"/>
      <c r="AC34" s="279"/>
    </row>
    <row r="35" spans="1:68" hidden="1" x14ac:dyDescent="0.2">
      <c r="A35" s="289"/>
      <c r="B35" s="289"/>
      <c r="C35" s="289"/>
      <c r="D35" s="289"/>
      <c r="E35" s="289"/>
      <c r="F35" s="289"/>
      <c r="G35" s="289"/>
      <c r="H35" s="289"/>
      <c r="I35" s="289"/>
      <c r="J35" s="289"/>
      <c r="K35" s="289"/>
      <c r="L35" s="289"/>
      <c r="M35" s="289"/>
      <c r="N35" s="289"/>
      <c r="O35" s="295"/>
      <c r="P35" s="285" t="s">
        <v>87</v>
      </c>
      <c r="Q35" s="286"/>
      <c r="R35" s="286"/>
      <c r="S35" s="286"/>
      <c r="T35" s="286"/>
      <c r="U35" s="286"/>
      <c r="V35" s="287"/>
      <c r="W35" s="37" t="s">
        <v>88</v>
      </c>
      <c r="X35" s="278">
        <f>IFERROR(SUMPRODUCT(X33:X33*H33:H33),"0")</f>
        <v>0</v>
      </c>
      <c r="Y35" s="278">
        <f>IFERROR(SUMPRODUCT(Y33:Y33*H33:H33),"0")</f>
        <v>0</v>
      </c>
      <c r="Z35" s="37"/>
      <c r="AA35" s="279"/>
      <c r="AB35" s="279"/>
      <c r="AC35" s="279"/>
    </row>
    <row r="36" spans="1:68" ht="16.5" hidden="1" customHeight="1" x14ac:dyDescent="0.25">
      <c r="A36" s="288" t="s">
        <v>94</v>
      </c>
      <c r="B36" s="289"/>
      <c r="C36" s="289"/>
      <c r="D36" s="289"/>
      <c r="E36" s="289"/>
      <c r="F36" s="289"/>
      <c r="G36" s="289"/>
      <c r="H36" s="289"/>
      <c r="I36" s="289"/>
      <c r="J36" s="289"/>
      <c r="K36" s="289"/>
      <c r="L36" s="289"/>
      <c r="M36" s="289"/>
      <c r="N36" s="289"/>
      <c r="O36" s="289"/>
      <c r="P36" s="289"/>
      <c r="Q36" s="289"/>
      <c r="R36" s="289"/>
      <c r="S36" s="289"/>
      <c r="T36" s="289"/>
      <c r="U36" s="289"/>
      <c r="V36" s="289"/>
      <c r="W36" s="289"/>
      <c r="X36" s="289"/>
      <c r="Y36" s="289"/>
      <c r="Z36" s="289"/>
      <c r="AA36" s="271"/>
      <c r="AB36" s="271"/>
      <c r="AC36" s="271"/>
    </row>
    <row r="37" spans="1:68" ht="14.25" hidden="1" customHeight="1" x14ac:dyDescent="0.25">
      <c r="A37" s="311" t="s">
        <v>62</v>
      </c>
      <c r="B37" s="289"/>
      <c r="C37" s="289"/>
      <c r="D37" s="289"/>
      <c r="E37" s="289"/>
      <c r="F37" s="289"/>
      <c r="G37" s="289"/>
      <c r="H37" s="289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Y37" s="289"/>
      <c r="Z37" s="289"/>
      <c r="AA37" s="272"/>
      <c r="AB37" s="272"/>
      <c r="AC37" s="272"/>
    </row>
    <row r="38" spans="1:68" ht="16.5" hidden="1" customHeight="1" x14ac:dyDescent="0.25">
      <c r="A38" s="54" t="s">
        <v>95</v>
      </c>
      <c r="B38" s="54" t="s">
        <v>96</v>
      </c>
      <c r="C38" s="31">
        <v>4301071099</v>
      </c>
      <c r="D38" s="280">
        <v>4607111039019</v>
      </c>
      <c r="E38" s="281"/>
      <c r="F38" s="275">
        <v>0.43</v>
      </c>
      <c r="G38" s="32">
        <v>16</v>
      </c>
      <c r="H38" s="275">
        <v>6.88</v>
      </c>
      <c r="I38" s="275">
        <v>7.2060000000000004</v>
      </c>
      <c r="J38" s="32">
        <v>84</v>
      </c>
      <c r="K38" s="32" t="s">
        <v>65</v>
      </c>
      <c r="L38" s="32" t="s">
        <v>66</v>
      </c>
      <c r="M38" s="33" t="s">
        <v>67</v>
      </c>
      <c r="N38" s="33"/>
      <c r="O38" s="32">
        <v>180</v>
      </c>
      <c r="P38" s="407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283"/>
      <c r="R38" s="283"/>
      <c r="S38" s="283"/>
      <c r="T38" s="284"/>
      <c r="U38" s="34"/>
      <c r="V38" s="34"/>
      <c r="W38" s="35" t="s">
        <v>68</v>
      </c>
      <c r="X38" s="276">
        <v>0</v>
      </c>
      <c r="Y38" s="277">
        <f>IFERROR(IF(X38="","",X38),"")</f>
        <v>0</v>
      </c>
      <c r="Z38" s="36">
        <f>IFERROR(IF(X38="","",X38*0.0155),"")</f>
        <v>0</v>
      </c>
      <c r="AA38" s="56"/>
      <c r="AB38" s="57"/>
      <c r="AC38" s="90" t="s">
        <v>97</v>
      </c>
      <c r="AG38" s="67"/>
      <c r="AJ38" s="71" t="s">
        <v>70</v>
      </c>
      <c r="AK38" s="71">
        <v>1</v>
      </c>
      <c r="BB38" s="91" t="s">
        <v>1</v>
      </c>
      <c r="BM38" s="67">
        <f>IFERROR(X38*I38,"0")</f>
        <v>0</v>
      </c>
      <c r="BN38" s="67">
        <f>IFERROR(Y38*I38,"0")</f>
        <v>0</v>
      </c>
      <c r="BO38" s="67">
        <f>IFERROR(X38/J38,"0")</f>
        <v>0</v>
      </c>
      <c r="BP38" s="67">
        <f>IFERROR(Y38/J38,"0")</f>
        <v>0</v>
      </c>
    </row>
    <row r="39" spans="1:68" ht="16.5" hidden="1" customHeight="1" x14ac:dyDescent="0.25">
      <c r="A39" s="54" t="s">
        <v>98</v>
      </c>
      <c r="B39" s="54" t="s">
        <v>99</v>
      </c>
      <c r="C39" s="31">
        <v>4301071100</v>
      </c>
      <c r="D39" s="280">
        <v>4607111038708</v>
      </c>
      <c r="E39" s="281"/>
      <c r="F39" s="275">
        <v>0.8</v>
      </c>
      <c r="G39" s="32">
        <v>8</v>
      </c>
      <c r="H39" s="275">
        <v>6.4</v>
      </c>
      <c r="I39" s="275">
        <v>6.67</v>
      </c>
      <c r="J39" s="32">
        <v>84</v>
      </c>
      <c r="K39" s="32" t="s">
        <v>65</v>
      </c>
      <c r="L39" s="32" t="s">
        <v>66</v>
      </c>
      <c r="M39" s="33" t="s">
        <v>67</v>
      </c>
      <c r="N39" s="33"/>
      <c r="O39" s="32">
        <v>180</v>
      </c>
      <c r="P39" s="33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283"/>
      <c r="R39" s="283"/>
      <c r="S39" s="283"/>
      <c r="T39" s="284"/>
      <c r="U39" s="34"/>
      <c r="V39" s="34"/>
      <c r="W39" s="35" t="s">
        <v>68</v>
      </c>
      <c r="X39" s="276">
        <v>0</v>
      </c>
      <c r="Y39" s="277">
        <f>IFERROR(IF(X39="","",X39),"")</f>
        <v>0</v>
      </c>
      <c r="Z39" s="36">
        <f>IFERROR(IF(X39="","",X39*0.0155),"")</f>
        <v>0</v>
      </c>
      <c r="AA39" s="56"/>
      <c r="AB39" s="57"/>
      <c r="AC39" s="92" t="s">
        <v>97</v>
      </c>
      <c r="AG39" s="67"/>
      <c r="AJ39" s="71" t="s">
        <v>70</v>
      </c>
      <c r="AK39" s="71">
        <v>1</v>
      </c>
      <c r="BB39" s="93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idden="1" x14ac:dyDescent="0.2">
      <c r="A40" s="294"/>
      <c r="B40" s="289"/>
      <c r="C40" s="289"/>
      <c r="D40" s="289"/>
      <c r="E40" s="289"/>
      <c r="F40" s="289"/>
      <c r="G40" s="289"/>
      <c r="H40" s="289"/>
      <c r="I40" s="289"/>
      <c r="J40" s="289"/>
      <c r="K40" s="289"/>
      <c r="L40" s="289"/>
      <c r="M40" s="289"/>
      <c r="N40" s="289"/>
      <c r="O40" s="295"/>
      <c r="P40" s="285" t="s">
        <v>87</v>
      </c>
      <c r="Q40" s="286"/>
      <c r="R40" s="286"/>
      <c r="S40" s="286"/>
      <c r="T40" s="286"/>
      <c r="U40" s="286"/>
      <c r="V40" s="287"/>
      <c r="W40" s="37" t="s">
        <v>68</v>
      </c>
      <c r="X40" s="278">
        <f>IFERROR(SUM(X38:X39),"0")</f>
        <v>0</v>
      </c>
      <c r="Y40" s="278">
        <f>IFERROR(SUM(Y38:Y39),"0")</f>
        <v>0</v>
      </c>
      <c r="Z40" s="278">
        <f>IFERROR(IF(Z38="",0,Z38),"0")+IFERROR(IF(Z39="",0,Z39),"0")</f>
        <v>0</v>
      </c>
      <c r="AA40" s="279"/>
      <c r="AB40" s="279"/>
      <c r="AC40" s="279"/>
    </row>
    <row r="41" spans="1:68" hidden="1" x14ac:dyDescent="0.2">
      <c r="A41" s="289"/>
      <c r="B41" s="289"/>
      <c r="C41" s="289"/>
      <c r="D41" s="289"/>
      <c r="E41" s="289"/>
      <c r="F41" s="289"/>
      <c r="G41" s="289"/>
      <c r="H41" s="289"/>
      <c r="I41" s="289"/>
      <c r="J41" s="289"/>
      <c r="K41" s="289"/>
      <c r="L41" s="289"/>
      <c r="M41" s="289"/>
      <c r="N41" s="289"/>
      <c r="O41" s="295"/>
      <c r="P41" s="285" t="s">
        <v>87</v>
      </c>
      <c r="Q41" s="286"/>
      <c r="R41" s="286"/>
      <c r="S41" s="286"/>
      <c r="T41" s="286"/>
      <c r="U41" s="286"/>
      <c r="V41" s="287"/>
      <c r="W41" s="37" t="s">
        <v>88</v>
      </c>
      <c r="X41" s="278">
        <f>IFERROR(SUMPRODUCT(X38:X39*H38:H39),"0")</f>
        <v>0</v>
      </c>
      <c r="Y41" s="278">
        <f>IFERROR(SUMPRODUCT(Y38:Y39*H38:H39),"0")</f>
        <v>0</v>
      </c>
      <c r="Z41" s="37"/>
      <c r="AA41" s="279"/>
      <c r="AB41" s="279"/>
      <c r="AC41" s="279"/>
    </row>
    <row r="42" spans="1:68" ht="27.75" hidden="1" customHeight="1" x14ac:dyDescent="0.2">
      <c r="A42" s="292" t="s">
        <v>100</v>
      </c>
      <c r="B42" s="293"/>
      <c r="C42" s="293"/>
      <c r="D42" s="293"/>
      <c r="E42" s="293"/>
      <c r="F42" s="293"/>
      <c r="G42" s="293"/>
      <c r="H42" s="293"/>
      <c r="I42" s="293"/>
      <c r="J42" s="293"/>
      <c r="K42" s="293"/>
      <c r="L42" s="293"/>
      <c r="M42" s="293"/>
      <c r="N42" s="293"/>
      <c r="O42" s="293"/>
      <c r="P42" s="293"/>
      <c r="Q42" s="293"/>
      <c r="R42" s="293"/>
      <c r="S42" s="293"/>
      <c r="T42" s="293"/>
      <c r="U42" s="293"/>
      <c r="V42" s="293"/>
      <c r="W42" s="293"/>
      <c r="X42" s="293"/>
      <c r="Y42" s="293"/>
      <c r="Z42" s="293"/>
      <c r="AA42" s="48"/>
      <c r="AB42" s="48"/>
      <c r="AC42" s="48"/>
    </row>
    <row r="43" spans="1:68" ht="16.5" hidden="1" customHeight="1" x14ac:dyDescent="0.25">
      <c r="A43" s="288" t="s">
        <v>101</v>
      </c>
      <c r="B43" s="289"/>
      <c r="C43" s="289"/>
      <c r="D43" s="289"/>
      <c r="E43" s="289"/>
      <c r="F43" s="289"/>
      <c r="G43" s="289"/>
      <c r="H43" s="289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Y43" s="289"/>
      <c r="Z43" s="289"/>
      <c r="AA43" s="271"/>
      <c r="AB43" s="271"/>
      <c r="AC43" s="271"/>
    </row>
    <row r="44" spans="1:68" ht="14.25" hidden="1" customHeight="1" x14ac:dyDescent="0.25">
      <c r="A44" s="311" t="s">
        <v>102</v>
      </c>
      <c r="B44" s="289"/>
      <c r="C44" s="289"/>
      <c r="D44" s="289"/>
      <c r="E44" s="289"/>
      <c r="F44" s="289"/>
      <c r="G44" s="289"/>
      <c r="H44" s="289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Y44" s="289"/>
      <c r="Z44" s="289"/>
      <c r="AA44" s="272"/>
      <c r="AB44" s="272"/>
      <c r="AC44" s="272"/>
    </row>
    <row r="45" spans="1:68" ht="27" customHeight="1" x14ac:dyDescent="0.25">
      <c r="A45" s="54" t="s">
        <v>103</v>
      </c>
      <c r="B45" s="54" t="s">
        <v>104</v>
      </c>
      <c r="C45" s="31">
        <v>4301132190</v>
      </c>
      <c r="D45" s="280">
        <v>4607111036537</v>
      </c>
      <c r="E45" s="281"/>
      <c r="F45" s="275">
        <v>0.25</v>
      </c>
      <c r="G45" s="32">
        <v>6</v>
      </c>
      <c r="H45" s="275">
        <v>1.5</v>
      </c>
      <c r="I45" s="275">
        <v>1.9218</v>
      </c>
      <c r="J45" s="32">
        <v>140</v>
      </c>
      <c r="K45" s="32" t="s">
        <v>105</v>
      </c>
      <c r="L45" s="32" t="s">
        <v>106</v>
      </c>
      <c r="M45" s="33" t="s">
        <v>67</v>
      </c>
      <c r="N45" s="33"/>
      <c r="O45" s="32">
        <v>365</v>
      </c>
      <c r="P45" s="40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283"/>
      <c r="R45" s="283"/>
      <c r="S45" s="283"/>
      <c r="T45" s="284"/>
      <c r="U45" s="34"/>
      <c r="V45" s="34"/>
      <c r="W45" s="35" t="s">
        <v>68</v>
      </c>
      <c r="X45" s="276">
        <v>56</v>
      </c>
      <c r="Y45" s="277">
        <f>IFERROR(IF(X45="","",X45),"")</f>
        <v>56</v>
      </c>
      <c r="Z45" s="36">
        <f>IFERROR(IF(X45="","",X45*0.00941),"")</f>
        <v>0.52695999999999998</v>
      </c>
      <c r="AA45" s="56"/>
      <c r="AB45" s="57"/>
      <c r="AC45" s="94" t="s">
        <v>107</v>
      </c>
      <c r="AG45" s="67"/>
      <c r="AJ45" s="71" t="s">
        <v>108</v>
      </c>
      <c r="AK45" s="71">
        <v>14</v>
      </c>
      <c r="BB45" s="95" t="s">
        <v>109</v>
      </c>
      <c r="BM45" s="67">
        <f>IFERROR(X45*I45,"0")</f>
        <v>107.6208</v>
      </c>
      <c r="BN45" s="67">
        <f>IFERROR(Y45*I45,"0")</f>
        <v>107.6208</v>
      </c>
      <c r="BO45" s="67">
        <f>IFERROR(X45/J45,"0")</f>
        <v>0.4</v>
      </c>
      <c r="BP45" s="67">
        <f>IFERROR(Y45/J45,"0")</f>
        <v>0.4</v>
      </c>
    </row>
    <row r="46" spans="1:68" ht="27" customHeight="1" x14ac:dyDescent="0.25">
      <c r="A46" s="54" t="s">
        <v>110</v>
      </c>
      <c r="B46" s="54" t="s">
        <v>111</v>
      </c>
      <c r="C46" s="31">
        <v>4301132188</v>
      </c>
      <c r="D46" s="280">
        <v>4607111036605</v>
      </c>
      <c r="E46" s="281"/>
      <c r="F46" s="275">
        <v>0.25</v>
      </c>
      <c r="G46" s="32">
        <v>6</v>
      </c>
      <c r="H46" s="275">
        <v>1.5</v>
      </c>
      <c r="I46" s="275">
        <v>1.9218</v>
      </c>
      <c r="J46" s="32">
        <v>140</v>
      </c>
      <c r="K46" s="32" t="s">
        <v>105</v>
      </c>
      <c r="L46" s="32" t="s">
        <v>106</v>
      </c>
      <c r="M46" s="33" t="s">
        <v>67</v>
      </c>
      <c r="N46" s="33"/>
      <c r="O46" s="32">
        <v>365</v>
      </c>
      <c r="P46" s="42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283"/>
      <c r="R46" s="283"/>
      <c r="S46" s="283"/>
      <c r="T46" s="284"/>
      <c r="U46" s="34"/>
      <c r="V46" s="34"/>
      <c r="W46" s="35" t="s">
        <v>68</v>
      </c>
      <c r="X46" s="276">
        <v>70</v>
      </c>
      <c r="Y46" s="277">
        <f>IFERROR(IF(X46="","",X46),"")</f>
        <v>70</v>
      </c>
      <c r="Z46" s="36">
        <f>IFERROR(IF(X46="","",X46*0.00941),"")</f>
        <v>0.65869999999999995</v>
      </c>
      <c r="AA46" s="56"/>
      <c r="AB46" s="57"/>
      <c r="AC46" s="96" t="s">
        <v>107</v>
      </c>
      <c r="AG46" s="67"/>
      <c r="AJ46" s="71" t="s">
        <v>108</v>
      </c>
      <c r="AK46" s="71">
        <v>14</v>
      </c>
      <c r="BB46" s="97" t="s">
        <v>109</v>
      </c>
      <c r="BM46" s="67">
        <f>IFERROR(X46*I46,"0")</f>
        <v>134.52600000000001</v>
      </c>
      <c r="BN46" s="67">
        <f>IFERROR(Y46*I46,"0")</f>
        <v>134.52600000000001</v>
      </c>
      <c r="BO46" s="67">
        <f>IFERROR(X46/J46,"0")</f>
        <v>0.5</v>
      </c>
      <c r="BP46" s="67">
        <f>IFERROR(Y46/J46,"0")</f>
        <v>0.5</v>
      </c>
    </row>
    <row r="47" spans="1:68" x14ac:dyDescent="0.2">
      <c r="A47" s="294"/>
      <c r="B47" s="289"/>
      <c r="C47" s="289"/>
      <c r="D47" s="289"/>
      <c r="E47" s="289"/>
      <c r="F47" s="289"/>
      <c r="G47" s="289"/>
      <c r="H47" s="289"/>
      <c r="I47" s="289"/>
      <c r="J47" s="289"/>
      <c r="K47" s="289"/>
      <c r="L47" s="289"/>
      <c r="M47" s="289"/>
      <c r="N47" s="289"/>
      <c r="O47" s="295"/>
      <c r="P47" s="285" t="s">
        <v>87</v>
      </c>
      <c r="Q47" s="286"/>
      <c r="R47" s="286"/>
      <c r="S47" s="286"/>
      <c r="T47" s="286"/>
      <c r="U47" s="286"/>
      <c r="V47" s="287"/>
      <c r="W47" s="37" t="s">
        <v>68</v>
      </c>
      <c r="X47" s="278">
        <f>IFERROR(SUM(X45:X46),"0")</f>
        <v>126</v>
      </c>
      <c r="Y47" s="278">
        <f>IFERROR(SUM(Y45:Y46),"0")</f>
        <v>126</v>
      </c>
      <c r="Z47" s="278">
        <f>IFERROR(IF(Z45="",0,Z45),"0")+IFERROR(IF(Z46="",0,Z46),"0")</f>
        <v>1.1856599999999999</v>
      </c>
      <c r="AA47" s="279"/>
      <c r="AB47" s="279"/>
      <c r="AC47" s="279"/>
    </row>
    <row r="48" spans="1:68" x14ac:dyDescent="0.2">
      <c r="A48" s="289"/>
      <c r="B48" s="289"/>
      <c r="C48" s="289"/>
      <c r="D48" s="289"/>
      <c r="E48" s="289"/>
      <c r="F48" s="289"/>
      <c r="G48" s="289"/>
      <c r="H48" s="289"/>
      <c r="I48" s="289"/>
      <c r="J48" s="289"/>
      <c r="K48" s="289"/>
      <c r="L48" s="289"/>
      <c r="M48" s="289"/>
      <c r="N48" s="289"/>
      <c r="O48" s="295"/>
      <c r="P48" s="285" t="s">
        <v>87</v>
      </c>
      <c r="Q48" s="286"/>
      <c r="R48" s="286"/>
      <c r="S48" s="286"/>
      <c r="T48" s="286"/>
      <c r="U48" s="286"/>
      <c r="V48" s="287"/>
      <c r="W48" s="37" t="s">
        <v>88</v>
      </c>
      <c r="X48" s="278">
        <f>IFERROR(SUMPRODUCT(X45:X46*H45:H46),"0")</f>
        <v>189</v>
      </c>
      <c r="Y48" s="278">
        <f>IFERROR(SUMPRODUCT(Y45:Y46*H45:H46),"0")</f>
        <v>189</v>
      </c>
      <c r="Z48" s="37"/>
      <c r="AA48" s="279"/>
      <c r="AB48" s="279"/>
      <c r="AC48" s="279"/>
    </row>
    <row r="49" spans="1:68" ht="16.5" hidden="1" customHeight="1" x14ac:dyDescent="0.25">
      <c r="A49" s="288" t="s">
        <v>112</v>
      </c>
      <c r="B49" s="289"/>
      <c r="C49" s="289"/>
      <c r="D49" s="289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Y49" s="289"/>
      <c r="Z49" s="289"/>
      <c r="AA49" s="271"/>
      <c r="AB49" s="271"/>
      <c r="AC49" s="271"/>
    </row>
    <row r="50" spans="1:68" ht="14.25" hidden="1" customHeight="1" x14ac:dyDescent="0.25">
      <c r="A50" s="311" t="s">
        <v>62</v>
      </c>
      <c r="B50" s="289"/>
      <c r="C50" s="289"/>
      <c r="D50" s="289"/>
      <c r="E50" s="289"/>
      <c r="F50" s="289"/>
      <c r="G50" s="289"/>
      <c r="H50" s="289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Y50" s="289"/>
      <c r="Z50" s="289"/>
      <c r="AA50" s="272"/>
      <c r="AB50" s="272"/>
      <c r="AC50" s="272"/>
    </row>
    <row r="51" spans="1:68" ht="27" customHeight="1" x14ac:dyDescent="0.25">
      <c r="A51" s="54" t="s">
        <v>113</v>
      </c>
      <c r="B51" s="54" t="s">
        <v>114</v>
      </c>
      <c r="C51" s="31">
        <v>4301071090</v>
      </c>
      <c r="D51" s="280">
        <v>4620207490075</v>
      </c>
      <c r="E51" s="281"/>
      <c r="F51" s="275">
        <v>0.7</v>
      </c>
      <c r="G51" s="32">
        <v>8</v>
      </c>
      <c r="H51" s="275">
        <v>5.6</v>
      </c>
      <c r="I51" s="275">
        <v>5.87</v>
      </c>
      <c r="J51" s="32">
        <v>84</v>
      </c>
      <c r="K51" s="32" t="s">
        <v>65</v>
      </c>
      <c r="L51" s="32" t="s">
        <v>106</v>
      </c>
      <c r="M51" s="33" t="s">
        <v>67</v>
      </c>
      <c r="N51" s="33"/>
      <c r="O51" s="32">
        <v>180</v>
      </c>
      <c r="P51" s="38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51" s="283"/>
      <c r="R51" s="283"/>
      <c r="S51" s="283"/>
      <c r="T51" s="284"/>
      <c r="U51" s="34"/>
      <c r="V51" s="34"/>
      <c r="W51" s="35" t="s">
        <v>68</v>
      </c>
      <c r="X51" s="276">
        <v>48</v>
      </c>
      <c r="Y51" s="277">
        <f>IFERROR(IF(X51="","",X51),"")</f>
        <v>48</v>
      </c>
      <c r="Z51" s="36">
        <f>IFERROR(IF(X51="","",X51*0.0155),"")</f>
        <v>0.74399999999999999</v>
      </c>
      <c r="AA51" s="56"/>
      <c r="AB51" s="57"/>
      <c r="AC51" s="98" t="s">
        <v>115</v>
      </c>
      <c r="AG51" s="67"/>
      <c r="AJ51" s="71" t="s">
        <v>108</v>
      </c>
      <c r="AK51" s="71">
        <v>12</v>
      </c>
      <c r="BB51" s="99" t="s">
        <v>1</v>
      </c>
      <c r="BM51" s="67">
        <f>IFERROR(X51*I51,"0")</f>
        <v>281.76</v>
      </c>
      <c r="BN51" s="67">
        <f>IFERROR(Y51*I51,"0")</f>
        <v>281.76</v>
      </c>
      <c r="BO51" s="67">
        <f>IFERROR(X51/J51,"0")</f>
        <v>0.5714285714285714</v>
      </c>
      <c r="BP51" s="67">
        <f>IFERROR(Y51/J51,"0")</f>
        <v>0.5714285714285714</v>
      </c>
    </row>
    <row r="52" spans="1:68" ht="27" customHeight="1" x14ac:dyDescent="0.25">
      <c r="A52" s="54" t="s">
        <v>116</v>
      </c>
      <c r="B52" s="54" t="s">
        <v>117</v>
      </c>
      <c r="C52" s="31">
        <v>4301071092</v>
      </c>
      <c r="D52" s="280">
        <v>4620207490174</v>
      </c>
      <c r="E52" s="281"/>
      <c r="F52" s="275">
        <v>0.7</v>
      </c>
      <c r="G52" s="32">
        <v>8</v>
      </c>
      <c r="H52" s="275">
        <v>5.6</v>
      </c>
      <c r="I52" s="275">
        <v>5.87</v>
      </c>
      <c r="J52" s="32">
        <v>84</v>
      </c>
      <c r="K52" s="32" t="s">
        <v>65</v>
      </c>
      <c r="L52" s="32" t="s">
        <v>106</v>
      </c>
      <c r="M52" s="33" t="s">
        <v>67</v>
      </c>
      <c r="N52" s="33"/>
      <c r="O52" s="32">
        <v>180</v>
      </c>
      <c r="P52" s="34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52" s="283"/>
      <c r="R52" s="283"/>
      <c r="S52" s="283"/>
      <c r="T52" s="284"/>
      <c r="U52" s="34"/>
      <c r="V52" s="34"/>
      <c r="W52" s="35" t="s">
        <v>68</v>
      </c>
      <c r="X52" s="276">
        <v>24</v>
      </c>
      <c r="Y52" s="277">
        <f>IFERROR(IF(X52="","",X52),"")</f>
        <v>24</v>
      </c>
      <c r="Z52" s="36">
        <f>IFERROR(IF(X52="","",X52*0.0155),"")</f>
        <v>0.372</v>
      </c>
      <c r="AA52" s="56"/>
      <c r="AB52" s="57"/>
      <c r="AC52" s="100" t="s">
        <v>118</v>
      </c>
      <c r="AG52" s="67"/>
      <c r="AJ52" s="71" t="s">
        <v>108</v>
      </c>
      <c r="AK52" s="71">
        <v>12</v>
      </c>
      <c r="BB52" s="101" t="s">
        <v>1</v>
      </c>
      <c r="BM52" s="67">
        <f>IFERROR(X52*I52,"0")</f>
        <v>140.88</v>
      </c>
      <c r="BN52" s="67">
        <f>IFERROR(Y52*I52,"0")</f>
        <v>140.88</v>
      </c>
      <c r="BO52" s="67">
        <f>IFERROR(X52/J52,"0")</f>
        <v>0.2857142857142857</v>
      </c>
      <c r="BP52" s="67">
        <f>IFERROR(Y52/J52,"0")</f>
        <v>0.2857142857142857</v>
      </c>
    </row>
    <row r="53" spans="1:68" x14ac:dyDescent="0.2">
      <c r="A53" s="294"/>
      <c r="B53" s="289"/>
      <c r="C53" s="289"/>
      <c r="D53" s="289"/>
      <c r="E53" s="289"/>
      <c r="F53" s="289"/>
      <c r="G53" s="289"/>
      <c r="H53" s="289"/>
      <c r="I53" s="289"/>
      <c r="J53" s="289"/>
      <c r="K53" s="289"/>
      <c r="L53" s="289"/>
      <c r="M53" s="289"/>
      <c r="N53" s="289"/>
      <c r="O53" s="295"/>
      <c r="P53" s="285" t="s">
        <v>87</v>
      </c>
      <c r="Q53" s="286"/>
      <c r="R53" s="286"/>
      <c r="S53" s="286"/>
      <c r="T53" s="286"/>
      <c r="U53" s="286"/>
      <c r="V53" s="287"/>
      <c r="W53" s="37" t="s">
        <v>68</v>
      </c>
      <c r="X53" s="278">
        <f>IFERROR(SUM(X51:X52),"0")</f>
        <v>72</v>
      </c>
      <c r="Y53" s="278">
        <f>IFERROR(SUM(Y51:Y52),"0")</f>
        <v>72</v>
      </c>
      <c r="Z53" s="278">
        <f>IFERROR(IF(Z51="",0,Z51),"0")+IFERROR(IF(Z52="",0,Z52),"0")</f>
        <v>1.1160000000000001</v>
      </c>
      <c r="AA53" s="279"/>
      <c r="AB53" s="279"/>
      <c r="AC53" s="279"/>
    </row>
    <row r="54" spans="1:68" x14ac:dyDescent="0.2">
      <c r="A54" s="289"/>
      <c r="B54" s="289"/>
      <c r="C54" s="289"/>
      <c r="D54" s="289"/>
      <c r="E54" s="289"/>
      <c r="F54" s="289"/>
      <c r="G54" s="289"/>
      <c r="H54" s="289"/>
      <c r="I54" s="289"/>
      <c r="J54" s="289"/>
      <c r="K54" s="289"/>
      <c r="L54" s="289"/>
      <c r="M54" s="289"/>
      <c r="N54" s="289"/>
      <c r="O54" s="295"/>
      <c r="P54" s="285" t="s">
        <v>87</v>
      </c>
      <c r="Q54" s="286"/>
      <c r="R54" s="286"/>
      <c r="S54" s="286"/>
      <c r="T54" s="286"/>
      <c r="U54" s="286"/>
      <c r="V54" s="287"/>
      <c r="W54" s="37" t="s">
        <v>88</v>
      </c>
      <c r="X54" s="278">
        <f>IFERROR(SUMPRODUCT(X51:X52*H51:H52),"0")</f>
        <v>403.19999999999993</v>
      </c>
      <c r="Y54" s="278">
        <f>IFERROR(SUMPRODUCT(Y51:Y52*H51:H52),"0")</f>
        <v>403.19999999999993</v>
      </c>
      <c r="Z54" s="37"/>
      <c r="AA54" s="279"/>
      <c r="AB54" s="279"/>
      <c r="AC54" s="279"/>
    </row>
    <row r="55" spans="1:68" ht="16.5" hidden="1" customHeight="1" x14ac:dyDescent="0.25">
      <c r="A55" s="288" t="s">
        <v>119</v>
      </c>
      <c r="B55" s="289"/>
      <c r="C55" s="289"/>
      <c r="D55" s="289"/>
      <c r="E55" s="289"/>
      <c r="F55" s="289"/>
      <c r="G55" s="289"/>
      <c r="H55" s="289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Y55" s="289"/>
      <c r="Z55" s="289"/>
      <c r="AA55" s="271"/>
      <c r="AB55" s="271"/>
      <c r="AC55" s="271"/>
    </row>
    <row r="56" spans="1:68" ht="14.25" hidden="1" customHeight="1" x14ac:dyDescent="0.25">
      <c r="A56" s="311" t="s">
        <v>62</v>
      </c>
      <c r="B56" s="289"/>
      <c r="C56" s="289"/>
      <c r="D56" s="289"/>
      <c r="E56" s="289"/>
      <c r="F56" s="289"/>
      <c r="G56" s="289"/>
      <c r="H56" s="289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Y56" s="289"/>
      <c r="Z56" s="289"/>
      <c r="AA56" s="272"/>
      <c r="AB56" s="272"/>
      <c r="AC56" s="272"/>
    </row>
    <row r="57" spans="1:68" ht="27" customHeight="1" x14ac:dyDescent="0.25">
      <c r="A57" s="54" t="s">
        <v>120</v>
      </c>
      <c r="B57" s="54" t="s">
        <v>121</v>
      </c>
      <c r="C57" s="31">
        <v>4301071044</v>
      </c>
      <c r="D57" s="280">
        <v>4607111039385</v>
      </c>
      <c r="E57" s="281"/>
      <c r="F57" s="275">
        <v>0.7</v>
      </c>
      <c r="G57" s="32">
        <v>10</v>
      </c>
      <c r="H57" s="275">
        <v>7</v>
      </c>
      <c r="I57" s="275">
        <v>7.3</v>
      </c>
      <c r="J57" s="32">
        <v>84</v>
      </c>
      <c r="K57" s="32" t="s">
        <v>65</v>
      </c>
      <c r="L57" s="32" t="s">
        <v>106</v>
      </c>
      <c r="M57" s="33" t="s">
        <v>67</v>
      </c>
      <c r="N57" s="33"/>
      <c r="O57" s="32">
        <v>180</v>
      </c>
      <c r="P57" s="44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7" s="283"/>
      <c r="R57" s="283"/>
      <c r="S57" s="283"/>
      <c r="T57" s="284"/>
      <c r="U57" s="34"/>
      <c r="V57" s="34"/>
      <c r="W57" s="35" t="s">
        <v>68</v>
      </c>
      <c r="X57" s="276">
        <v>60</v>
      </c>
      <c r="Y57" s="277">
        <f>IFERROR(IF(X57="","",X57),"")</f>
        <v>60</v>
      </c>
      <c r="Z57" s="36">
        <f>IFERROR(IF(X57="","",X57*0.0155),"")</f>
        <v>0.92999999999999994</v>
      </c>
      <c r="AA57" s="56"/>
      <c r="AB57" s="57"/>
      <c r="AC57" s="102" t="s">
        <v>122</v>
      </c>
      <c r="AG57" s="67"/>
      <c r="AJ57" s="71" t="s">
        <v>108</v>
      </c>
      <c r="AK57" s="71">
        <v>12</v>
      </c>
      <c r="BB57" s="103" t="s">
        <v>1</v>
      </c>
      <c r="BM57" s="67">
        <f>IFERROR(X57*I57,"0")</f>
        <v>438</v>
      </c>
      <c r="BN57" s="67">
        <f>IFERROR(Y57*I57,"0")</f>
        <v>438</v>
      </c>
      <c r="BO57" s="67">
        <f>IFERROR(X57/J57,"0")</f>
        <v>0.7142857142857143</v>
      </c>
      <c r="BP57" s="67">
        <f>IFERROR(Y57/J57,"0")</f>
        <v>0.7142857142857143</v>
      </c>
    </row>
    <row r="58" spans="1:68" ht="27" hidden="1" customHeight="1" x14ac:dyDescent="0.25">
      <c r="A58" s="54" t="s">
        <v>123</v>
      </c>
      <c r="B58" s="54" t="s">
        <v>124</v>
      </c>
      <c r="C58" s="31">
        <v>4301071031</v>
      </c>
      <c r="D58" s="280">
        <v>4607111038982</v>
      </c>
      <c r="E58" s="281"/>
      <c r="F58" s="275">
        <v>0.7</v>
      </c>
      <c r="G58" s="32">
        <v>10</v>
      </c>
      <c r="H58" s="275">
        <v>7</v>
      </c>
      <c r="I58" s="275">
        <v>7.2859999999999996</v>
      </c>
      <c r="J58" s="32">
        <v>84</v>
      </c>
      <c r="K58" s="32" t="s">
        <v>65</v>
      </c>
      <c r="L58" s="32" t="s">
        <v>106</v>
      </c>
      <c r="M58" s="33" t="s">
        <v>67</v>
      </c>
      <c r="N58" s="33"/>
      <c r="O58" s="32">
        <v>180</v>
      </c>
      <c r="P58" s="46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8" s="283"/>
      <c r="R58" s="283"/>
      <c r="S58" s="283"/>
      <c r="T58" s="284"/>
      <c r="U58" s="34"/>
      <c r="V58" s="34"/>
      <c r="W58" s="35" t="s">
        <v>68</v>
      </c>
      <c r="X58" s="276">
        <v>0</v>
      </c>
      <c r="Y58" s="277">
        <f>IFERROR(IF(X58="","",X58),"")</f>
        <v>0</v>
      </c>
      <c r="Z58" s="36">
        <f>IFERROR(IF(X58="","",X58*0.0155),"")</f>
        <v>0</v>
      </c>
      <c r="AA58" s="56"/>
      <c r="AB58" s="57"/>
      <c r="AC58" s="104" t="s">
        <v>125</v>
      </c>
      <c r="AG58" s="67"/>
      <c r="AJ58" s="71" t="s">
        <v>108</v>
      </c>
      <c r="AK58" s="71">
        <v>12</v>
      </c>
      <c r="BB58" s="105" t="s">
        <v>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t="27" hidden="1" customHeight="1" x14ac:dyDescent="0.25">
      <c r="A59" s="54" t="s">
        <v>126</v>
      </c>
      <c r="B59" s="54" t="s">
        <v>127</v>
      </c>
      <c r="C59" s="31">
        <v>4301071046</v>
      </c>
      <c r="D59" s="280">
        <v>4607111039354</v>
      </c>
      <c r="E59" s="281"/>
      <c r="F59" s="275">
        <v>0.4</v>
      </c>
      <c r="G59" s="32">
        <v>16</v>
      </c>
      <c r="H59" s="275">
        <v>6.4</v>
      </c>
      <c r="I59" s="275">
        <v>6.7195999999999998</v>
      </c>
      <c r="J59" s="32">
        <v>84</v>
      </c>
      <c r="K59" s="32" t="s">
        <v>65</v>
      </c>
      <c r="L59" s="32" t="s">
        <v>106</v>
      </c>
      <c r="M59" s="33" t="s">
        <v>67</v>
      </c>
      <c r="N59" s="33"/>
      <c r="O59" s="32">
        <v>180</v>
      </c>
      <c r="P59" s="42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9" s="283"/>
      <c r="R59" s="283"/>
      <c r="S59" s="283"/>
      <c r="T59" s="284"/>
      <c r="U59" s="34"/>
      <c r="V59" s="34"/>
      <c r="W59" s="35" t="s">
        <v>68</v>
      </c>
      <c r="X59" s="276">
        <v>0</v>
      </c>
      <c r="Y59" s="277">
        <f>IFERROR(IF(X59="","",X59),"")</f>
        <v>0</v>
      </c>
      <c r="Z59" s="36">
        <f>IFERROR(IF(X59="","",X59*0.0155),"")</f>
        <v>0</v>
      </c>
      <c r="AA59" s="56"/>
      <c r="AB59" s="57"/>
      <c r="AC59" s="106" t="s">
        <v>125</v>
      </c>
      <c r="AG59" s="67"/>
      <c r="AJ59" s="71" t="s">
        <v>108</v>
      </c>
      <c r="AK59" s="71">
        <v>12</v>
      </c>
      <c r="BB59" s="107" t="s">
        <v>1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ht="27" customHeight="1" x14ac:dyDescent="0.25">
      <c r="A60" s="54" t="s">
        <v>128</v>
      </c>
      <c r="B60" s="54" t="s">
        <v>129</v>
      </c>
      <c r="C60" s="31">
        <v>4301071047</v>
      </c>
      <c r="D60" s="280">
        <v>4607111039330</v>
      </c>
      <c r="E60" s="281"/>
      <c r="F60" s="275">
        <v>0.7</v>
      </c>
      <c r="G60" s="32">
        <v>10</v>
      </c>
      <c r="H60" s="275">
        <v>7</v>
      </c>
      <c r="I60" s="275">
        <v>7.3</v>
      </c>
      <c r="J60" s="32">
        <v>84</v>
      </c>
      <c r="K60" s="32" t="s">
        <v>65</v>
      </c>
      <c r="L60" s="32" t="s">
        <v>106</v>
      </c>
      <c r="M60" s="33" t="s">
        <v>67</v>
      </c>
      <c r="N60" s="33"/>
      <c r="O60" s="32">
        <v>180</v>
      </c>
      <c r="P60" s="46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60" s="283"/>
      <c r="R60" s="283"/>
      <c r="S60" s="283"/>
      <c r="T60" s="284"/>
      <c r="U60" s="34"/>
      <c r="V60" s="34"/>
      <c r="W60" s="35" t="s">
        <v>68</v>
      </c>
      <c r="X60" s="276">
        <v>24</v>
      </c>
      <c r="Y60" s="277">
        <f>IFERROR(IF(X60="","",X60),"")</f>
        <v>24</v>
      </c>
      <c r="Z60" s="36">
        <f>IFERROR(IF(X60="","",X60*0.0155),"")</f>
        <v>0.372</v>
      </c>
      <c r="AA60" s="56"/>
      <c r="AB60" s="57"/>
      <c r="AC60" s="108" t="s">
        <v>125</v>
      </c>
      <c r="AG60" s="67"/>
      <c r="AJ60" s="71" t="s">
        <v>108</v>
      </c>
      <c r="AK60" s="71">
        <v>12</v>
      </c>
      <c r="BB60" s="109" t="s">
        <v>1</v>
      </c>
      <c r="BM60" s="67">
        <f>IFERROR(X60*I60,"0")</f>
        <v>175.2</v>
      </c>
      <c r="BN60" s="67">
        <f>IFERROR(Y60*I60,"0")</f>
        <v>175.2</v>
      </c>
      <c r="BO60" s="67">
        <f>IFERROR(X60/J60,"0")</f>
        <v>0.2857142857142857</v>
      </c>
      <c r="BP60" s="67">
        <f>IFERROR(Y60/J60,"0")</f>
        <v>0.2857142857142857</v>
      </c>
    </row>
    <row r="61" spans="1:68" x14ac:dyDescent="0.2">
      <c r="A61" s="294"/>
      <c r="B61" s="289"/>
      <c r="C61" s="289"/>
      <c r="D61" s="289"/>
      <c r="E61" s="289"/>
      <c r="F61" s="289"/>
      <c r="G61" s="289"/>
      <c r="H61" s="289"/>
      <c r="I61" s="289"/>
      <c r="J61" s="289"/>
      <c r="K61" s="289"/>
      <c r="L61" s="289"/>
      <c r="M61" s="289"/>
      <c r="N61" s="289"/>
      <c r="O61" s="295"/>
      <c r="P61" s="285" t="s">
        <v>87</v>
      </c>
      <c r="Q61" s="286"/>
      <c r="R61" s="286"/>
      <c r="S61" s="286"/>
      <c r="T61" s="286"/>
      <c r="U61" s="286"/>
      <c r="V61" s="287"/>
      <c r="W61" s="37" t="s">
        <v>68</v>
      </c>
      <c r="X61" s="278">
        <f>IFERROR(SUM(X57:X60),"0")</f>
        <v>84</v>
      </c>
      <c r="Y61" s="278">
        <f>IFERROR(SUM(Y57:Y60),"0")</f>
        <v>84</v>
      </c>
      <c r="Z61" s="278">
        <f>IFERROR(IF(Z57="",0,Z57),"0")+IFERROR(IF(Z58="",0,Z58),"0")+IFERROR(IF(Z59="",0,Z59),"0")+IFERROR(IF(Z60="",0,Z60),"0")</f>
        <v>1.302</v>
      </c>
      <c r="AA61" s="279"/>
      <c r="AB61" s="279"/>
      <c r="AC61" s="279"/>
    </row>
    <row r="62" spans="1:68" x14ac:dyDescent="0.2">
      <c r="A62" s="289"/>
      <c r="B62" s="289"/>
      <c r="C62" s="289"/>
      <c r="D62" s="289"/>
      <c r="E62" s="289"/>
      <c r="F62" s="289"/>
      <c r="G62" s="289"/>
      <c r="H62" s="289"/>
      <c r="I62" s="289"/>
      <c r="J62" s="289"/>
      <c r="K62" s="289"/>
      <c r="L62" s="289"/>
      <c r="M62" s="289"/>
      <c r="N62" s="289"/>
      <c r="O62" s="295"/>
      <c r="P62" s="285" t="s">
        <v>87</v>
      </c>
      <c r="Q62" s="286"/>
      <c r="R62" s="286"/>
      <c r="S62" s="286"/>
      <c r="T62" s="286"/>
      <c r="U62" s="286"/>
      <c r="V62" s="287"/>
      <c r="W62" s="37" t="s">
        <v>88</v>
      </c>
      <c r="X62" s="278">
        <f>IFERROR(SUMPRODUCT(X57:X60*H57:H60),"0")</f>
        <v>588</v>
      </c>
      <c r="Y62" s="278">
        <f>IFERROR(SUMPRODUCT(Y57:Y60*H57:H60),"0")</f>
        <v>588</v>
      </c>
      <c r="Z62" s="37"/>
      <c r="AA62" s="279"/>
      <c r="AB62" s="279"/>
      <c r="AC62" s="279"/>
    </row>
    <row r="63" spans="1:68" ht="16.5" hidden="1" customHeight="1" x14ac:dyDescent="0.25">
      <c r="A63" s="288" t="s">
        <v>130</v>
      </c>
      <c r="B63" s="289"/>
      <c r="C63" s="289"/>
      <c r="D63" s="289"/>
      <c r="E63" s="289"/>
      <c r="F63" s="289"/>
      <c r="G63" s="289"/>
      <c r="H63" s="289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Y63" s="289"/>
      <c r="Z63" s="289"/>
      <c r="AA63" s="271"/>
      <c r="AB63" s="271"/>
      <c r="AC63" s="271"/>
    </row>
    <row r="64" spans="1:68" ht="14.25" hidden="1" customHeight="1" x14ac:dyDescent="0.25">
      <c r="A64" s="311" t="s">
        <v>131</v>
      </c>
      <c r="B64" s="289"/>
      <c r="C64" s="289"/>
      <c r="D64" s="289"/>
      <c r="E64" s="289"/>
      <c r="F64" s="289"/>
      <c r="G64" s="289"/>
      <c r="H64" s="289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Y64" s="289"/>
      <c r="Z64" s="289"/>
      <c r="AA64" s="272"/>
      <c r="AB64" s="272"/>
      <c r="AC64" s="272"/>
    </row>
    <row r="65" spans="1:68" ht="27" hidden="1" customHeight="1" x14ac:dyDescent="0.25">
      <c r="A65" s="54" t="s">
        <v>132</v>
      </c>
      <c r="B65" s="54" t="s">
        <v>133</v>
      </c>
      <c r="C65" s="31">
        <v>4301132194</v>
      </c>
      <c r="D65" s="280">
        <v>4607111039712</v>
      </c>
      <c r="E65" s="281"/>
      <c r="F65" s="275">
        <v>0.2</v>
      </c>
      <c r="G65" s="32">
        <v>6</v>
      </c>
      <c r="H65" s="275">
        <v>1.2</v>
      </c>
      <c r="I65" s="275">
        <v>1.56</v>
      </c>
      <c r="J65" s="32">
        <v>140</v>
      </c>
      <c r="K65" s="32" t="s">
        <v>105</v>
      </c>
      <c r="L65" s="32" t="s">
        <v>66</v>
      </c>
      <c r="M65" s="33" t="s">
        <v>67</v>
      </c>
      <c r="N65" s="33"/>
      <c r="O65" s="32">
        <v>365</v>
      </c>
      <c r="P65" s="454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5" s="283"/>
      <c r="R65" s="283"/>
      <c r="S65" s="283"/>
      <c r="T65" s="284"/>
      <c r="U65" s="34"/>
      <c r="V65" s="34"/>
      <c r="W65" s="35" t="s">
        <v>68</v>
      </c>
      <c r="X65" s="276">
        <v>0</v>
      </c>
      <c r="Y65" s="277">
        <f>IFERROR(IF(X65="","",X65),"")</f>
        <v>0</v>
      </c>
      <c r="Z65" s="36">
        <f>IFERROR(IF(X65="","",X65*0.00941),"")</f>
        <v>0</v>
      </c>
      <c r="AA65" s="56"/>
      <c r="AB65" s="57"/>
      <c r="AC65" s="110" t="s">
        <v>134</v>
      </c>
      <c r="AG65" s="67"/>
      <c r="AJ65" s="71" t="s">
        <v>70</v>
      </c>
      <c r="AK65" s="71">
        <v>1</v>
      </c>
      <c r="BB65" s="111" t="s">
        <v>109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27" hidden="1" customHeight="1" x14ac:dyDescent="0.25">
      <c r="A66" s="54" t="s">
        <v>135</v>
      </c>
      <c r="B66" s="54" t="s">
        <v>136</v>
      </c>
      <c r="C66" s="31">
        <v>4301135664</v>
      </c>
      <c r="D66" s="280">
        <v>4607111039705</v>
      </c>
      <c r="E66" s="281"/>
      <c r="F66" s="275">
        <v>0.2</v>
      </c>
      <c r="G66" s="32">
        <v>6</v>
      </c>
      <c r="H66" s="275">
        <v>1.2</v>
      </c>
      <c r="I66" s="275">
        <v>1.56</v>
      </c>
      <c r="J66" s="32">
        <v>140</v>
      </c>
      <c r="K66" s="32" t="s">
        <v>105</v>
      </c>
      <c r="L66" s="32" t="s">
        <v>66</v>
      </c>
      <c r="M66" s="33" t="s">
        <v>67</v>
      </c>
      <c r="N66" s="33"/>
      <c r="O66" s="32">
        <v>365</v>
      </c>
      <c r="P66" s="359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6" s="283"/>
      <c r="R66" s="283"/>
      <c r="S66" s="283"/>
      <c r="T66" s="284"/>
      <c r="U66" s="34"/>
      <c r="V66" s="34"/>
      <c r="W66" s="35" t="s">
        <v>68</v>
      </c>
      <c r="X66" s="276">
        <v>0</v>
      </c>
      <c r="Y66" s="277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137</v>
      </c>
      <c r="AG66" s="67"/>
      <c r="AJ66" s="71" t="s">
        <v>70</v>
      </c>
      <c r="AK66" s="71">
        <v>1</v>
      </c>
      <c r="BB66" s="113" t="s">
        <v>109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t="27" hidden="1" customHeight="1" x14ac:dyDescent="0.25">
      <c r="A67" s="54" t="s">
        <v>138</v>
      </c>
      <c r="B67" s="54" t="s">
        <v>139</v>
      </c>
      <c r="C67" s="31">
        <v>4301135665</v>
      </c>
      <c r="D67" s="280">
        <v>4607111039729</v>
      </c>
      <c r="E67" s="281"/>
      <c r="F67" s="275">
        <v>0.2</v>
      </c>
      <c r="G67" s="32">
        <v>6</v>
      </c>
      <c r="H67" s="275">
        <v>1.2</v>
      </c>
      <c r="I67" s="275">
        <v>1.56</v>
      </c>
      <c r="J67" s="32">
        <v>140</v>
      </c>
      <c r="K67" s="32" t="s">
        <v>105</v>
      </c>
      <c r="L67" s="32" t="s">
        <v>66</v>
      </c>
      <c r="M67" s="33" t="s">
        <v>67</v>
      </c>
      <c r="N67" s="33"/>
      <c r="O67" s="32">
        <v>365</v>
      </c>
      <c r="P67" s="446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7" s="283"/>
      <c r="R67" s="283"/>
      <c r="S67" s="283"/>
      <c r="T67" s="284"/>
      <c r="U67" s="34"/>
      <c r="V67" s="34"/>
      <c r="W67" s="35" t="s">
        <v>68</v>
      </c>
      <c r="X67" s="276">
        <v>0</v>
      </c>
      <c r="Y67" s="277">
        <f>IFERROR(IF(X67="","",X67),"")</f>
        <v>0</v>
      </c>
      <c r="Z67" s="36">
        <f>IFERROR(IF(X67="","",X67*0.00941),"")</f>
        <v>0</v>
      </c>
      <c r="AA67" s="56"/>
      <c r="AB67" s="57"/>
      <c r="AC67" s="114" t="s">
        <v>140</v>
      </c>
      <c r="AG67" s="67"/>
      <c r="AJ67" s="71" t="s">
        <v>70</v>
      </c>
      <c r="AK67" s="71">
        <v>1</v>
      </c>
      <c r="BB67" s="115" t="s">
        <v>109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t="27" customHeight="1" x14ac:dyDescent="0.25">
      <c r="A68" s="54" t="s">
        <v>141</v>
      </c>
      <c r="B68" s="54" t="s">
        <v>142</v>
      </c>
      <c r="C68" s="31">
        <v>4301135702</v>
      </c>
      <c r="D68" s="280">
        <v>4620207490228</v>
      </c>
      <c r="E68" s="281"/>
      <c r="F68" s="275">
        <v>0.2</v>
      </c>
      <c r="G68" s="32">
        <v>6</v>
      </c>
      <c r="H68" s="275">
        <v>1.2</v>
      </c>
      <c r="I68" s="275">
        <v>1.56</v>
      </c>
      <c r="J68" s="32">
        <v>140</v>
      </c>
      <c r="K68" s="32" t="s">
        <v>105</v>
      </c>
      <c r="L68" s="32" t="s">
        <v>66</v>
      </c>
      <c r="M68" s="33" t="s">
        <v>67</v>
      </c>
      <c r="N68" s="33"/>
      <c r="O68" s="32">
        <v>365</v>
      </c>
      <c r="P68" s="363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8" s="283"/>
      <c r="R68" s="283"/>
      <c r="S68" s="283"/>
      <c r="T68" s="284"/>
      <c r="U68" s="34"/>
      <c r="V68" s="34"/>
      <c r="W68" s="35" t="s">
        <v>68</v>
      </c>
      <c r="X68" s="276">
        <v>56</v>
      </c>
      <c r="Y68" s="277">
        <f>IFERROR(IF(X68="","",X68),"")</f>
        <v>56</v>
      </c>
      <c r="Z68" s="36">
        <f>IFERROR(IF(X68="","",X68*0.00941),"")</f>
        <v>0.52695999999999998</v>
      </c>
      <c r="AA68" s="56"/>
      <c r="AB68" s="57"/>
      <c r="AC68" s="116" t="s">
        <v>140</v>
      </c>
      <c r="AG68" s="67"/>
      <c r="AJ68" s="71" t="s">
        <v>70</v>
      </c>
      <c r="AK68" s="71">
        <v>1</v>
      </c>
      <c r="BB68" s="117" t="s">
        <v>109</v>
      </c>
      <c r="BM68" s="67">
        <f>IFERROR(X68*I68,"0")</f>
        <v>87.36</v>
      </c>
      <c r="BN68" s="67">
        <f>IFERROR(Y68*I68,"0")</f>
        <v>87.36</v>
      </c>
      <c r="BO68" s="67">
        <f>IFERROR(X68/J68,"0")</f>
        <v>0.4</v>
      </c>
      <c r="BP68" s="67">
        <f>IFERROR(Y68/J68,"0")</f>
        <v>0.4</v>
      </c>
    </row>
    <row r="69" spans="1:68" ht="16.5" hidden="1" customHeight="1" x14ac:dyDescent="0.25">
      <c r="A69" s="54" t="s">
        <v>143</v>
      </c>
      <c r="B69" s="54" t="s">
        <v>144</v>
      </c>
      <c r="C69" s="31">
        <v>4301136015</v>
      </c>
      <c r="D69" s="280">
        <v>4607111037398</v>
      </c>
      <c r="E69" s="281"/>
      <c r="F69" s="275">
        <v>0.09</v>
      </c>
      <c r="G69" s="32">
        <v>24</v>
      </c>
      <c r="H69" s="275">
        <v>2.16</v>
      </c>
      <c r="I69" s="275">
        <v>4.0199999999999996</v>
      </c>
      <c r="J69" s="32">
        <v>126</v>
      </c>
      <c r="K69" s="32" t="s">
        <v>105</v>
      </c>
      <c r="L69" s="32" t="s">
        <v>66</v>
      </c>
      <c r="M69" s="33" t="s">
        <v>67</v>
      </c>
      <c r="N69" s="33"/>
      <c r="O69" s="32">
        <v>365</v>
      </c>
      <c r="P69" s="377" t="str">
        <f>HYPERLINK("https://abi.ru/products/Замороженные/Горячая штучка/Foodgital/Растительные ПГП/P002938/","Чебуреки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3"/>
      <c r="R69" s="283"/>
      <c r="S69" s="283"/>
      <c r="T69" s="284"/>
      <c r="U69" s="34"/>
      <c r="V69" s="34"/>
      <c r="W69" s="35" t="s">
        <v>68</v>
      </c>
      <c r="X69" s="276">
        <v>0</v>
      </c>
      <c r="Y69" s="277">
        <f>IFERROR(IF(X69="","",X69),"")</f>
        <v>0</v>
      </c>
      <c r="Z69" s="36">
        <f>IFERROR(IF(X69="","",X69*0.00936),"")</f>
        <v>0</v>
      </c>
      <c r="AA69" s="56"/>
      <c r="AB69" s="57"/>
      <c r="AC69" s="118" t="s">
        <v>137</v>
      </c>
      <c r="AG69" s="67"/>
      <c r="AJ69" s="71" t="s">
        <v>70</v>
      </c>
      <c r="AK69" s="71">
        <v>1</v>
      </c>
      <c r="BB69" s="119" t="s">
        <v>109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94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95"/>
      <c r="P70" s="285" t="s">
        <v>87</v>
      </c>
      <c r="Q70" s="286"/>
      <c r="R70" s="286"/>
      <c r="S70" s="286"/>
      <c r="T70" s="286"/>
      <c r="U70" s="286"/>
      <c r="V70" s="287"/>
      <c r="W70" s="37" t="s">
        <v>68</v>
      </c>
      <c r="X70" s="278">
        <f>IFERROR(SUM(X65:X69),"0")</f>
        <v>56</v>
      </c>
      <c r="Y70" s="278">
        <f>IFERROR(SUM(Y65:Y69),"0")</f>
        <v>56</v>
      </c>
      <c r="Z70" s="278">
        <f>IFERROR(IF(Z65="",0,Z65),"0")+IFERROR(IF(Z66="",0,Z66),"0")+IFERROR(IF(Z67="",0,Z67),"0")+IFERROR(IF(Z68="",0,Z68),"0")+IFERROR(IF(Z69="",0,Z69),"0")</f>
        <v>0.52695999999999998</v>
      </c>
      <c r="AA70" s="279"/>
      <c r="AB70" s="279"/>
      <c r="AC70" s="279"/>
    </row>
    <row r="71" spans="1:68" x14ac:dyDescent="0.2">
      <c r="A71" s="289"/>
      <c r="B71" s="289"/>
      <c r="C71" s="289"/>
      <c r="D71" s="289"/>
      <c r="E71" s="289"/>
      <c r="F71" s="289"/>
      <c r="G71" s="289"/>
      <c r="H71" s="289"/>
      <c r="I71" s="289"/>
      <c r="J71" s="289"/>
      <c r="K71" s="289"/>
      <c r="L71" s="289"/>
      <c r="M71" s="289"/>
      <c r="N71" s="289"/>
      <c r="O71" s="295"/>
      <c r="P71" s="285" t="s">
        <v>87</v>
      </c>
      <c r="Q71" s="286"/>
      <c r="R71" s="286"/>
      <c r="S71" s="286"/>
      <c r="T71" s="286"/>
      <c r="U71" s="286"/>
      <c r="V71" s="287"/>
      <c r="W71" s="37" t="s">
        <v>88</v>
      </c>
      <c r="X71" s="278">
        <f>IFERROR(SUMPRODUCT(X65:X69*H65:H69),"0")</f>
        <v>67.2</v>
      </c>
      <c r="Y71" s="278">
        <f>IFERROR(SUMPRODUCT(Y65:Y69*H65:H69),"0")</f>
        <v>67.2</v>
      </c>
      <c r="Z71" s="37"/>
      <c r="AA71" s="279"/>
      <c r="AB71" s="279"/>
      <c r="AC71" s="279"/>
    </row>
    <row r="72" spans="1:68" ht="16.5" hidden="1" customHeight="1" x14ac:dyDescent="0.25">
      <c r="A72" s="288" t="s">
        <v>145</v>
      </c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89"/>
      <c r="Q72" s="289"/>
      <c r="R72" s="289"/>
      <c r="S72" s="289"/>
      <c r="T72" s="289"/>
      <c r="U72" s="289"/>
      <c r="V72" s="289"/>
      <c r="W72" s="289"/>
      <c r="X72" s="289"/>
      <c r="Y72" s="289"/>
      <c r="Z72" s="289"/>
      <c r="AA72" s="271"/>
      <c r="AB72" s="271"/>
      <c r="AC72" s="271"/>
    </row>
    <row r="73" spans="1:68" ht="14.25" hidden="1" customHeight="1" x14ac:dyDescent="0.25">
      <c r="A73" s="311" t="s">
        <v>62</v>
      </c>
      <c r="B73" s="289"/>
      <c r="C73" s="289"/>
      <c r="D73" s="289"/>
      <c r="E73" s="289"/>
      <c r="F73" s="289"/>
      <c r="G73" s="289"/>
      <c r="H73" s="289"/>
      <c r="I73" s="289"/>
      <c r="J73" s="289"/>
      <c r="K73" s="289"/>
      <c r="L73" s="289"/>
      <c r="M73" s="289"/>
      <c r="N73" s="289"/>
      <c r="O73" s="289"/>
      <c r="P73" s="289"/>
      <c r="Q73" s="289"/>
      <c r="R73" s="289"/>
      <c r="S73" s="289"/>
      <c r="T73" s="289"/>
      <c r="U73" s="289"/>
      <c r="V73" s="289"/>
      <c r="W73" s="289"/>
      <c r="X73" s="289"/>
      <c r="Y73" s="289"/>
      <c r="Z73" s="289"/>
      <c r="AA73" s="272"/>
      <c r="AB73" s="272"/>
      <c r="AC73" s="272"/>
    </row>
    <row r="74" spans="1:68" ht="27" hidden="1" customHeight="1" x14ac:dyDescent="0.25">
      <c r="A74" s="54" t="s">
        <v>146</v>
      </c>
      <c r="B74" s="54" t="s">
        <v>147</v>
      </c>
      <c r="C74" s="31">
        <v>4301070977</v>
      </c>
      <c r="D74" s="280">
        <v>4607111037411</v>
      </c>
      <c r="E74" s="281"/>
      <c r="F74" s="275">
        <v>2.7</v>
      </c>
      <c r="G74" s="32">
        <v>1</v>
      </c>
      <c r="H74" s="275">
        <v>2.7</v>
      </c>
      <c r="I74" s="275">
        <v>2.8132000000000001</v>
      </c>
      <c r="J74" s="32">
        <v>234</v>
      </c>
      <c r="K74" s="32" t="s">
        <v>148</v>
      </c>
      <c r="L74" s="32" t="s">
        <v>66</v>
      </c>
      <c r="M74" s="33" t="s">
        <v>67</v>
      </c>
      <c r="N74" s="33"/>
      <c r="O74" s="32">
        <v>180</v>
      </c>
      <c r="P74" s="37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4" s="283"/>
      <c r="R74" s="283"/>
      <c r="S74" s="283"/>
      <c r="T74" s="284"/>
      <c r="U74" s="34"/>
      <c r="V74" s="34"/>
      <c r="W74" s="35" t="s">
        <v>68</v>
      </c>
      <c r="X74" s="276">
        <v>0</v>
      </c>
      <c r="Y74" s="277">
        <f>IFERROR(IF(X74="","",X74),"")</f>
        <v>0</v>
      </c>
      <c r="Z74" s="36">
        <f>IFERROR(IF(X74="","",X74*0.00502),"")</f>
        <v>0</v>
      </c>
      <c r="AA74" s="56"/>
      <c r="AB74" s="57"/>
      <c r="AC74" s="120" t="s">
        <v>149</v>
      </c>
      <c r="AG74" s="67"/>
      <c r="AJ74" s="71" t="s">
        <v>70</v>
      </c>
      <c r="AK74" s="71">
        <v>1</v>
      </c>
      <c r="BB74" s="121" t="s">
        <v>1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150</v>
      </c>
      <c r="B75" s="54" t="s">
        <v>151</v>
      </c>
      <c r="C75" s="31">
        <v>4301070981</v>
      </c>
      <c r="D75" s="280">
        <v>4607111036728</v>
      </c>
      <c r="E75" s="281"/>
      <c r="F75" s="275">
        <v>5</v>
      </c>
      <c r="G75" s="32">
        <v>1</v>
      </c>
      <c r="H75" s="275">
        <v>5</v>
      </c>
      <c r="I75" s="275">
        <v>5.2131999999999996</v>
      </c>
      <c r="J75" s="32">
        <v>144</v>
      </c>
      <c r="K75" s="32" t="s">
        <v>65</v>
      </c>
      <c r="L75" s="32" t="s">
        <v>106</v>
      </c>
      <c r="M75" s="33" t="s">
        <v>67</v>
      </c>
      <c r="N75" s="33"/>
      <c r="O75" s="32">
        <v>180</v>
      </c>
      <c r="P75" s="44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5" s="283"/>
      <c r="R75" s="283"/>
      <c r="S75" s="283"/>
      <c r="T75" s="284"/>
      <c r="U75" s="34"/>
      <c r="V75" s="34"/>
      <c r="W75" s="35" t="s">
        <v>68</v>
      </c>
      <c r="X75" s="276">
        <v>0</v>
      </c>
      <c r="Y75" s="277">
        <f>IFERROR(IF(X75="","",X75),"")</f>
        <v>0</v>
      </c>
      <c r="Z75" s="36">
        <f>IFERROR(IF(X75="","",X75*0.00866),"")</f>
        <v>0</v>
      </c>
      <c r="AA75" s="56"/>
      <c r="AB75" s="57"/>
      <c r="AC75" s="122" t="s">
        <v>149</v>
      </c>
      <c r="AG75" s="67"/>
      <c r="AJ75" s="71" t="s">
        <v>108</v>
      </c>
      <c r="AK75" s="71">
        <v>12</v>
      </c>
      <c r="BB75" s="123" t="s">
        <v>1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94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95"/>
      <c r="P76" s="285" t="s">
        <v>87</v>
      </c>
      <c r="Q76" s="286"/>
      <c r="R76" s="286"/>
      <c r="S76" s="286"/>
      <c r="T76" s="286"/>
      <c r="U76" s="286"/>
      <c r="V76" s="287"/>
      <c r="W76" s="37" t="s">
        <v>68</v>
      </c>
      <c r="X76" s="278">
        <f>IFERROR(SUM(X74:X75),"0")</f>
        <v>0</v>
      </c>
      <c r="Y76" s="278">
        <f>IFERROR(SUM(Y74:Y75),"0")</f>
        <v>0</v>
      </c>
      <c r="Z76" s="278">
        <f>IFERROR(IF(Z74="",0,Z74),"0")+IFERROR(IF(Z75="",0,Z75),"0")</f>
        <v>0</v>
      </c>
      <c r="AA76" s="279"/>
      <c r="AB76" s="279"/>
      <c r="AC76" s="279"/>
    </row>
    <row r="77" spans="1:68" hidden="1" x14ac:dyDescent="0.2">
      <c r="A77" s="289"/>
      <c r="B77" s="289"/>
      <c r="C77" s="289"/>
      <c r="D77" s="289"/>
      <c r="E77" s="289"/>
      <c r="F77" s="289"/>
      <c r="G77" s="289"/>
      <c r="H77" s="289"/>
      <c r="I77" s="289"/>
      <c r="J77" s="289"/>
      <c r="K77" s="289"/>
      <c r="L77" s="289"/>
      <c r="M77" s="289"/>
      <c r="N77" s="289"/>
      <c r="O77" s="295"/>
      <c r="P77" s="285" t="s">
        <v>87</v>
      </c>
      <c r="Q77" s="286"/>
      <c r="R77" s="286"/>
      <c r="S77" s="286"/>
      <c r="T77" s="286"/>
      <c r="U77" s="286"/>
      <c r="V77" s="287"/>
      <c r="W77" s="37" t="s">
        <v>88</v>
      </c>
      <c r="X77" s="278">
        <f>IFERROR(SUMPRODUCT(X74:X75*H74:H75),"0")</f>
        <v>0</v>
      </c>
      <c r="Y77" s="278">
        <f>IFERROR(SUMPRODUCT(Y74:Y75*H74:H75),"0")</f>
        <v>0</v>
      </c>
      <c r="Z77" s="37"/>
      <c r="AA77" s="279"/>
      <c r="AB77" s="279"/>
      <c r="AC77" s="279"/>
    </row>
    <row r="78" spans="1:68" ht="16.5" hidden="1" customHeight="1" x14ac:dyDescent="0.25">
      <c r="A78" s="288" t="s">
        <v>152</v>
      </c>
      <c r="B78" s="289"/>
      <c r="C78" s="289"/>
      <c r="D78" s="289"/>
      <c r="E78" s="289"/>
      <c r="F78" s="289"/>
      <c r="G78" s="289"/>
      <c r="H78" s="289"/>
      <c r="I78" s="289"/>
      <c r="J78" s="289"/>
      <c r="K78" s="289"/>
      <c r="L78" s="289"/>
      <c r="M78" s="289"/>
      <c r="N78" s="289"/>
      <c r="O78" s="289"/>
      <c r="P78" s="289"/>
      <c r="Q78" s="289"/>
      <c r="R78" s="289"/>
      <c r="S78" s="289"/>
      <c r="T78" s="289"/>
      <c r="U78" s="289"/>
      <c r="V78" s="289"/>
      <c r="W78" s="289"/>
      <c r="X78" s="289"/>
      <c r="Y78" s="289"/>
      <c r="Z78" s="289"/>
      <c r="AA78" s="271"/>
      <c r="AB78" s="271"/>
      <c r="AC78" s="271"/>
    </row>
    <row r="79" spans="1:68" ht="14.25" hidden="1" customHeight="1" x14ac:dyDescent="0.25">
      <c r="A79" s="311" t="s">
        <v>153</v>
      </c>
      <c r="B79" s="289"/>
      <c r="C79" s="289"/>
      <c r="D79" s="289"/>
      <c r="E79" s="289"/>
      <c r="F79" s="289"/>
      <c r="G79" s="289"/>
      <c r="H79" s="289"/>
      <c r="I79" s="289"/>
      <c r="J79" s="289"/>
      <c r="K79" s="289"/>
      <c r="L79" s="289"/>
      <c r="M79" s="289"/>
      <c r="N79" s="289"/>
      <c r="O79" s="289"/>
      <c r="P79" s="289"/>
      <c r="Q79" s="289"/>
      <c r="R79" s="289"/>
      <c r="S79" s="289"/>
      <c r="T79" s="289"/>
      <c r="U79" s="289"/>
      <c r="V79" s="289"/>
      <c r="W79" s="289"/>
      <c r="X79" s="289"/>
      <c r="Y79" s="289"/>
      <c r="Z79" s="289"/>
      <c r="AA79" s="272"/>
      <c r="AB79" s="272"/>
      <c r="AC79" s="272"/>
    </row>
    <row r="80" spans="1:68" ht="27" hidden="1" customHeight="1" x14ac:dyDescent="0.25">
      <c r="A80" s="54" t="s">
        <v>154</v>
      </c>
      <c r="B80" s="54" t="s">
        <v>155</v>
      </c>
      <c r="C80" s="31">
        <v>4301135910</v>
      </c>
      <c r="D80" s="280">
        <v>4620207491638</v>
      </c>
      <c r="E80" s="281"/>
      <c r="F80" s="275">
        <v>0.3</v>
      </c>
      <c r="G80" s="32">
        <v>12</v>
      </c>
      <c r="H80" s="275">
        <v>3.6</v>
      </c>
      <c r="I80" s="275">
        <v>4.3036000000000003</v>
      </c>
      <c r="J80" s="32">
        <v>70</v>
      </c>
      <c r="K80" s="32" t="s">
        <v>105</v>
      </c>
      <c r="L80" s="32" t="s">
        <v>66</v>
      </c>
      <c r="M80" s="33" t="s">
        <v>67</v>
      </c>
      <c r="N80" s="33"/>
      <c r="O80" s="32">
        <v>180</v>
      </c>
      <c r="P80" s="413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0" s="283"/>
      <c r="R80" s="283"/>
      <c r="S80" s="283"/>
      <c r="T80" s="284"/>
      <c r="U80" s="34"/>
      <c r="V80" s="34"/>
      <c r="W80" s="35" t="s">
        <v>68</v>
      </c>
      <c r="X80" s="276">
        <v>0</v>
      </c>
      <c r="Y80" s="277">
        <f>IFERROR(IF(X80="","",X80),"")</f>
        <v>0</v>
      </c>
      <c r="Z80" s="36">
        <f>IFERROR(IF(X80="","",X80*0.01788),"")</f>
        <v>0</v>
      </c>
      <c r="AA80" s="56"/>
      <c r="AB80" s="57"/>
      <c r="AC80" s="124" t="s">
        <v>156</v>
      </c>
      <c r="AG80" s="67"/>
      <c r="AJ80" s="71" t="s">
        <v>70</v>
      </c>
      <c r="AK80" s="71">
        <v>1</v>
      </c>
      <c r="BB80" s="125" t="s">
        <v>109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idden="1" x14ac:dyDescent="0.2">
      <c r="A81" s="294"/>
      <c r="B81" s="289"/>
      <c r="C81" s="289"/>
      <c r="D81" s="289"/>
      <c r="E81" s="289"/>
      <c r="F81" s="289"/>
      <c r="G81" s="289"/>
      <c r="H81" s="289"/>
      <c r="I81" s="289"/>
      <c r="J81" s="289"/>
      <c r="K81" s="289"/>
      <c r="L81" s="289"/>
      <c r="M81" s="289"/>
      <c r="N81" s="289"/>
      <c r="O81" s="295"/>
      <c r="P81" s="285" t="s">
        <v>87</v>
      </c>
      <c r="Q81" s="286"/>
      <c r="R81" s="286"/>
      <c r="S81" s="286"/>
      <c r="T81" s="286"/>
      <c r="U81" s="286"/>
      <c r="V81" s="287"/>
      <c r="W81" s="37" t="s">
        <v>68</v>
      </c>
      <c r="X81" s="278">
        <f>IFERROR(SUM(X80:X80),"0")</f>
        <v>0</v>
      </c>
      <c r="Y81" s="278">
        <f>IFERROR(SUM(Y80:Y80),"0")</f>
        <v>0</v>
      </c>
      <c r="Z81" s="278">
        <f>IFERROR(IF(Z80="",0,Z80),"0")</f>
        <v>0</v>
      </c>
      <c r="AA81" s="279"/>
      <c r="AB81" s="279"/>
      <c r="AC81" s="279"/>
    </row>
    <row r="82" spans="1:68" hidden="1" x14ac:dyDescent="0.2">
      <c r="A82" s="289"/>
      <c r="B82" s="289"/>
      <c r="C82" s="289"/>
      <c r="D82" s="289"/>
      <c r="E82" s="289"/>
      <c r="F82" s="289"/>
      <c r="G82" s="289"/>
      <c r="H82" s="289"/>
      <c r="I82" s="289"/>
      <c r="J82" s="289"/>
      <c r="K82" s="289"/>
      <c r="L82" s="289"/>
      <c r="M82" s="289"/>
      <c r="N82" s="289"/>
      <c r="O82" s="295"/>
      <c r="P82" s="285" t="s">
        <v>87</v>
      </c>
      <c r="Q82" s="286"/>
      <c r="R82" s="286"/>
      <c r="S82" s="286"/>
      <c r="T82" s="286"/>
      <c r="U82" s="286"/>
      <c r="V82" s="287"/>
      <c r="W82" s="37" t="s">
        <v>88</v>
      </c>
      <c r="X82" s="278">
        <f>IFERROR(SUMPRODUCT(X80:X80*H80:H80),"0")</f>
        <v>0</v>
      </c>
      <c r="Y82" s="278">
        <f>IFERROR(SUMPRODUCT(Y80:Y80*H80:H80),"0")</f>
        <v>0</v>
      </c>
      <c r="Z82" s="37"/>
      <c r="AA82" s="279"/>
      <c r="AB82" s="279"/>
      <c r="AC82" s="279"/>
    </row>
    <row r="83" spans="1:68" ht="16.5" hidden="1" customHeight="1" x14ac:dyDescent="0.25">
      <c r="A83" s="288" t="s">
        <v>157</v>
      </c>
      <c r="B83" s="289"/>
      <c r="C83" s="289"/>
      <c r="D83" s="289"/>
      <c r="E83" s="289"/>
      <c r="F83" s="289"/>
      <c r="G83" s="289"/>
      <c r="H83" s="289"/>
      <c r="I83" s="289"/>
      <c r="J83" s="289"/>
      <c r="K83" s="289"/>
      <c r="L83" s="289"/>
      <c r="M83" s="289"/>
      <c r="N83" s="289"/>
      <c r="O83" s="289"/>
      <c r="P83" s="289"/>
      <c r="Q83" s="289"/>
      <c r="R83" s="289"/>
      <c r="S83" s="289"/>
      <c r="T83" s="289"/>
      <c r="U83" s="289"/>
      <c r="V83" s="289"/>
      <c r="W83" s="289"/>
      <c r="X83" s="289"/>
      <c r="Y83" s="289"/>
      <c r="Z83" s="289"/>
      <c r="AA83" s="271"/>
      <c r="AB83" s="271"/>
      <c r="AC83" s="271"/>
    </row>
    <row r="84" spans="1:68" ht="14.25" hidden="1" customHeight="1" x14ac:dyDescent="0.25">
      <c r="A84" s="311" t="s">
        <v>158</v>
      </c>
      <c r="B84" s="289"/>
      <c r="C84" s="289"/>
      <c r="D84" s="289"/>
      <c r="E84" s="289"/>
      <c r="F84" s="289"/>
      <c r="G84" s="289"/>
      <c r="H84" s="289"/>
      <c r="I84" s="289"/>
      <c r="J84" s="289"/>
      <c r="K84" s="289"/>
      <c r="L84" s="289"/>
      <c r="M84" s="289"/>
      <c r="N84" s="289"/>
      <c r="O84" s="289"/>
      <c r="P84" s="289"/>
      <c r="Q84" s="289"/>
      <c r="R84" s="289"/>
      <c r="S84" s="289"/>
      <c r="T84" s="289"/>
      <c r="U84" s="289"/>
      <c r="V84" s="289"/>
      <c r="W84" s="289"/>
      <c r="X84" s="289"/>
      <c r="Y84" s="289"/>
      <c r="Z84" s="289"/>
      <c r="AA84" s="272"/>
      <c r="AB84" s="272"/>
      <c r="AC84" s="272"/>
    </row>
    <row r="85" spans="1:68" ht="27" hidden="1" customHeight="1" x14ac:dyDescent="0.25">
      <c r="A85" s="54" t="s">
        <v>159</v>
      </c>
      <c r="B85" s="54" t="s">
        <v>160</v>
      </c>
      <c r="C85" s="31">
        <v>4301131047</v>
      </c>
      <c r="D85" s="280">
        <v>4607111034120</v>
      </c>
      <c r="E85" s="281"/>
      <c r="F85" s="275">
        <v>0.3</v>
      </c>
      <c r="G85" s="32">
        <v>12</v>
      </c>
      <c r="H85" s="275">
        <v>3.6</v>
      </c>
      <c r="I85" s="275">
        <v>4.3036000000000003</v>
      </c>
      <c r="J85" s="32">
        <v>70</v>
      </c>
      <c r="K85" s="32" t="s">
        <v>105</v>
      </c>
      <c r="L85" s="32" t="s">
        <v>106</v>
      </c>
      <c r="M85" s="33" t="s">
        <v>67</v>
      </c>
      <c r="N85" s="33"/>
      <c r="O85" s="32">
        <v>180</v>
      </c>
      <c r="P85" s="45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5" s="283"/>
      <c r="R85" s="283"/>
      <c r="S85" s="283"/>
      <c r="T85" s="284"/>
      <c r="U85" s="34"/>
      <c r="V85" s="34"/>
      <c r="W85" s="35" t="s">
        <v>68</v>
      </c>
      <c r="X85" s="276">
        <v>0</v>
      </c>
      <c r="Y85" s="277">
        <f>IFERROR(IF(X85="","",X85),"")</f>
        <v>0</v>
      </c>
      <c r="Z85" s="36">
        <f>IFERROR(IF(X85="","",X85*0.01788),"")</f>
        <v>0</v>
      </c>
      <c r="AA85" s="56"/>
      <c r="AB85" s="57"/>
      <c r="AC85" s="126" t="s">
        <v>161</v>
      </c>
      <c r="AG85" s="67"/>
      <c r="AJ85" s="71" t="s">
        <v>108</v>
      </c>
      <c r="AK85" s="71">
        <v>14</v>
      </c>
      <c r="BB85" s="127" t="s">
        <v>109</v>
      </c>
      <c r="BM85" s="67">
        <f>IFERROR(X85*I85,"0")</f>
        <v>0</v>
      </c>
      <c r="BN85" s="67">
        <f>IFERROR(Y85*I85,"0")</f>
        <v>0</v>
      </c>
      <c r="BO85" s="67">
        <f>IFERROR(X85/J85,"0")</f>
        <v>0</v>
      </c>
      <c r="BP85" s="67">
        <f>IFERROR(Y85/J85,"0")</f>
        <v>0</v>
      </c>
    </row>
    <row r="86" spans="1:68" ht="27" hidden="1" customHeight="1" x14ac:dyDescent="0.25">
      <c r="A86" s="54" t="s">
        <v>162</v>
      </c>
      <c r="B86" s="54" t="s">
        <v>163</v>
      </c>
      <c r="C86" s="31">
        <v>4301131046</v>
      </c>
      <c r="D86" s="280">
        <v>4607111034137</v>
      </c>
      <c r="E86" s="281"/>
      <c r="F86" s="275">
        <v>0.3</v>
      </c>
      <c r="G86" s="32">
        <v>12</v>
      </c>
      <c r="H86" s="275">
        <v>3.6</v>
      </c>
      <c r="I86" s="275">
        <v>4.3036000000000003</v>
      </c>
      <c r="J86" s="32">
        <v>70</v>
      </c>
      <c r="K86" s="32" t="s">
        <v>105</v>
      </c>
      <c r="L86" s="32" t="s">
        <v>106</v>
      </c>
      <c r="M86" s="33" t="s">
        <v>67</v>
      </c>
      <c r="N86" s="33"/>
      <c r="O86" s="32">
        <v>180</v>
      </c>
      <c r="P86" s="29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6" s="283"/>
      <c r="R86" s="283"/>
      <c r="S86" s="283"/>
      <c r="T86" s="284"/>
      <c r="U86" s="34"/>
      <c r="V86" s="34"/>
      <c r="W86" s="35" t="s">
        <v>68</v>
      </c>
      <c r="X86" s="276">
        <v>0</v>
      </c>
      <c r="Y86" s="277">
        <f>IFERROR(IF(X86="","",X86),"")</f>
        <v>0</v>
      </c>
      <c r="Z86" s="36">
        <f>IFERROR(IF(X86="","",X86*0.01788),"")</f>
        <v>0</v>
      </c>
      <c r="AA86" s="56"/>
      <c r="AB86" s="57"/>
      <c r="AC86" s="128" t="s">
        <v>164</v>
      </c>
      <c r="AG86" s="67"/>
      <c r="AJ86" s="71" t="s">
        <v>108</v>
      </c>
      <c r="AK86" s="71">
        <v>14</v>
      </c>
      <c r="BB86" s="129" t="s">
        <v>109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hidden="1" x14ac:dyDescent="0.2">
      <c r="A87" s="294"/>
      <c r="B87" s="289"/>
      <c r="C87" s="289"/>
      <c r="D87" s="289"/>
      <c r="E87" s="289"/>
      <c r="F87" s="289"/>
      <c r="G87" s="289"/>
      <c r="H87" s="289"/>
      <c r="I87" s="289"/>
      <c r="J87" s="289"/>
      <c r="K87" s="289"/>
      <c r="L87" s="289"/>
      <c r="M87" s="289"/>
      <c r="N87" s="289"/>
      <c r="O87" s="295"/>
      <c r="P87" s="285" t="s">
        <v>87</v>
      </c>
      <c r="Q87" s="286"/>
      <c r="R87" s="286"/>
      <c r="S87" s="286"/>
      <c r="T87" s="286"/>
      <c r="U87" s="286"/>
      <c r="V87" s="287"/>
      <c r="W87" s="37" t="s">
        <v>68</v>
      </c>
      <c r="X87" s="278">
        <f>IFERROR(SUM(X85:X86),"0")</f>
        <v>0</v>
      </c>
      <c r="Y87" s="278">
        <f>IFERROR(SUM(Y85:Y86),"0")</f>
        <v>0</v>
      </c>
      <c r="Z87" s="278">
        <f>IFERROR(IF(Z85="",0,Z85),"0")+IFERROR(IF(Z86="",0,Z86),"0")</f>
        <v>0</v>
      </c>
      <c r="AA87" s="279"/>
      <c r="AB87" s="279"/>
      <c r="AC87" s="279"/>
    </row>
    <row r="88" spans="1:68" hidden="1" x14ac:dyDescent="0.2">
      <c r="A88" s="289"/>
      <c r="B88" s="289"/>
      <c r="C88" s="289"/>
      <c r="D88" s="289"/>
      <c r="E88" s="289"/>
      <c r="F88" s="289"/>
      <c r="G88" s="289"/>
      <c r="H88" s="289"/>
      <c r="I88" s="289"/>
      <c r="J88" s="289"/>
      <c r="K88" s="289"/>
      <c r="L88" s="289"/>
      <c r="M88" s="289"/>
      <c r="N88" s="289"/>
      <c r="O88" s="295"/>
      <c r="P88" s="285" t="s">
        <v>87</v>
      </c>
      <c r="Q88" s="286"/>
      <c r="R88" s="286"/>
      <c r="S88" s="286"/>
      <c r="T88" s="286"/>
      <c r="U88" s="286"/>
      <c r="V88" s="287"/>
      <c r="W88" s="37" t="s">
        <v>88</v>
      </c>
      <c r="X88" s="278">
        <f>IFERROR(SUMPRODUCT(X85:X86*H85:H86),"0")</f>
        <v>0</v>
      </c>
      <c r="Y88" s="278">
        <f>IFERROR(SUMPRODUCT(Y85:Y86*H85:H86),"0")</f>
        <v>0</v>
      </c>
      <c r="Z88" s="37"/>
      <c r="AA88" s="279"/>
      <c r="AB88" s="279"/>
      <c r="AC88" s="279"/>
    </row>
    <row r="89" spans="1:68" ht="16.5" hidden="1" customHeight="1" x14ac:dyDescent="0.25">
      <c r="A89" s="288" t="s">
        <v>165</v>
      </c>
      <c r="B89" s="289"/>
      <c r="C89" s="289"/>
      <c r="D89" s="289"/>
      <c r="E89" s="289"/>
      <c r="F89" s="289"/>
      <c r="G89" s="289"/>
      <c r="H89" s="289"/>
      <c r="I89" s="289"/>
      <c r="J89" s="289"/>
      <c r="K89" s="289"/>
      <c r="L89" s="289"/>
      <c r="M89" s="289"/>
      <c r="N89" s="289"/>
      <c r="O89" s="289"/>
      <c r="P89" s="289"/>
      <c r="Q89" s="289"/>
      <c r="R89" s="289"/>
      <c r="S89" s="289"/>
      <c r="T89" s="289"/>
      <c r="U89" s="289"/>
      <c r="V89" s="289"/>
      <c r="W89" s="289"/>
      <c r="X89" s="289"/>
      <c r="Y89" s="289"/>
      <c r="Z89" s="289"/>
      <c r="AA89" s="271"/>
      <c r="AB89" s="271"/>
      <c r="AC89" s="271"/>
    </row>
    <row r="90" spans="1:68" ht="14.25" hidden="1" customHeight="1" x14ac:dyDescent="0.25">
      <c r="A90" s="311" t="s">
        <v>153</v>
      </c>
      <c r="B90" s="289"/>
      <c r="C90" s="289"/>
      <c r="D90" s="289"/>
      <c r="E90" s="289"/>
      <c r="F90" s="289"/>
      <c r="G90" s="289"/>
      <c r="H90" s="289"/>
      <c r="I90" s="289"/>
      <c r="J90" s="289"/>
      <c r="K90" s="289"/>
      <c r="L90" s="289"/>
      <c r="M90" s="289"/>
      <c r="N90" s="289"/>
      <c r="O90" s="289"/>
      <c r="P90" s="289"/>
      <c r="Q90" s="289"/>
      <c r="R90" s="289"/>
      <c r="S90" s="289"/>
      <c r="T90" s="289"/>
      <c r="U90" s="289"/>
      <c r="V90" s="289"/>
      <c r="W90" s="289"/>
      <c r="X90" s="289"/>
      <c r="Y90" s="289"/>
      <c r="Z90" s="289"/>
      <c r="AA90" s="272"/>
      <c r="AB90" s="272"/>
      <c r="AC90" s="272"/>
    </row>
    <row r="91" spans="1:68" ht="27" customHeight="1" x14ac:dyDescent="0.25">
      <c r="A91" s="54" t="s">
        <v>166</v>
      </c>
      <c r="B91" s="54" t="s">
        <v>167</v>
      </c>
      <c r="C91" s="31">
        <v>4301135763</v>
      </c>
      <c r="D91" s="280">
        <v>4620207491027</v>
      </c>
      <c r="E91" s="281"/>
      <c r="F91" s="275">
        <v>0.24</v>
      </c>
      <c r="G91" s="32">
        <v>12</v>
      </c>
      <c r="H91" s="275">
        <v>2.88</v>
      </c>
      <c r="I91" s="275">
        <v>3.5836000000000001</v>
      </c>
      <c r="J91" s="32">
        <v>70</v>
      </c>
      <c r="K91" s="32" t="s">
        <v>105</v>
      </c>
      <c r="L91" s="32" t="s">
        <v>106</v>
      </c>
      <c r="M91" s="33" t="s">
        <v>67</v>
      </c>
      <c r="N91" s="33"/>
      <c r="O91" s="32">
        <v>180</v>
      </c>
      <c r="P91" s="39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1" s="283"/>
      <c r="R91" s="283"/>
      <c r="S91" s="283"/>
      <c r="T91" s="284"/>
      <c r="U91" s="34"/>
      <c r="V91" s="34"/>
      <c r="W91" s="35" t="s">
        <v>68</v>
      </c>
      <c r="X91" s="276">
        <v>42</v>
      </c>
      <c r="Y91" s="277">
        <f t="shared" ref="Y91:Y96" si="6">IFERROR(IF(X91="","",X91),"")</f>
        <v>42</v>
      </c>
      <c r="Z91" s="36">
        <f t="shared" ref="Z91:Z96" si="7">IFERROR(IF(X91="","",X91*0.01788),"")</f>
        <v>0.75095999999999996</v>
      </c>
      <c r="AA91" s="56"/>
      <c r="AB91" s="57"/>
      <c r="AC91" s="130" t="s">
        <v>168</v>
      </c>
      <c r="AG91" s="67"/>
      <c r="AJ91" s="71" t="s">
        <v>108</v>
      </c>
      <c r="AK91" s="71">
        <v>14</v>
      </c>
      <c r="BB91" s="131" t="s">
        <v>109</v>
      </c>
      <c r="BM91" s="67">
        <f t="shared" ref="BM91:BM96" si="8">IFERROR(X91*I91,"0")</f>
        <v>150.5112</v>
      </c>
      <c r="BN91" s="67">
        <f t="shared" ref="BN91:BN96" si="9">IFERROR(Y91*I91,"0")</f>
        <v>150.5112</v>
      </c>
      <c r="BO91" s="67">
        <f t="shared" ref="BO91:BO96" si="10">IFERROR(X91/J91,"0")</f>
        <v>0.6</v>
      </c>
      <c r="BP91" s="67">
        <f t="shared" ref="BP91:BP96" si="11">IFERROR(Y91/J91,"0")</f>
        <v>0.6</v>
      </c>
    </row>
    <row r="92" spans="1:68" ht="27" hidden="1" customHeight="1" x14ac:dyDescent="0.25">
      <c r="A92" s="54" t="s">
        <v>169</v>
      </c>
      <c r="B92" s="54" t="s">
        <v>170</v>
      </c>
      <c r="C92" s="31">
        <v>4301135914</v>
      </c>
      <c r="D92" s="280">
        <v>4620207491621</v>
      </c>
      <c r="E92" s="281"/>
      <c r="F92" s="275">
        <v>0.24</v>
      </c>
      <c r="G92" s="32">
        <v>12</v>
      </c>
      <c r="H92" s="275">
        <v>2.88</v>
      </c>
      <c r="I92" s="275">
        <v>3.5836000000000001</v>
      </c>
      <c r="J92" s="32">
        <v>70</v>
      </c>
      <c r="K92" s="32" t="s">
        <v>105</v>
      </c>
      <c r="L92" s="32" t="s">
        <v>66</v>
      </c>
      <c r="M92" s="33" t="s">
        <v>67</v>
      </c>
      <c r="N92" s="33"/>
      <c r="O92" s="32">
        <v>180</v>
      </c>
      <c r="P92" s="319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2" s="283"/>
      <c r="R92" s="283"/>
      <c r="S92" s="283"/>
      <c r="T92" s="284"/>
      <c r="U92" s="34"/>
      <c r="V92" s="34"/>
      <c r="W92" s="35" t="s">
        <v>68</v>
      </c>
      <c r="X92" s="276">
        <v>0</v>
      </c>
      <c r="Y92" s="277">
        <f t="shared" si="6"/>
        <v>0</v>
      </c>
      <c r="Z92" s="36">
        <f t="shared" si="7"/>
        <v>0</v>
      </c>
      <c r="AA92" s="56"/>
      <c r="AB92" s="57"/>
      <c r="AC92" s="132" t="s">
        <v>171</v>
      </c>
      <c r="AG92" s="67"/>
      <c r="AJ92" s="71" t="s">
        <v>70</v>
      </c>
      <c r="AK92" s="71">
        <v>1</v>
      </c>
      <c r="BB92" s="133" t="s">
        <v>109</v>
      </c>
      <c r="BM92" s="67">
        <f t="shared" si="8"/>
        <v>0</v>
      </c>
      <c r="BN92" s="67">
        <f t="shared" si="9"/>
        <v>0</v>
      </c>
      <c r="BO92" s="67">
        <f t="shared" si="10"/>
        <v>0</v>
      </c>
      <c r="BP92" s="67">
        <f t="shared" si="11"/>
        <v>0</v>
      </c>
    </row>
    <row r="93" spans="1:68" ht="27" customHeight="1" x14ac:dyDescent="0.25">
      <c r="A93" s="54" t="s">
        <v>172</v>
      </c>
      <c r="B93" s="54" t="s">
        <v>173</v>
      </c>
      <c r="C93" s="31">
        <v>4301135990</v>
      </c>
      <c r="D93" s="280">
        <v>4620207491881</v>
      </c>
      <c r="E93" s="281"/>
      <c r="F93" s="275">
        <v>0.24</v>
      </c>
      <c r="G93" s="32">
        <v>12</v>
      </c>
      <c r="H93" s="275">
        <v>2.88</v>
      </c>
      <c r="I93" s="275">
        <v>3.5836000000000001</v>
      </c>
      <c r="J93" s="32">
        <v>70</v>
      </c>
      <c r="K93" s="32" t="s">
        <v>105</v>
      </c>
      <c r="L93" s="32" t="s">
        <v>66</v>
      </c>
      <c r="M93" s="33" t="s">
        <v>67</v>
      </c>
      <c r="N93" s="33"/>
      <c r="O93" s="32">
        <v>180</v>
      </c>
      <c r="P93" s="421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3" s="283"/>
      <c r="R93" s="283"/>
      <c r="S93" s="283"/>
      <c r="T93" s="284"/>
      <c r="U93" s="34"/>
      <c r="V93" s="34"/>
      <c r="W93" s="35" t="s">
        <v>68</v>
      </c>
      <c r="X93" s="276">
        <v>42</v>
      </c>
      <c r="Y93" s="277">
        <f t="shared" si="6"/>
        <v>42</v>
      </c>
      <c r="Z93" s="36">
        <f t="shared" si="7"/>
        <v>0.75095999999999996</v>
      </c>
      <c r="AA93" s="56"/>
      <c r="AB93" s="57"/>
      <c r="AC93" s="134" t="s">
        <v>171</v>
      </c>
      <c r="AG93" s="67"/>
      <c r="AJ93" s="71" t="s">
        <v>70</v>
      </c>
      <c r="AK93" s="71">
        <v>1</v>
      </c>
      <c r="BB93" s="135" t="s">
        <v>109</v>
      </c>
      <c r="BM93" s="67">
        <f t="shared" si="8"/>
        <v>150.5112</v>
      </c>
      <c r="BN93" s="67">
        <f t="shared" si="9"/>
        <v>150.5112</v>
      </c>
      <c r="BO93" s="67">
        <f t="shared" si="10"/>
        <v>0.6</v>
      </c>
      <c r="BP93" s="67">
        <f t="shared" si="11"/>
        <v>0.6</v>
      </c>
    </row>
    <row r="94" spans="1:68" ht="27" customHeight="1" x14ac:dyDescent="0.25">
      <c r="A94" s="54" t="s">
        <v>174</v>
      </c>
      <c r="B94" s="54" t="s">
        <v>175</v>
      </c>
      <c r="C94" s="31">
        <v>4301135920</v>
      </c>
      <c r="D94" s="280">
        <v>4620207491577</v>
      </c>
      <c r="E94" s="281"/>
      <c r="F94" s="275">
        <v>0.24</v>
      </c>
      <c r="G94" s="32">
        <v>12</v>
      </c>
      <c r="H94" s="275">
        <v>2.88</v>
      </c>
      <c r="I94" s="275">
        <v>3.5836000000000001</v>
      </c>
      <c r="J94" s="32">
        <v>70</v>
      </c>
      <c r="K94" s="32" t="s">
        <v>105</v>
      </c>
      <c r="L94" s="32" t="s">
        <v>66</v>
      </c>
      <c r="M94" s="33" t="s">
        <v>67</v>
      </c>
      <c r="N94" s="33"/>
      <c r="O94" s="32">
        <v>180</v>
      </c>
      <c r="P94" s="322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4" s="283"/>
      <c r="R94" s="283"/>
      <c r="S94" s="283"/>
      <c r="T94" s="284"/>
      <c r="U94" s="34"/>
      <c r="V94" s="34"/>
      <c r="W94" s="35" t="s">
        <v>68</v>
      </c>
      <c r="X94" s="276">
        <v>14</v>
      </c>
      <c r="Y94" s="277">
        <f t="shared" si="6"/>
        <v>14</v>
      </c>
      <c r="Z94" s="36">
        <f t="shared" si="7"/>
        <v>0.25031999999999999</v>
      </c>
      <c r="AA94" s="56"/>
      <c r="AB94" s="57"/>
      <c r="AC94" s="136" t="s">
        <v>171</v>
      </c>
      <c r="AG94" s="67"/>
      <c r="AJ94" s="71" t="s">
        <v>70</v>
      </c>
      <c r="AK94" s="71">
        <v>1</v>
      </c>
      <c r="BB94" s="137" t="s">
        <v>109</v>
      </c>
      <c r="BM94" s="67">
        <f t="shared" si="8"/>
        <v>50.170400000000001</v>
      </c>
      <c r="BN94" s="67">
        <f t="shared" si="9"/>
        <v>50.170400000000001</v>
      </c>
      <c r="BO94" s="67">
        <f t="shared" si="10"/>
        <v>0.2</v>
      </c>
      <c r="BP94" s="67">
        <f t="shared" si="11"/>
        <v>0.2</v>
      </c>
    </row>
    <row r="95" spans="1:68" ht="27" customHeight="1" x14ac:dyDescent="0.25">
      <c r="A95" s="54" t="s">
        <v>176</v>
      </c>
      <c r="B95" s="54" t="s">
        <v>177</v>
      </c>
      <c r="C95" s="31">
        <v>4301135984</v>
      </c>
      <c r="D95" s="280">
        <v>4620207491874</v>
      </c>
      <c r="E95" s="281"/>
      <c r="F95" s="275">
        <v>0.48</v>
      </c>
      <c r="G95" s="32">
        <v>8</v>
      </c>
      <c r="H95" s="275">
        <v>3.84</v>
      </c>
      <c r="I95" s="275">
        <v>4.4488000000000003</v>
      </c>
      <c r="J95" s="32">
        <v>70</v>
      </c>
      <c r="K95" s="32" t="s">
        <v>105</v>
      </c>
      <c r="L95" s="32" t="s">
        <v>66</v>
      </c>
      <c r="M95" s="33" t="s">
        <v>67</v>
      </c>
      <c r="N95" s="33"/>
      <c r="O95" s="32">
        <v>180</v>
      </c>
      <c r="P95" s="329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5" s="283"/>
      <c r="R95" s="283"/>
      <c r="S95" s="283"/>
      <c r="T95" s="284"/>
      <c r="U95" s="34"/>
      <c r="V95" s="34"/>
      <c r="W95" s="35" t="s">
        <v>68</v>
      </c>
      <c r="X95" s="276">
        <v>42</v>
      </c>
      <c r="Y95" s="277">
        <f t="shared" si="6"/>
        <v>42</v>
      </c>
      <c r="Z95" s="36">
        <f t="shared" si="7"/>
        <v>0.75095999999999996</v>
      </c>
      <c r="AA95" s="56"/>
      <c r="AB95" s="57"/>
      <c r="AC95" s="138" t="s">
        <v>171</v>
      </c>
      <c r="AG95" s="67"/>
      <c r="AJ95" s="71" t="s">
        <v>70</v>
      </c>
      <c r="AK95" s="71">
        <v>1</v>
      </c>
      <c r="BB95" s="139" t="s">
        <v>109</v>
      </c>
      <c r="BM95" s="67">
        <f t="shared" si="8"/>
        <v>186.84960000000001</v>
      </c>
      <c r="BN95" s="67">
        <f t="shared" si="9"/>
        <v>186.84960000000001</v>
      </c>
      <c r="BO95" s="67">
        <f t="shared" si="10"/>
        <v>0.6</v>
      </c>
      <c r="BP95" s="67">
        <f t="shared" si="11"/>
        <v>0.6</v>
      </c>
    </row>
    <row r="96" spans="1:68" ht="27" hidden="1" customHeight="1" x14ac:dyDescent="0.25">
      <c r="A96" s="54" t="s">
        <v>178</v>
      </c>
      <c r="B96" s="54" t="s">
        <v>179</v>
      </c>
      <c r="C96" s="31">
        <v>4301137008</v>
      </c>
      <c r="D96" s="280">
        <v>4620207491782</v>
      </c>
      <c r="E96" s="281"/>
      <c r="F96" s="275">
        <v>0.3</v>
      </c>
      <c r="G96" s="32">
        <v>14</v>
      </c>
      <c r="H96" s="275">
        <v>4.2</v>
      </c>
      <c r="I96" s="275">
        <v>4.5292000000000003</v>
      </c>
      <c r="J96" s="32">
        <v>70</v>
      </c>
      <c r="K96" s="32" t="s">
        <v>105</v>
      </c>
      <c r="L96" s="32" t="s">
        <v>66</v>
      </c>
      <c r="M96" s="33" t="s">
        <v>67</v>
      </c>
      <c r="N96" s="33"/>
      <c r="O96" s="32">
        <v>180</v>
      </c>
      <c r="P96" s="390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6" s="283"/>
      <c r="R96" s="283"/>
      <c r="S96" s="283"/>
      <c r="T96" s="284"/>
      <c r="U96" s="34"/>
      <c r="V96" s="34"/>
      <c r="W96" s="35" t="s">
        <v>68</v>
      </c>
      <c r="X96" s="276">
        <v>0</v>
      </c>
      <c r="Y96" s="277">
        <f t="shared" si="6"/>
        <v>0</v>
      </c>
      <c r="Z96" s="36">
        <f t="shared" si="7"/>
        <v>0</v>
      </c>
      <c r="AA96" s="56"/>
      <c r="AB96" s="57"/>
      <c r="AC96" s="140" t="s">
        <v>171</v>
      </c>
      <c r="AG96" s="67"/>
      <c r="AJ96" s="71" t="s">
        <v>70</v>
      </c>
      <c r="AK96" s="71">
        <v>1</v>
      </c>
      <c r="BB96" s="141" t="s">
        <v>109</v>
      </c>
      <c r="BM96" s="67">
        <f t="shared" si="8"/>
        <v>0</v>
      </c>
      <c r="BN96" s="67">
        <f t="shared" si="9"/>
        <v>0</v>
      </c>
      <c r="BO96" s="67">
        <f t="shared" si="10"/>
        <v>0</v>
      </c>
      <c r="BP96" s="67">
        <f t="shared" si="11"/>
        <v>0</v>
      </c>
    </row>
    <row r="97" spans="1:68" x14ac:dyDescent="0.2">
      <c r="A97" s="294"/>
      <c r="B97" s="289"/>
      <c r="C97" s="289"/>
      <c r="D97" s="289"/>
      <c r="E97" s="289"/>
      <c r="F97" s="289"/>
      <c r="G97" s="289"/>
      <c r="H97" s="289"/>
      <c r="I97" s="289"/>
      <c r="J97" s="289"/>
      <c r="K97" s="289"/>
      <c r="L97" s="289"/>
      <c r="M97" s="289"/>
      <c r="N97" s="289"/>
      <c r="O97" s="295"/>
      <c r="P97" s="285" t="s">
        <v>87</v>
      </c>
      <c r="Q97" s="286"/>
      <c r="R97" s="286"/>
      <c r="S97" s="286"/>
      <c r="T97" s="286"/>
      <c r="U97" s="286"/>
      <c r="V97" s="287"/>
      <c r="W97" s="37" t="s">
        <v>68</v>
      </c>
      <c r="X97" s="278">
        <f>IFERROR(SUM(X91:X96),"0")</f>
        <v>140</v>
      </c>
      <c r="Y97" s="278">
        <f>IFERROR(SUM(Y91:Y96),"0")</f>
        <v>140</v>
      </c>
      <c r="Z97" s="278">
        <f>IFERROR(IF(Z91="",0,Z91),"0")+IFERROR(IF(Z92="",0,Z92),"0")+IFERROR(IF(Z93="",0,Z93),"0")+IFERROR(IF(Z94="",0,Z94),"0")+IFERROR(IF(Z95="",0,Z95),"0")+IFERROR(IF(Z96="",0,Z96),"0")</f>
        <v>2.5032000000000001</v>
      </c>
      <c r="AA97" s="279"/>
      <c r="AB97" s="279"/>
      <c r="AC97" s="279"/>
    </row>
    <row r="98" spans="1:68" x14ac:dyDescent="0.2">
      <c r="A98" s="289"/>
      <c r="B98" s="289"/>
      <c r="C98" s="289"/>
      <c r="D98" s="289"/>
      <c r="E98" s="289"/>
      <c r="F98" s="289"/>
      <c r="G98" s="289"/>
      <c r="H98" s="289"/>
      <c r="I98" s="289"/>
      <c r="J98" s="289"/>
      <c r="K98" s="289"/>
      <c r="L98" s="289"/>
      <c r="M98" s="289"/>
      <c r="N98" s="289"/>
      <c r="O98" s="295"/>
      <c r="P98" s="285" t="s">
        <v>87</v>
      </c>
      <c r="Q98" s="286"/>
      <c r="R98" s="286"/>
      <c r="S98" s="286"/>
      <c r="T98" s="286"/>
      <c r="U98" s="286"/>
      <c r="V98" s="287"/>
      <c r="W98" s="37" t="s">
        <v>88</v>
      </c>
      <c r="X98" s="278">
        <f>IFERROR(SUMPRODUCT(X91:X96*H91:H96),"0")</f>
        <v>443.52</v>
      </c>
      <c r="Y98" s="278">
        <f>IFERROR(SUMPRODUCT(Y91:Y96*H91:H96),"0")</f>
        <v>443.52</v>
      </c>
      <c r="Z98" s="37"/>
      <c r="AA98" s="279"/>
      <c r="AB98" s="279"/>
      <c r="AC98" s="279"/>
    </row>
    <row r="99" spans="1:68" ht="16.5" hidden="1" customHeight="1" x14ac:dyDescent="0.25">
      <c r="A99" s="288" t="s">
        <v>180</v>
      </c>
      <c r="B99" s="289"/>
      <c r="C99" s="289"/>
      <c r="D99" s="289"/>
      <c r="E99" s="289"/>
      <c r="F99" s="289"/>
      <c r="G99" s="289"/>
      <c r="H99" s="289"/>
      <c r="I99" s="289"/>
      <c r="J99" s="289"/>
      <c r="K99" s="289"/>
      <c r="L99" s="289"/>
      <c r="M99" s="289"/>
      <c r="N99" s="289"/>
      <c r="O99" s="289"/>
      <c r="P99" s="289"/>
      <c r="Q99" s="289"/>
      <c r="R99" s="289"/>
      <c r="S99" s="289"/>
      <c r="T99" s="289"/>
      <c r="U99" s="289"/>
      <c r="V99" s="289"/>
      <c r="W99" s="289"/>
      <c r="X99" s="289"/>
      <c r="Y99" s="289"/>
      <c r="Z99" s="289"/>
      <c r="AA99" s="271"/>
      <c r="AB99" s="271"/>
      <c r="AC99" s="271"/>
    </row>
    <row r="100" spans="1:68" ht="14.25" hidden="1" customHeight="1" x14ac:dyDescent="0.25">
      <c r="A100" s="311" t="s">
        <v>181</v>
      </c>
      <c r="B100" s="289"/>
      <c r="C100" s="289"/>
      <c r="D100" s="289"/>
      <c r="E100" s="289"/>
      <c r="F100" s="289"/>
      <c r="G100" s="289"/>
      <c r="H100" s="289"/>
      <c r="I100" s="289"/>
      <c r="J100" s="289"/>
      <c r="K100" s="289"/>
      <c r="L100" s="289"/>
      <c r="M100" s="289"/>
      <c r="N100" s="289"/>
      <c r="O100" s="289"/>
      <c r="P100" s="289"/>
      <c r="Q100" s="289"/>
      <c r="R100" s="289"/>
      <c r="S100" s="289"/>
      <c r="T100" s="289"/>
      <c r="U100" s="289"/>
      <c r="V100" s="289"/>
      <c r="W100" s="289"/>
      <c r="X100" s="289"/>
      <c r="Y100" s="289"/>
      <c r="Z100" s="289"/>
      <c r="AA100" s="272"/>
      <c r="AB100" s="272"/>
      <c r="AC100" s="272"/>
    </row>
    <row r="101" spans="1:68" ht="27" hidden="1" customHeight="1" x14ac:dyDescent="0.25">
      <c r="A101" s="54" t="s">
        <v>182</v>
      </c>
      <c r="B101" s="54" t="s">
        <v>183</v>
      </c>
      <c r="C101" s="31">
        <v>4301136101</v>
      </c>
      <c r="D101" s="280">
        <v>4620207491652</v>
      </c>
      <c r="E101" s="281"/>
      <c r="F101" s="275">
        <v>0.09</v>
      </c>
      <c r="G101" s="32">
        <v>24</v>
      </c>
      <c r="H101" s="275">
        <v>2.16</v>
      </c>
      <c r="I101" s="275">
        <v>2.4912000000000001</v>
      </c>
      <c r="J101" s="32">
        <v>126</v>
      </c>
      <c r="K101" s="32" t="s">
        <v>105</v>
      </c>
      <c r="L101" s="32" t="s">
        <v>66</v>
      </c>
      <c r="M101" s="33" t="s">
        <v>67</v>
      </c>
      <c r="N101" s="33"/>
      <c r="O101" s="32">
        <v>180</v>
      </c>
      <c r="P101" s="436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1" s="283"/>
      <c r="R101" s="283"/>
      <c r="S101" s="283"/>
      <c r="T101" s="284"/>
      <c r="U101" s="34"/>
      <c r="V101" s="34"/>
      <c r="W101" s="35" t="s">
        <v>68</v>
      </c>
      <c r="X101" s="276">
        <v>0</v>
      </c>
      <c r="Y101" s="277">
        <f>IFERROR(IF(X101="","",X101),"")</f>
        <v>0</v>
      </c>
      <c r="Z101" s="36">
        <f>IFERROR(IF(X101="","",X101*0.00936),"")</f>
        <v>0</v>
      </c>
      <c r="AA101" s="56"/>
      <c r="AB101" s="57"/>
      <c r="AC101" s="142" t="s">
        <v>184</v>
      </c>
      <c r="AG101" s="67"/>
      <c r="AJ101" s="71" t="s">
        <v>70</v>
      </c>
      <c r="AK101" s="71">
        <v>1</v>
      </c>
      <c r="BB101" s="143" t="s">
        <v>109</v>
      </c>
      <c r="BM101" s="67">
        <f>IFERROR(X101*I101,"0")</f>
        <v>0</v>
      </c>
      <c r="BN101" s="67">
        <f>IFERROR(Y101*I101,"0")</f>
        <v>0</v>
      </c>
      <c r="BO101" s="67">
        <f>IFERROR(X101/J101,"0")</f>
        <v>0</v>
      </c>
      <c r="BP101" s="67">
        <f>IFERROR(Y101/J101,"0")</f>
        <v>0</v>
      </c>
    </row>
    <row r="102" spans="1:68" ht="27" hidden="1" customHeight="1" x14ac:dyDescent="0.25">
      <c r="A102" s="54" t="s">
        <v>185</v>
      </c>
      <c r="B102" s="54" t="s">
        <v>186</v>
      </c>
      <c r="C102" s="31">
        <v>4301136103</v>
      </c>
      <c r="D102" s="280">
        <v>4620207491645</v>
      </c>
      <c r="E102" s="281"/>
      <c r="F102" s="275">
        <v>0.36</v>
      </c>
      <c r="G102" s="32">
        <v>10</v>
      </c>
      <c r="H102" s="275">
        <v>3.6</v>
      </c>
      <c r="I102" s="275">
        <v>4.2439999999999998</v>
      </c>
      <c r="J102" s="32">
        <v>70</v>
      </c>
      <c r="K102" s="32" t="s">
        <v>105</v>
      </c>
      <c r="L102" s="32" t="s">
        <v>66</v>
      </c>
      <c r="M102" s="33" t="s">
        <v>67</v>
      </c>
      <c r="N102" s="33"/>
      <c r="O102" s="32">
        <v>180</v>
      </c>
      <c r="P102" s="437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2" s="283"/>
      <c r="R102" s="283"/>
      <c r="S102" s="283"/>
      <c r="T102" s="284"/>
      <c r="U102" s="34"/>
      <c r="V102" s="34"/>
      <c r="W102" s="35" t="s">
        <v>68</v>
      </c>
      <c r="X102" s="276">
        <v>0</v>
      </c>
      <c r="Y102" s="277">
        <f>IFERROR(IF(X102="","",X102),"")</f>
        <v>0</v>
      </c>
      <c r="Z102" s="36">
        <f>IFERROR(IF(X102="","",X102*0.01788),"")</f>
        <v>0</v>
      </c>
      <c r="AA102" s="56"/>
      <c r="AB102" s="57"/>
      <c r="AC102" s="144" t="s">
        <v>184</v>
      </c>
      <c r="AG102" s="67"/>
      <c r="AJ102" s="71" t="s">
        <v>70</v>
      </c>
      <c r="AK102" s="71">
        <v>1</v>
      </c>
      <c r="BB102" s="145" t="s">
        <v>109</v>
      </c>
      <c r="BM102" s="67">
        <f>IFERROR(X102*I102,"0")</f>
        <v>0</v>
      </c>
      <c r="BN102" s="67">
        <f>IFERROR(Y102*I102,"0")</f>
        <v>0</v>
      </c>
      <c r="BO102" s="67">
        <f>IFERROR(X102/J102,"0")</f>
        <v>0</v>
      </c>
      <c r="BP102" s="67">
        <f>IFERROR(Y102/J102,"0")</f>
        <v>0</v>
      </c>
    </row>
    <row r="103" spans="1:68" hidden="1" x14ac:dyDescent="0.2">
      <c r="A103" s="294"/>
      <c r="B103" s="289"/>
      <c r="C103" s="289"/>
      <c r="D103" s="289"/>
      <c r="E103" s="289"/>
      <c r="F103" s="289"/>
      <c r="G103" s="289"/>
      <c r="H103" s="289"/>
      <c r="I103" s="289"/>
      <c r="J103" s="289"/>
      <c r="K103" s="289"/>
      <c r="L103" s="289"/>
      <c r="M103" s="289"/>
      <c r="N103" s="289"/>
      <c r="O103" s="295"/>
      <c r="P103" s="285" t="s">
        <v>87</v>
      </c>
      <c r="Q103" s="286"/>
      <c r="R103" s="286"/>
      <c r="S103" s="286"/>
      <c r="T103" s="286"/>
      <c r="U103" s="286"/>
      <c r="V103" s="287"/>
      <c r="W103" s="37" t="s">
        <v>68</v>
      </c>
      <c r="X103" s="278">
        <f>IFERROR(SUM(X101:X102),"0")</f>
        <v>0</v>
      </c>
      <c r="Y103" s="278">
        <f>IFERROR(SUM(Y101:Y102),"0")</f>
        <v>0</v>
      </c>
      <c r="Z103" s="278">
        <f>IFERROR(IF(Z101="",0,Z101),"0")+IFERROR(IF(Z102="",0,Z102),"0")</f>
        <v>0</v>
      </c>
      <c r="AA103" s="279"/>
      <c r="AB103" s="279"/>
      <c r="AC103" s="279"/>
    </row>
    <row r="104" spans="1:68" hidden="1" x14ac:dyDescent="0.2">
      <c r="A104" s="289"/>
      <c r="B104" s="289"/>
      <c r="C104" s="289"/>
      <c r="D104" s="289"/>
      <c r="E104" s="289"/>
      <c r="F104" s="289"/>
      <c r="G104" s="289"/>
      <c r="H104" s="289"/>
      <c r="I104" s="289"/>
      <c r="J104" s="289"/>
      <c r="K104" s="289"/>
      <c r="L104" s="289"/>
      <c r="M104" s="289"/>
      <c r="N104" s="289"/>
      <c r="O104" s="295"/>
      <c r="P104" s="285" t="s">
        <v>87</v>
      </c>
      <c r="Q104" s="286"/>
      <c r="R104" s="286"/>
      <c r="S104" s="286"/>
      <c r="T104" s="286"/>
      <c r="U104" s="286"/>
      <c r="V104" s="287"/>
      <c r="W104" s="37" t="s">
        <v>88</v>
      </c>
      <c r="X104" s="278">
        <f>IFERROR(SUMPRODUCT(X101:X102*H101:H102),"0")</f>
        <v>0</v>
      </c>
      <c r="Y104" s="278">
        <f>IFERROR(SUMPRODUCT(Y101:Y102*H101:H102),"0")</f>
        <v>0</v>
      </c>
      <c r="Z104" s="37"/>
      <c r="AA104" s="279"/>
      <c r="AB104" s="279"/>
      <c r="AC104" s="279"/>
    </row>
    <row r="105" spans="1:68" ht="16.5" hidden="1" customHeight="1" x14ac:dyDescent="0.25">
      <c r="A105" s="288" t="s">
        <v>187</v>
      </c>
      <c r="B105" s="289"/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89"/>
      <c r="N105" s="289"/>
      <c r="O105" s="289"/>
      <c r="P105" s="289"/>
      <c r="Q105" s="289"/>
      <c r="R105" s="289"/>
      <c r="S105" s="289"/>
      <c r="T105" s="289"/>
      <c r="U105" s="289"/>
      <c r="V105" s="289"/>
      <c r="W105" s="289"/>
      <c r="X105" s="289"/>
      <c r="Y105" s="289"/>
      <c r="Z105" s="289"/>
      <c r="AA105" s="271"/>
      <c r="AB105" s="271"/>
      <c r="AC105" s="271"/>
    </row>
    <row r="106" spans="1:68" ht="14.25" hidden="1" customHeight="1" x14ac:dyDescent="0.25">
      <c r="A106" s="311" t="s">
        <v>62</v>
      </c>
      <c r="B106" s="289"/>
      <c r="C106" s="289"/>
      <c r="D106" s="289"/>
      <c r="E106" s="289"/>
      <c r="F106" s="289"/>
      <c r="G106" s="289"/>
      <c r="H106" s="289"/>
      <c r="I106" s="289"/>
      <c r="J106" s="289"/>
      <c r="K106" s="289"/>
      <c r="L106" s="289"/>
      <c r="M106" s="289"/>
      <c r="N106" s="289"/>
      <c r="O106" s="289"/>
      <c r="P106" s="289"/>
      <c r="Q106" s="289"/>
      <c r="R106" s="289"/>
      <c r="S106" s="289"/>
      <c r="T106" s="289"/>
      <c r="U106" s="289"/>
      <c r="V106" s="289"/>
      <c r="W106" s="289"/>
      <c r="X106" s="289"/>
      <c r="Y106" s="289"/>
      <c r="Z106" s="289"/>
      <c r="AA106" s="272"/>
      <c r="AB106" s="272"/>
      <c r="AC106" s="272"/>
    </row>
    <row r="107" spans="1:68" ht="27" hidden="1" customHeight="1" x14ac:dyDescent="0.25">
      <c r="A107" s="54" t="s">
        <v>188</v>
      </c>
      <c r="B107" s="54" t="s">
        <v>189</v>
      </c>
      <c r="C107" s="31">
        <v>4301071074</v>
      </c>
      <c r="D107" s="280">
        <v>4620207491157</v>
      </c>
      <c r="E107" s="281"/>
      <c r="F107" s="275">
        <v>0.7</v>
      </c>
      <c r="G107" s="32">
        <v>10</v>
      </c>
      <c r="H107" s="275">
        <v>7</v>
      </c>
      <c r="I107" s="275">
        <v>7.28</v>
      </c>
      <c r="J107" s="32">
        <v>84</v>
      </c>
      <c r="K107" s="32" t="s">
        <v>65</v>
      </c>
      <c r="L107" s="32" t="s">
        <v>106</v>
      </c>
      <c r="M107" s="33" t="s">
        <v>67</v>
      </c>
      <c r="N107" s="33"/>
      <c r="O107" s="32">
        <v>180</v>
      </c>
      <c r="P107" s="435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7" s="283"/>
      <c r="R107" s="283"/>
      <c r="S107" s="283"/>
      <c r="T107" s="284"/>
      <c r="U107" s="34"/>
      <c r="V107" s="34"/>
      <c r="W107" s="35" t="s">
        <v>68</v>
      </c>
      <c r="X107" s="276">
        <v>0</v>
      </c>
      <c r="Y107" s="277">
        <f t="shared" ref="Y107:Y113" si="12">IFERROR(IF(X107="","",X107),"")</f>
        <v>0</v>
      </c>
      <c r="Z107" s="36">
        <f t="shared" ref="Z107:Z113" si="13">IFERROR(IF(X107="","",X107*0.0155),"")</f>
        <v>0</v>
      </c>
      <c r="AA107" s="56"/>
      <c r="AB107" s="57"/>
      <c r="AC107" s="146" t="s">
        <v>190</v>
      </c>
      <c r="AG107" s="67"/>
      <c r="AJ107" s="71" t="s">
        <v>108</v>
      </c>
      <c r="AK107" s="71">
        <v>12</v>
      </c>
      <c r="BB107" s="147" t="s">
        <v>1</v>
      </c>
      <c r="BM107" s="67">
        <f t="shared" ref="BM107:BM113" si="14">IFERROR(X107*I107,"0")</f>
        <v>0</v>
      </c>
      <c r="BN107" s="67">
        <f t="shared" ref="BN107:BN113" si="15">IFERROR(Y107*I107,"0")</f>
        <v>0</v>
      </c>
      <c r="BO107" s="67">
        <f t="shared" ref="BO107:BO113" si="16">IFERROR(X107/J107,"0")</f>
        <v>0</v>
      </c>
      <c r="BP107" s="67">
        <f t="shared" ref="BP107:BP113" si="17">IFERROR(Y107/J107,"0")</f>
        <v>0</v>
      </c>
    </row>
    <row r="108" spans="1:68" ht="27" hidden="1" customHeight="1" x14ac:dyDescent="0.25">
      <c r="A108" s="54" t="s">
        <v>191</v>
      </c>
      <c r="B108" s="54" t="s">
        <v>192</v>
      </c>
      <c r="C108" s="31">
        <v>4301071121</v>
      </c>
      <c r="D108" s="280">
        <v>4620207491393</v>
      </c>
      <c r="E108" s="281"/>
      <c r="F108" s="275">
        <v>0.4</v>
      </c>
      <c r="G108" s="32">
        <v>16</v>
      </c>
      <c r="H108" s="275">
        <v>6.4</v>
      </c>
      <c r="I108" s="275">
        <v>6.71</v>
      </c>
      <c r="J108" s="32">
        <v>84</v>
      </c>
      <c r="K108" s="32" t="s">
        <v>65</v>
      </c>
      <c r="L108" s="32" t="s">
        <v>66</v>
      </c>
      <c r="M108" s="33" t="s">
        <v>67</v>
      </c>
      <c r="N108" s="33"/>
      <c r="O108" s="32">
        <v>180</v>
      </c>
      <c r="P108" s="39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8" s="283"/>
      <c r="R108" s="283"/>
      <c r="S108" s="283"/>
      <c r="T108" s="284"/>
      <c r="U108" s="34"/>
      <c r="V108" s="34"/>
      <c r="W108" s="35" t="s">
        <v>68</v>
      </c>
      <c r="X108" s="276">
        <v>0</v>
      </c>
      <c r="Y108" s="277">
        <f t="shared" si="12"/>
        <v>0</v>
      </c>
      <c r="Z108" s="36">
        <f t="shared" si="13"/>
        <v>0</v>
      </c>
      <c r="AA108" s="56"/>
      <c r="AB108" s="57"/>
      <c r="AC108" s="148" t="s">
        <v>193</v>
      </c>
      <c r="AG108" s="67"/>
      <c r="AJ108" s="71" t="s">
        <v>70</v>
      </c>
      <c r="AK108" s="71">
        <v>1</v>
      </c>
      <c r="BB108" s="149" t="s">
        <v>1</v>
      </c>
      <c r="BM108" s="67">
        <f t="shared" si="14"/>
        <v>0</v>
      </c>
      <c r="BN108" s="67">
        <f t="shared" si="15"/>
        <v>0</v>
      </c>
      <c r="BO108" s="67">
        <f t="shared" si="16"/>
        <v>0</v>
      </c>
      <c r="BP108" s="67">
        <f t="shared" si="17"/>
        <v>0</v>
      </c>
    </row>
    <row r="109" spans="1:68" ht="27" hidden="1" customHeight="1" x14ac:dyDescent="0.25">
      <c r="A109" s="54" t="s">
        <v>194</v>
      </c>
      <c r="B109" s="54" t="s">
        <v>195</v>
      </c>
      <c r="C109" s="31">
        <v>4301071051</v>
      </c>
      <c r="D109" s="280">
        <v>4607111039262</v>
      </c>
      <c r="E109" s="281"/>
      <c r="F109" s="275">
        <v>0.4</v>
      </c>
      <c r="G109" s="32">
        <v>16</v>
      </c>
      <c r="H109" s="275">
        <v>6.4</v>
      </c>
      <c r="I109" s="275">
        <v>6.7195999999999998</v>
      </c>
      <c r="J109" s="32">
        <v>84</v>
      </c>
      <c r="K109" s="32" t="s">
        <v>65</v>
      </c>
      <c r="L109" s="32" t="s">
        <v>106</v>
      </c>
      <c r="M109" s="33" t="s">
        <v>67</v>
      </c>
      <c r="N109" s="33"/>
      <c r="O109" s="32">
        <v>180</v>
      </c>
      <c r="P109" s="40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9" s="283"/>
      <c r="R109" s="283"/>
      <c r="S109" s="283"/>
      <c r="T109" s="284"/>
      <c r="U109" s="34"/>
      <c r="V109" s="34"/>
      <c r="W109" s="35" t="s">
        <v>68</v>
      </c>
      <c r="X109" s="276">
        <v>0</v>
      </c>
      <c r="Y109" s="277">
        <f t="shared" si="12"/>
        <v>0</v>
      </c>
      <c r="Z109" s="36">
        <f t="shared" si="13"/>
        <v>0</v>
      </c>
      <c r="AA109" s="56"/>
      <c r="AB109" s="57"/>
      <c r="AC109" s="150" t="s">
        <v>149</v>
      </c>
      <c r="AG109" s="67"/>
      <c r="AJ109" s="71" t="s">
        <v>108</v>
      </c>
      <c r="AK109" s="71">
        <v>12</v>
      </c>
      <c r="BB109" s="151" t="s">
        <v>1</v>
      </c>
      <c r="BM109" s="67">
        <f t="shared" si="14"/>
        <v>0</v>
      </c>
      <c r="BN109" s="67">
        <f t="shared" si="15"/>
        <v>0</v>
      </c>
      <c r="BO109" s="67">
        <f t="shared" si="16"/>
        <v>0</v>
      </c>
      <c r="BP109" s="67">
        <f t="shared" si="17"/>
        <v>0</v>
      </c>
    </row>
    <row r="110" spans="1:68" ht="27" customHeight="1" x14ac:dyDescent="0.25">
      <c r="A110" s="54" t="s">
        <v>196</v>
      </c>
      <c r="B110" s="54" t="s">
        <v>197</v>
      </c>
      <c r="C110" s="31">
        <v>4301071038</v>
      </c>
      <c r="D110" s="280">
        <v>4607111039248</v>
      </c>
      <c r="E110" s="281"/>
      <c r="F110" s="275">
        <v>0.7</v>
      </c>
      <c r="G110" s="32">
        <v>10</v>
      </c>
      <c r="H110" s="275">
        <v>7</v>
      </c>
      <c r="I110" s="275">
        <v>7.3</v>
      </c>
      <c r="J110" s="32">
        <v>84</v>
      </c>
      <c r="K110" s="32" t="s">
        <v>65</v>
      </c>
      <c r="L110" s="32" t="s">
        <v>106</v>
      </c>
      <c r="M110" s="33" t="s">
        <v>67</v>
      </c>
      <c r="N110" s="33"/>
      <c r="O110" s="32">
        <v>180</v>
      </c>
      <c r="P110" s="45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0" s="283"/>
      <c r="R110" s="283"/>
      <c r="S110" s="283"/>
      <c r="T110" s="284"/>
      <c r="U110" s="34"/>
      <c r="V110" s="34"/>
      <c r="W110" s="35" t="s">
        <v>68</v>
      </c>
      <c r="X110" s="276">
        <v>84</v>
      </c>
      <c r="Y110" s="277">
        <f t="shared" si="12"/>
        <v>84</v>
      </c>
      <c r="Z110" s="36">
        <f t="shared" si="13"/>
        <v>1.302</v>
      </c>
      <c r="AA110" s="56"/>
      <c r="AB110" s="57"/>
      <c r="AC110" s="152" t="s">
        <v>149</v>
      </c>
      <c r="AG110" s="67"/>
      <c r="AJ110" s="71" t="s">
        <v>108</v>
      </c>
      <c r="AK110" s="71">
        <v>12</v>
      </c>
      <c r="BB110" s="153" t="s">
        <v>1</v>
      </c>
      <c r="BM110" s="67">
        <f t="shared" si="14"/>
        <v>613.19999999999993</v>
      </c>
      <c r="BN110" s="67">
        <f t="shared" si="15"/>
        <v>613.19999999999993</v>
      </c>
      <c r="BO110" s="67">
        <f t="shared" si="16"/>
        <v>1</v>
      </c>
      <c r="BP110" s="67">
        <f t="shared" si="17"/>
        <v>1</v>
      </c>
    </row>
    <row r="111" spans="1:68" ht="27" hidden="1" customHeight="1" x14ac:dyDescent="0.25">
      <c r="A111" s="54" t="s">
        <v>198</v>
      </c>
      <c r="B111" s="54" t="s">
        <v>199</v>
      </c>
      <c r="C111" s="31">
        <v>4301070979</v>
      </c>
      <c r="D111" s="280">
        <v>4607111037145</v>
      </c>
      <c r="E111" s="281"/>
      <c r="F111" s="275">
        <v>0.8</v>
      </c>
      <c r="G111" s="32">
        <v>8</v>
      </c>
      <c r="H111" s="275">
        <v>6.4</v>
      </c>
      <c r="I111" s="275">
        <v>6.6748000000000003</v>
      </c>
      <c r="J111" s="32">
        <v>84</v>
      </c>
      <c r="K111" s="32" t="s">
        <v>65</v>
      </c>
      <c r="L111" s="32" t="s">
        <v>66</v>
      </c>
      <c r="M111" s="33" t="s">
        <v>67</v>
      </c>
      <c r="N111" s="33"/>
      <c r="O111" s="32">
        <v>180</v>
      </c>
      <c r="P111" s="42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1" s="283"/>
      <c r="R111" s="283"/>
      <c r="S111" s="283"/>
      <c r="T111" s="284"/>
      <c r="U111" s="34"/>
      <c r="V111" s="34"/>
      <c r="W111" s="35" t="s">
        <v>68</v>
      </c>
      <c r="X111" s="276">
        <v>0</v>
      </c>
      <c r="Y111" s="277">
        <f t="shared" si="12"/>
        <v>0</v>
      </c>
      <c r="Z111" s="36">
        <f t="shared" si="13"/>
        <v>0</v>
      </c>
      <c r="AA111" s="56"/>
      <c r="AB111" s="57"/>
      <c r="AC111" s="154" t="s">
        <v>200</v>
      </c>
      <c r="AG111" s="67"/>
      <c r="AJ111" s="71" t="s">
        <v>70</v>
      </c>
      <c r="AK111" s="71">
        <v>1</v>
      </c>
      <c r="BB111" s="155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customHeight="1" x14ac:dyDescent="0.25">
      <c r="A112" s="54" t="s">
        <v>201</v>
      </c>
      <c r="B112" s="54" t="s">
        <v>202</v>
      </c>
      <c r="C112" s="31">
        <v>4301071139</v>
      </c>
      <c r="D112" s="280">
        <v>4607111039293</v>
      </c>
      <c r="E112" s="281"/>
      <c r="F112" s="275">
        <v>0.4</v>
      </c>
      <c r="G112" s="32">
        <v>16</v>
      </c>
      <c r="H112" s="275">
        <v>6.4</v>
      </c>
      <c r="I112" s="275">
        <v>6.7195999999999998</v>
      </c>
      <c r="J112" s="32">
        <v>84</v>
      </c>
      <c r="K112" s="32" t="s">
        <v>65</v>
      </c>
      <c r="L112" s="32" t="s">
        <v>66</v>
      </c>
      <c r="M112" s="33" t="s">
        <v>67</v>
      </c>
      <c r="N112" s="33"/>
      <c r="O112" s="32">
        <v>180</v>
      </c>
      <c r="P112" s="428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2" s="283"/>
      <c r="R112" s="283"/>
      <c r="S112" s="283"/>
      <c r="T112" s="284"/>
      <c r="U112" s="34"/>
      <c r="V112" s="34"/>
      <c r="W112" s="35" t="s">
        <v>68</v>
      </c>
      <c r="X112" s="276">
        <v>48</v>
      </c>
      <c r="Y112" s="277">
        <f t="shared" si="12"/>
        <v>48</v>
      </c>
      <c r="Z112" s="36">
        <f t="shared" si="13"/>
        <v>0.74399999999999999</v>
      </c>
      <c r="AA112" s="56"/>
      <c r="AB112" s="57"/>
      <c r="AC112" s="156" t="s">
        <v>203</v>
      </c>
      <c r="AG112" s="67"/>
      <c r="AJ112" s="71" t="s">
        <v>70</v>
      </c>
      <c r="AK112" s="71">
        <v>1</v>
      </c>
      <c r="BB112" s="157" t="s">
        <v>1</v>
      </c>
      <c r="BM112" s="67">
        <f t="shared" si="14"/>
        <v>322.54079999999999</v>
      </c>
      <c r="BN112" s="67">
        <f t="shared" si="15"/>
        <v>322.54079999999999</v>
      </c>
      <c r="BO112" s="67">
        <f t="shared" si="16"/>
        <v>0.5714285714285714</v>
      </c>
      <c r="BP112" s="67">
        <f t="shared" si="17"/>
        <v>0.5714285714285714</v>
      </c>
    </row>
    <row r="113" spans="1:68" ht="27" customHeight="1" x14ac:dyDescent="0.25">
      <c r="A113" s="54" t="s">
        <v>204</v>
      </c>
      <c r="B113" s="54" t="s">
        <v>205</v>
      </c>
      <c r="C113" s="31">
        <v>4301071138</v>
      </c>
      <c r="D113" s="280">
        <v>4607111039279</v>
      </c>
      <c r="E113" s="281"/>
      <c r="F113" s="275">
        <v>0.7</v>
      </c>
      <c r="G113" s="32">
        <v>10</v>
      </c>
      <c r="H113" s="275">
        <v>7</v>
      </c>
      <c r="I113" s="275">
        <v>7.3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338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3" s="283"/>
      <c r="R113" s="283"/>
      <c r="S113" s="283"/>
      <c r="T113" s="284"/>
      <c r="U113" s="34"/>
      <c r="V113" s="34"/>
      <c r="W113" s="35" t="s">
        <v>68</v>
      </c>
      <c r="X113" s="276">
        <v>84</v>
      </c>
      <c r="Y113" s="277">
        <f t="shared" si="12"/>
        <v>84</v>
      </c>
      <c r="Z113" s="36">
        <f t="shared" si="13"/>
        <v>1.302</v>
      </c>
      <c r="AA113" s="56"/>
      <c r="AB113" s="57"/>
      <c r="AC113" s="158" t="s">
        <v>203</v>
      </c>
      <c r="AG113" s="67"/>
      <c r="AJ113" s="71" t="s">
        <v>70</v>
      </c>
      <c r="AK113" s="71">
        <v>1</v>
      </c>
      <c r="BB113" s="159" t="s">
        <v>1</v>
      </c>
      <c r="BM113" s="67">
        <f t="shared" si="14"/>
        <v>613.19999999999993</v>
      </c>
      <c r="BN113" s="67">
        <f t="shared" si="15"/>
        <v>613.19999999999993</v>
      </c>
      <c r="BO113" s="67">
        <f t="shared" si="16"/>
        <v>1</v>
      </c>
      <c r="BP113" s="67">
        <f t="shared" si="17"/>
        <v>1</v>
      </c>
    </row>
    <row r="114" spans="1:68" x14ac:dyDescent="0.2">
      <c r="A114" s="294"/>
      <c r="B114" s="289"/>
      <c r="C114" s="289"/>
      <c r="D114" s="289"/>
      <c r="E114" s="289"/>
      <c r="F114" s="289"/>
      <c r="G114" s="289"/>
      <c r="H114" s="289"/>
      <c r="I114" s="289"/>
      <c r="J114" s="289"/>
      <c r="K114" s="289"/>
      <c r="L114" s="289"/>
      <c r="M114" s="289"/>
      <c r="N114" s="289"/>
      <c r="O114" s="295"/>
      <c r="P114" s="285" t="s">
        <v>87</v>
      </c>
      <c r="Q114" s="286"/>
      <c r="R114" s="286"/>
      <c r="S114" s="286"/>
      <c r="T114" s="286"/>
      <c r="U114" s="286"/>
      <c r="V114" s="287"/>
      <c r="W114" s="37" t="s">
        <v>68</v>
      </c>
      <c r="X114" s="278">
        <f>IFERROR(SUM(X107:X113),"0")</f>
        <v>216</v>
      </c>
      <c r="Y114" s="278">
        <f>IFERROR(SUM(Y107:Y113),"0")</f>
        <v>216</v>
      </c>
      <c r="Z114" s="278">
        <f>IFERROR(IF(Z107="",0,Z107),"0")+IFERROR(IF(Z108="",0,Z108),"0")+IFERROR(IF(Z109="",0,Z109),"0")+IFERROR(IF(Z110="",0,Z110),"0")+IFERROR(IF(Z111="",0,Z111),"0")+IFERROR(IF(Z112="",0,Z112),"0")+IFERROR(IF(Z113="",0,Z113),"0")</f>
        <v>3.3480000000000003</v>
      </c>
      <c r="AA114" s="279"/>
      <c r="AB114" s="279"/>
      <c r="AC114" s="279"/>
    </row>
    <row r="115" spans="1:68" x14ac:dyDescent="0.2">
      <c r="A115" s="289"/>
      <c r="B115" s="289"/>
      <c r="C115" s="289"/>
      <c r="D115" s="289"/>
      <c r="E115" s="289"/>
      <c r="F115" s="289"/>
      <c r="G115" s="289"/>
      <c r="H115" s="289"/>
      <c r="I115" s="289"/>
      <c r="J115" s="289"/>
      <c r="K115" s="289"/>
      <c r="L115" s="289"/>
      <c r="M115" s="289"/>
      <c r="N115" s="289"/>
      <c r="O115" s="295"/>
      <c r="P115" s="285" t="s">
        <v>87</v>
      </c>
      <c r="Q115" s="286"/>
      <c r="R115" s="286"/>
      <c r="S115" s="286"/>
      <c r="T115" s="286"/>
      <c r="U115" s="286"/>
      <c r="V115" s="287"/>
      <c r="W115" s="37" t="s">
        <v>88</v>
      </c>
      <c r="X115" s="278">
        <f>IFERROR(SUMPRODUCT(X107:X113*H107:H113),"0")</f>
        <v>1483.2</v>
      </c>
      <c r="Y115" s="278">
        <f>IFERROR(SUMPRODUCT(Y107:Y113*H107:H113),"0")</f>
        <v>1483.2</v>
      </c>
      <c r="Z115" s="37"/>
      <c r="AA115" s="279"/>
      <c r="AB115" s="279"/>
      <c r="AC115" s="279"/>
    </row>
    <row r="116" spans="1:68" ht="14.25" hidden="1" customHeight="1" x14ac:dyDescent="0.25">
      <c r="A116" s="311" t="s">
        <v>153</v>
      </c>
      <c r="B116" s="289"/>
      <c r="C116" s="289"/>
      <c r="D116" s="289"/>
      <c r="E116" s="289"/>
      <c r="F116" s="289"/>
      <c r="G116" s="289"/>
      <c r="H116" s="289"/>
      <c r="I116" s="289"/>
      <c r="J116" s="289"/>
      <c r="K116" s="289"/>
      <c r="L116" s="289"/>
      <c r="M116" s="289"/>
      <c r="N116" s="289"/>
      <c r="O116" s="289"/>
      <c r="P116" s="289"/>
      <c r="Q116" s="289"/>
      <c r="R116" s="289"/>
      <c r="S116" s="289"/>
      <c r="T116" s="289"/>
      <c r="U116" s="289"/>
      <c r="V116" s="289"/>
      <c r="W116" s="289"/>
      <c r="X116" s="289"/>
      <c r="Y116" s="289"/>
      <c r="Z116" s="289"/>
      <c r="AA116" s="272"/>
      <c r="AB116" s="272"/>
      <c r="AC116" s="272"/>
    </row>
    <row r="117" spans="1:68" ht="27" hidden="1" customHeight="1" x14ac:dyDescent="0.25">
      <c r="A117" s="54" t="s">
        <v>206</v>
      </c>
      <c r="B117" s="54" t="s">
        <v>207</v>
      </c>
      <c r="C117" s="31">
        <v>4301135826</v>
      </c>
      <c r="D117" s="280">
        <v>4620207490983</v>
      </c>
      <c r="E117" s="281"/>
      <c r="F117" s="275">
        <v>0.22</v>
      </c>
      <c r="G117" s="32">
        <v>12</v>
      </c>
      <c r="H117" s="275">
        <v>2.64</v>
      </c>
      <c r="I117" s="275">
        <v>3.3435999999999999</v>
      </c>
      <c r="J117" s="32">
        <v>70</v>
      </c>
      <c r="K117" s="32" t="s">
        <v>105</v>
      </c>
      <c r="L117" s="32" t="s">
        <v>66</v>
      </c>
      <c r="M117" s="33" t="s">
        <v>67</v>
      </c>
      <c r="N117" s="33"/>
      <c r="O117" s="32">
        <v>180</v>
      </c>
      <c r="P117" s="35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7" s="283"/>
      <c r="R117" s="283"/>
      <c r="S117" s="283"/>
      <c r="T117" s="284"/>
      <c r="U117" s="34"/>
      <c r="V117" s="34"/>
      <c r="W117" s="35" t="s">
        <v>68</v>
      </c>
      <c r="X117" s="276">
        <v>0</v>
      </c>
      <c r="Y117" s="277">
        <f>IFERROR(IF(X117="","",X117),"")</f>
        <v>0</v>
      </c>
      <c r="Z117" s="36">
        <f>IFERROR(IF(X117="","",X117*0.01788),"")</f>
        <v>0</v>
      </c>
      <c r="AA117" s="56"/>
      <c r="AB117" s="57"/>
      <c r="AC117" s="160" t="s">
        <v>208</v>
      </c>
      <c r="AG117" s="67"/>
      <c r="AJ117" s="71" t="s">
        <v>70</v>
      </c>
      <c r="AK117" s="71">
        <v>1</v>
      </c>
      <c r="BB117" s="161" t="s">
        <v>109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hidden="1" x14ac:dyDescent="0.2">
      <c r="A118" s="294"/>
      <c r="B118" s="289"/>
      <c r="C118" s="289"/>
      <c r="D118" s="289"/>
      <c r="E118" s="289"/>
      <c r="F118" s="289"/>
      <c r="G118" s="289"/>
      <c r="H118" s="289"/>
      <c r="I118" s="289"/>
      <c r="J118" s="289"/>
      <c r="K118" s="289"/>
      <c r="L118" s="289"/>
      <c r="M118" s="289"/>
      <c r="N118" s="289"/>
      <c r="O118" s="295"/>
      <c r="P118" s="285" t="s">
        <v>87</v>
      </c>
      <c r="Q118" s="286"/>
      <c r="R118" s="286"/>
      <c r="S118" s="286"/>
      <c r="T118" s="286"/>
      <c r="U118" s="286"/>
      <c r="V118" s="287"/>
      <c r="W118" s="37" t="s">
        <v>68</v>
      </c>
      <c r="X118" s="278">
        <f>IFERROR(SUM(X117:X117),"0")</f>
        <v>0</v>
      </c>
      <c r="Y118" s="278">
        <f>IFERROR(SUM(Y117:Y117),"0")</f>
        <v>0</v>
      </c>
      <c r="Z118" s="278">
        <f>IFERROR(IF(Z117="",0,Z117),"0")</f>
        <v>0</v>
      </c>
      <c r="AA118" s="279"/>
      <c r="AB118" s="279"/>
      <c r="AC118" s="279"/>
    </row>
    <row r="119" spans="1:68" hidden="1" x14ac:dyDescent="0.2">
      <c r="A119" s="289"/>
      <c r="B119" s="289"/>
      <c r="C119" s="289"/>
      <c r="D119" s="289"/>
      <c r="E119" s="289"/>
      <c r="F119" s="289"/>
      <c r="G119" s="289"/>
      <c r="H119" s="289"/>
      <c r="I119" s="289"/>
      <c r="J119" s="289"/>
      <c r="K119" s="289"/>
      <c r="L119" s="289"/>
      <c r="M119" s="289"/>
      <c r="N119" s="289"/>
      <c r="O119" s="295"/>
      <c r="P119" s="285" t="s">
        <v>87</v>
      </c>
      <c r="Q119" s="286"/>
      <c r="R119" s="286"/>
      <c r="S119" s="286"/>
      <c r="T119" s="286"/>
      <c r="U119" s="286"/>
      <c r="V119" s="287"/>
      <c r="W119" s="37" t="s">
        <v>88</v>
      </c>
      <c r="X119" s="278">
        <f>IFERROR(SUMPRODUCT(X117:X117*H117:H117),"0")</f>
        <v>0</v>
      </c>
      <c r="Y119" s="278">
        <f>IFERROR(SUMPRODUCT(Y117:Y117*H117:H117),"0")</f>
        <v>0</v>
      </c>
      <c r="Z119" s="37"/>
      <c r="AA119" s="279"/>
      <c r="AB119" s="279"/>
      <c r="AC119" s="279"/>
    </row>
    <row r="120" spans="1:68" ht="14.25" hidden="1" customHeight="1" x14ac:dyDescent="0.25">
      <c r="A120" s="311" t="s">
        <v>209</v>
      </c>
      <c r="B120" s="289"/>
      <c r="C120" s="289"/>
      <c r="D120" s="289"/>
      <c r="E120" s="289"/>
      <c r="F120" s="289"/>
      <c r="G120" s="289"/>
      <c r="H120" s="289"/>
      <c r="I120" s="289"/>
      <c r="J120" s="289"/>
      <c r="K120" s="289"/>
      <c r="L120" s="289"/>
      <c r="M120" s="289"/>
      <c r="N120" s="289"/>
      <c r="O120" s="289"/>
      <c r="P120" s="289"/>
      <c r="Q120" s="289"/>
      <c r="R120" s="289"/>
      <c r="S120" s="289"/>
      <c r="T120" s="289"/>
      <c r="U120" s="289"/>
      <c r="V120" s="289"/>
      <c r="W120" s="289"/>
      <c r="X120" s="289"/>
      <c r="Y120" s="289"/>
      <c r="Z120" s="289"/>
      <c r="AA120" s="272"/>
      <c r="AB120" s="272"/>
      <c r="AC120" s="272"/>
    </row>
    <row r="121" spans="1:68" ht="27" hidden="1" customHeight="1" x14ac:dyDescent="0.25">
      <c r="A121" s="54" t="s">
        <v>210</v>
      </c>
      <c r="B121" s="54" t="s">
        <v>211</v>
      </c>
      <c r="C121" s="31">
        <v>4301071094</v>
      </c>
      <c r="D121" s="280">
        <v>4620207491140</v>
      </c>
      <c r="E121" s="281"/>
      <c r="F121" s="275">
        <v>0.6</v>
      </c>
      <c r="G121" s="32">
        <v>10</v>
      </c>
      <c r="H121" s="275">
        <v>6</v>
      </c>
      <c r="I121" s="275">
        <v>6.28</v>
      </c>
      <c r="J121" s="32">
        <v>84</v>
      </c>
      <c r="K121" s="32" t="s">
        <v>65</v>
      </c>
      <c r="L121" s="32" t="s">
        <v>66</v>
      </c>
      <c r="M121" s="33" t="s">
        <v>67</v>
      </c>
      <c r="N121" s="33"/>
      <c r="O121" s="32">
        <v>180</v>
      </c>
      <c r="P121" s="44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1" s="283"/>
      <c r="R121" s="283"/>
      <c r="S121" s="283"/>
      <c r="T121" s="284"/>
      <c r="U121" s="34"/>
      <c r="V121" s="34"/>
      <c r="W121" s="35" t="s">
        <v>68</v>
      </c>
      <c r="X121" s="276">
        <v>0</v>
      </c>
      <c r="Y121" s="277">
        <f>IFERROR(IF(X121="","",X121),"")</f>
        <v>0</v>
      </c>
      <c r="Z121" s="36">
        <f>IFERROR(IF(X121="","",X121*0.0155),"")</f>
        <v>0</v>
      </c>
      <c r="AA121" s="56"/>
      <c r="AB121" s="57"/>
      <c r="AC121" s="162" t="s">
        <v>212</v>
      </c>
      <c r="AG121" s="67"/>
      <c r="AJ121" s="71" t="s">
        <v>70</v>
      </c>
      <c r="AK121" s="71">
        <v>1</v>
      </c>
      <c r="BB121" s="163" t="s">
        <v>109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hidden="1" x14ac:dyDescent="0.2">
      <c r="A122" s="294"/>
      <c r="B122" s="289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95"/>
      <c r="P122" s="285" t="s">
        <v>87</v>
      </c>
      <c r="Q122" s="286"/>
      <c r="R122" s="286"/>
      <c r="S122" s="286"/>
      <c r="T122" s="286"/>
      <c r="U122" s="286"/>
      <c r="V122" s="287"/>
      <c r="W122" s="37" t="s">
        <v>68</v>
      </c>
      <c r="X122" s="278">
        <f>IFERROR(SUM(X121:X121),"0")</f>
        <v>0</v>
      </c>
      <c r="Y122" s="278">
        <f>IFERROR(SUM(Y121:Y121),"0")</f>
        <v>0</v>
      </c>
      <c r="Z122" s="278">
        <f>IFERROR(IF(Z121="",0,Z121),"0")</f>
        <v>0</v>
      </c>
      <c r="AA122" s="279"/>
      <c r="AB122" s="279"/>
      <c r="AC122" s="279"/>
    </row>
    <row r="123" spans="1:68" hidden="1" x14ac:dyDescent="0.2">
      <c r="A123" s="289"/>
      <c r="B123" s="289"/>
      <c r="C123" s="289"/>
      <c r="D123" s="289"/>
      <c r="E123" s="289"/>
      <c r="F123" s="289"/>
      <c r="G123" s="289"/>
      <c r="H123" s="289"/>
      <c r="I123" s="289"/>
      <c r="J123" s="289"/>
      <c r="K123" s="289"/>
      <c r="L123" s="289"/>
      <c r="M123" s="289"/>
      <c r="N123" s="289"/>
      <c r="O123" s="295"/>
      <c r="P123" s="285" t="s">
        <v>87</v>
      </c>
      <c r="Q123" s="286"/>
      <c r="R123" s="286"/>
      <c r="S123" s="286"/>
      <c r="T123" s="286"/>
      <c r="U123" s="286"/>
      <c r="V123" s="287"/>
      <c r="W123" s="37" t="s">
        <v>88</v>
      </c>
      <c r="X123" s="278">
        <f>IFERROR(SUMPRODUCT(X121:X121*H121:H121),"0")</f>
        <v>0</v>
      </c>
      <c r="Y123" s="278">
        <f>IFERROR(SUMPRODUCT(Y121:Y121*H121:H121),"0")</f>
        <v>0</v>
      </c>
      <c r="Z123" s="37"/>
      <c r="AA123" s="279"/>
      <c r="AB123" s="279"/>
      <c r="AC123" s="279"/>
    </row>
    <row r="124" spans="1:68" ht="16.5" hidden="1" customHeight="1" x14ac:dyDescent="0.25">
      <c r="A124" s="288" t="s">
        <v>213</v>
      </c>
      <c r="B124" s="289"/>
      <c r="C124" s="289"/>
      <c r="D124" s="289"/>
      <c r="E124" s="289"/>
      <c r="F124" s="289"/>
      <c r="G124" s="289"/>
      <c r="H124" s="289"/>
      <c r="I124" s="289"/>
      <c r="J124" s="289"/>
      <c r="K124" s="289"/>
      <c r="L124" s="289"/>
      <c r="M124" s="289"/>
      <c r="N124" s="289"/>
      <c r="O124" s="289"/>
      <c r="P124" s="289"/>
      <c r="Q124" s="289"/>
      <c r="R124" s="289"/>
      <c r="S124" s="289"/>
      <c r="T124" s="289"/>
      <c r="U124" s="289"/>
      <c r="V124" s="289"/>
      <c r="W124" s="289"/>
      <c r="X124" s="289"/>
      <c r="Y124" s="289"/>
      <c r="Z124" s="289"/>
      <c r="AA124" s="271"/>
      <c r="AB124" s="271"/>
      <c r="AC124" s="271"/>
    </row>
    <row r="125" spans="1:68" ht="14.25" hidden="1" customHeight="1" x14ac:dyDescent="0.25">
      <c r="A125" s="311" t="s">
        <v>62</v>
      </c>
      <c r="B125" s="289"/>
      <c r="C125" s="289"/>
      <c r="D125" s="289"/>
      <c r="E125" s="289"/>
      <c r="F125" s="289"/>
      <c r="G125" s="289"/>
      <c r="H125" s="289"/>
      <c r="I125" s="289"/>
      <c r="J125" s="289"/>
      <c r="K125" s="289"/>
      <c r="L125" s="289"/>
      <c r="M125" s="289"/>
      <c r="N125" s="289"/>
      <c r="O125" s="289"/>
      <c r="P125" s="289"/>
      <c r="Q125" s="289"/>
      <c r="R125" s="289"/>
      <c r="S125" s="289"/>
      <c r="T125" s="289"/>
      <c r="U125" s="289"/>
      <c r="V125" s="289"/>
      <c r="W125" s="289"/>
      <c r="X125" s="289"/>
      <c r="Y125" s="289"/>
      <c r="Z125" s="289"/>
      <c r="AA125" s="272"/>
      <c r="AB125" s="272"/>
      <c r="AC125" s="272"/>
    </row>
    <row r="126" spans="1:68" ht="27" hidden="1" customHeight="1" x14ac:dyDescent="0.25">
      <c r="A126" s="54" t="s">
        <v>214</v>
      </c>
      <c r="B126" s="54" t="s">
        <v>215</v>
      </c>
      <c r="C126" s="31">
        <v>4301071142</v>
      </c>
      <c r="D126" s="280">
        <v>4620207491904</v>
      </c>
      <c r="E126" s="281"/>
      <c r="F126" s="275">
        <v>0.56999999999999995</v>
      </c>
      <c r="G126" s="32">
        <v>10</v>
      </c>
      <c r="H126" s="275">
        <v>5.7</v>
      </c>
      <c r="I126" s="275">
        <v>5.98</v>
      </c>
      <c r="J126" s="32">
        <v>84</v>
      </c>
      <c r="K126" s="32" t="s">
        <v>65</v>
      </c>
      <c r="L126" s="32" t="s">
        <v>66</v>
      </c>
      <c r="M126" s="33" t="s">
        <v>67</v>
      </c>
      <c r="N126" s="33"/>
      <c r="O126" s="32">
        <v>180</v>
      </c>
      <c r="P126" s="466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6" s="283"/>
      <c r="R126" s="283"/>
      <c r="S126" s="283"/>
      <c r="T126" s="284"/>
      <c r="U126" s="34"/>
      <c r="V126" s="34"/>
      <c r="W126" s="35" t="s">
        <v>68</v>
      </c>
      <c r="X126" s="276">
        <v>0</v>
      </c>
      <c r="Y126" s="277">
        <f>IFERROR(IF(X126="","",X126),"")</f>
        <v>0</v>
      </c>
      <c r="Z126" s="36">
        <f>IFERROR(IF(X126="","",X126*0.0155),"")</f>
        <v>0</v>
      </c>
      <c r="AA126" s="56"/>
      <c r="AB126" s="57" t="s">
        <v>92</v>
      </c>
      <c r="AC126" s="164" t="s">
        <v>216</v>
      </c>
      <c r="AG126" s="67"/>
      <c r="AJ126" s="71" t="s">
        <v>70</v>
      </c>
      <c r="AK126" s="71">
        <v>1</v>
      </c>
      <c r="BB126" s="165" t="s">
        <v>1</v>
      </c>
      <c r="BM126" s="67">
        <f>IFERROR(X126*I126,"0")</f>
        <v>0</v>
      </c>
      <c r="BN126" s="67">
        <f>IFERROR(Y126*I126,"0")</f>
        <v>0</v>
      </c>
      <c r="BO126" s="67">
        <f>IFERROR(X126/J126,"0")</f>
        <v>0</v>
      </c>
      <c r="BP126" s="67">
        <f>IFERROR(Y126/J126,"0")</f>
        <v>0</v>
      </c>
    </row>
    <row r="127" spans="1:68" hidden="1" x14ac:dyDescent="0.2">
      <c r="A127" s="294"/>
      <c r="B127" s="289"/>
      <c r="C127" s="289"/>
      <c r="D127" s="289"/>
      <c r="E127" s="289"/>
      <c r="F127" s="289"/>
      <c r="G127" s="289"/>
      <c r="H127" s="289"/>
      <c r="I127" s="289"/>
      <c r="J127" s="289"/>
      <c r="K127" s="289"/>
      <c r="L127" s="289"/>
      <c r="M127" s="289"/>
      <c r="N127" s="289"/>
      <c r="O127" s="295"/>
      <c r="P127" s="285" t="s">
        <v>87</v>
      </c>
      <c r="Q127" s="286"/>
      <c r="R127" s="286"/>
      <c r="S127" s="286"/>
      <c r="T127" s="286"/>
      <c r="U127" s="286"/>
      <c r="V127" s="287"/>
      <c r="W127" s="37" t="s">
        <v>68</v>
      </c>
      <c r="X127" s="278">
        <f>IFERROR(SUM(X126:X126),"0")</f>
        <v>0</v>
      </c>
      <c r="Y127" s="278">
        <f>IFERROR(SUM(Y126:Y126),"0")</f>
        <v>0</v>
      </c>
      <c r="Z127" s="278">
        <f>IFERROR(IF(Z126="",0,Z126),"0")</f>
        <v>0</v>
      </c>
      <c r="AA127" s="279"/>
      <c r="AB127" s="279"/>
      <c r="AC127" s="279"/>
    </row>
    <row r="128" spans="1:68" hidden="1" x14ac:dyDescent="0.2">
      <c r="A128" s="289"/>
      <c r="B128" s="289"/>
      <c r="C128" s="289"/>
      <c r="D128" s="289"/>
      <c r="E128" s="289"/>
      <c r="F128" s="289"/>
      <c r="G128" s="289"/>
      <c r="H128" s="289"/>
      <c r="I128" s="289"/>
      <c r="J128" s="289"/>
      <c r="K128" s="289"/>
      <c r="L128" s="289"/>
      <c r="M128" s="289"/>
      <c r="N128" s="289"/>
      <c r="O128" s="295"/>
      <c r="P128" s="285" t="s">
        <v>87</v>
      </c>
      <c r="Q128" s="286"/>
      <c r="R128" s="286"/>
      <c r="S128" s="286"/>
      <c r="T128" s="286"/>
      <c r="U128" s="286"/>
      <c r="V128" s="287"/>
      <c r="W128" s="37" t="s">
        <v>88</v>
      </c>
      <c r="X128" s="278">
        <f>IFERROR(SUMPRODUCT(X126:X126*H126:H126),"0")</f>
        <v>0</v>
      </c>
      <c r="Y128" s="278">
        <f>IFERROR(SUMPRODUCT(Y126:Y126*H126:H126),"0")</f>
        <v>0</v>
      </c>
      <c r="Z128" s="37"/>
      <c r="AA128" s="279"/>
      <c r="AB128" s="279"/>
      <c r="AC128" s="279"/>
    </row>
    <row r="129" spans="1:68" ht="14.25" hidden="1" customHeight="1" x14ac:dyDescent="0.25">
      <c r="A129" s="311" t="s">
        <v>153</v>
      </c>
      <c r="B129" s="289"/>
      <c r="C129" s="289"/>
      <c r="D129" s="289"/>
      <c r="E129" s="289"/>
      <c r="F129" s="289"/>
      <c r="G129" s="289"/>
      <c r="H129" s="289"/>
      <c r="I129" s="289"/>
      <c r="J129" s="289"/>
      <c r="K129" s="289"/>
      <c r="L129" s="289"/>
      <c r="M129" s="289"/>
      <c r="N129" s="289"/>
      <c r="O129" s="289"/>
      <c r="P129" s="289"/>
      <c r="Q129" s="289"/>
      <c r="R129" s="289"/>
      <c r="S129" s="289"/>
      <c r="T129" s="289"/>
      <c r="U129" s="289"/>
      <c r="V129" s="289"/>
      <c r="W129" s="289"/>
      <c r="X129" s="289"/>
      <c r="Y129" s="289"/>
      <c r="Z129" s="289"/>
      <c r="AA129" s="272"/>
      <c r="AB129" s="272"/>
      <c r="AC129" s="272"/>
    </row>
    <row r="130" spans="1:68" ht="27" hidden="1" customHeight="1" x14ac:dyDescent="0.25">
      <c r="A130" s="54" t="s">
        <v>217</v>
      </c>
      <c r="B130" s="54" t="s">
        <v>218</v>
      </c>
      <c r="C130" s="31">
        <v>4301135850</v>
      </c>
      <c r="D130" s="280">
        <v>4620207491492</v>
      </c>
      <c r="E130" s="281"/>
      <c r="F130" s="275">
        <v>0.23</v>
      </c>
      <c r="G130" s="32">
        <v>6</v>
      </c>
      <c r="H130" s="275">
        <v>1.38</v>
      </c>
      <c r="I130" s="275">
        <v>1.8</v>
      </c>
      <c r="J130" s="32">
        <v>140</v>
      </c>
      <c r="K130" s="32" t="s">
        <v>105</v>
      </c>
      <c r="L130" s="32" t="s">
        <v>66</v>
      </c>
      <c r="M130" s="33" t="s">
        <v>67</v>
      </c>
      <c r="N130" s="33"/>
      <c r="O130" s="32">
        <v>180</v>
      </c>
      <c r="P130" s="425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283"/>
      <c r="R130" s="283"/>
      <c r="S130" s="283"/>
      <c r="T130" s="284"/>
      <c r="U130" s="34"/>
      <c r="V130" s="34"/>
      <c r="W130" s="35" t="s">
        <v>68</v>
      </c>
      <c r="X130" s="276">
        <v>0</v>
      </c>
      <c r="Y130" s="277">
        <f>IFERROR(IF(X130="","",X130),"")</f>
        <v>0</v>
      </c>
      <c r="Z130" s="36">
        <f>IFERROR(IF(X130="","",X130*0.00941),"")</f>
        <v>0</v>
      </c>
      <c r="AA130" s="56"/>
      <c r="AB130" s="57"/>
      <c r="AC130" s="166" t="s">
        <v>219</v>
      </c>
      <c r="AG130" s="67"/>
      <c r="AJ130" s="71" t="s">
        <v>70</v>
      </c>
      <c r="AK130" s="71">
        <v>1</v>
      </c>
      <c r="BB130" s="167" t="s">
        <v>109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t="27" customHeight="1" x14ac:dyDescent="0.25">
      <c r="A131" s="54" t="s">
        <v>220</v>
      </c>
      <c r="B131" s="54" t="s">
        <v>221</v>
      </c>
      <c r="C131" s="31">
        <v>4301190118</v>
      </c>
      <c r="D131" s="280">
        <v>4620207491461</v>
      </c>
      <c r="E131" s="281"/>
      <c r="F131" s="275">
        <v>0.22</v>
      </c>
      <c r="G131" s="32">
        <v>6</v>
      </c>
      <c r="H131" s="275">
        <v>1.32</v>
      </c>
      <c r="I131" s="275">
        <v>1.74</v>
      </c>
      <c r="J131" s="32">
        <v>140</v>
      </c>
      <c r="K131" s="32" t="s">
        <v>105</v>
      </c>
      <c r="L131" s="32" t="s">
        <v>66</v>
      </c>
      <c r="M131" s="33" t="s">
        <v>67</v>
      </c>
      <c r="N131" s="33"/>
      <c r="O131" s="32">
        <v>180</v>
      </c>
      <c r="P131" s="345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283"/>
      <c r="R131" s="283"/>
      <c r="S131" s="283"/>
      <c r="T131" s="284"/>
      <c r="U131" s="34"/>
      <c r="V131" s="34"/>
      <c r="W131" s="35" t="s">
        <v>68</v>
      </c>
      <c r="X131" s="276">
        <v>56</v>
      </c>
      <c r="Y131" s="277">
        <f>IFERROR(IF(X131="","",X131),"")</f>
        <v>56</v>
      </c>
      <c r="Z131" s="36">
        <f>IFERROR(IF(X131="","",X131*0.00941),"")</f>
        <v>0.52695999999999998</v>
      </c>
      <c r="AA131" s="56"/>
      <c r="AB131" s="57"/>
      <c r="AC131" s="168" t="s">
        <v>219</v>
      </c>
      <c r="AG131" s="67"/>
      <c r="AJ131" s="71" t="s">
        <v>70</v>
      </c>
      <c r="AK131" s="71">
        <v>1</v>
      </c>
      <c r="BB131" s="169" t="s">
        <v>109</v>
      </c>
      <c r="BM131" s="67">
        <f>IFERROR(X131*I131,"0")</f>
        <v>97.44</v>
      </c>
      <c r="BN131" s="67">
        <f>IFERROR(Y131*I131,"0")</f>
        <v>97.44</v>
      </c>
      <c r="BO131" s="67">
        <f>IFERROR(X131/J131,"0")</f>
        <v>0.4</v>
      </c>
      <c r="BP131" s="67">
        <f>IFERROR(Y131/J131,"0")</f>
        <v>0.4</v>
      </c>
    </row>
    <row r="132" spans="1:68" ht="27" customHeight="1" x14ac:dyDescent="0.25">
      <c r="A132" s="54" t="s">
        <v>222</v>
      </c>
      <c r="B132" s="54" t="s">
        <v>223</v>
      </c>
      <c r="C132" s="31">
        <v>4301135865</v>
      </c>
      <c r="D132" s="280">
        <v>4620207491485</v>
      </c>
      <c r="E132" s="281"/>
      <c r="F132" s="275">
        <v>0.23</v>
      </c>
      <c r="G132" s="32">
        <v>6</v>
      </c>
      <c r="H132" s="275">
        <v>1.38</v>
      </c>
      <c r="I132" s="275">
        <v>1.8</v>
      </c>
      <c r="J132" s="32">
        <v>140</v>
      </c>
      <c r="K132" s="32" t="s">
        <v>105</v>
      </c>
      <c r="L132" s="32" t="s">
        <v>66</v>
      </c>
      <c r="M132" s="33" t="s">
        <v>67</v>
      </c>
      <c r="N132" s="33"/>
      <c r="O132" s="32">
        <v>180</v>
      </c>
      <c r="P132" s="364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283"/>
      <c r="R132" s="283"/>
      <c r="S132" s="283"/>
      <c r="T132" s="284"/>
      <c r="U132" s="34"/>
      <c r="V132" s="34"/>
      <c r="W132" s="35" t="s">
        <v>68</v>
      </c>
      <c r="X132" s="276">
        <v>14</v>
      </c>
      <c r="Y132" s="277">
        <f>IFERROR(IF(X132="","",X132),"")</f>
        <v>14</v>
      </c>
      <c r="Z132" s="36">
        <f>IFERROR(IF(X132="","",X132*0.00941),"")</f>
        <v>0.13174</v>
      </c>
      <c r="AA132" s="56"/>
      <c r="AB132" s="57"/>
      <c r="AC132" s="170" t="s">
        <v>219</v>
      </c>
      <c r="AG132" s="67"/>
      <c r="AJ132" s="71" t="s">
        <v>70</v>
      </c>
      <c r="AK132" s="71">
        <v>1</v>
      </c>
      <c r="BB132" s="171" t="s">
        <v>109</v>
      </c>
      <c r="BM132" s="67">
        <f>IFERROR(X132*I132,"0")</f>
        <v>25.2</v>
      </c>
      <c r="BN132" s="67">
        <f>IFERROR(Y132*I132,"0")</f>
        <v>25.2</v>
      </c>
      <c r="BO132" s="67">
        <f>IFERROR(X132/J132,"0")</f>
        <v>0.1</v>
      </c>
      <c r="BP132" s="67">
        <f>IFERROR(Y132/J132,"0")</f>
        <v>0.1</v>
      </c>
    </row>
    <row r="133" spans="1:68" ht="27" hidden="1" customHeight="1" x14ac:dyDescent="0.25">
      <c r="A133" s="54" t="s">
        <v>224</v>
      </c>
      <c r="B133" s="54" t="s">
        <v>225</v>
      </c>
      <c r="C133" s="31">
        <v>4301135848</v>
      </c>
      <c r="D133" s="280">
        <v>4620207491799</v>
      </c>
      <c r="E133" s="281"/>
      <c r="F133" s="275">
        <v>0.23</v>
      </c>
      <c r="G133" s="32">
        <v>6</v>
      </c>
      <c r="H133" s="275">
        <v>1.38</v>
      </c>
      <c r="I133" s="275">
        <v>1.8</v>
      </c>
      <c r="J133" s="32">
        <v>140</v>
      </c>
      <c r="K133" s="32" t="s">
        <v>105</v>
      </c>
      <c r="L133" s="32" t="s">
        <v>66</v>
      </c>
      <c r="M133" s="33" t="s">
        <v>67</v>
      </c>
      <c r="N133" s="33"/>
      <c r="O133" s="32">
        <v>180</v>
      </c>
      <c r="P133" s="439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3" s="283"/>
      <c r="R133" s="283"/>
      <c r="S133" s="283"/>
      <c r="T133" s="284"/>
      <c r="U133" s="34"/>
      <c r="V133" s="34"/>
      <c r="W133" s="35" t="s">
        <v>68</v>
      </c>
      <c r="X133" s="276">
        <v>0</v>
      </c>
      <c r="Y133" s="277">
        <f>IFERROR(IF(X133="","",X133),"")</f>
        <v>0</v>
      </c>
      <c r="Z133" s="36">
        <f>IFERROR(IF(X133="","",X133*0.00941),"")</f>
        <v>0</v>
      </c>
      <c r="AA133" s="56"/>
      <c r="AB133" s="57"/>
      <c r="AC133" s="172" t="s">
        <v>219</v>
      </c>
      <c r="AG133" s="67"/>
      <c r="AJ133" s="71" t="s">
        <v>70</v>
      </c>
      <c r="AK133" s="71">
        <v>1</v>
      </c>
      <c r="BB133" s="173" t="s">
        <v>109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x14ac:dyDescent="0.2">
      <c r="A134" s="294"/>
      <c r="B134" s="289"/>
      <c r="C134" s="289"/>
      <c r="D134" s="289"/>
      <c r="E134" s="289"/>
      <c r="F134" s="289"/>
      <c r="G134" s="289"/>
      <c r="H134" s="289"/>
      <c r="I134" s="289"/>
      <c r="J134" s="289"/>
      <c r="K134" s="289"/>
      <c r="L134" s="289"/>
      <c r="M134" s="289"/>
      <c r="N134" s="289"/>
      <c r="O134" s="295"/>
      <c r="P134" s="285" t="s">
        <v>87</v>
      </c>
      <c r="Q134" s="286"/>
      <c r="R134" s="286"/>
      <c r="S134" s="286"/>
      <c r="T134" s="286"/>
      <c r="U134" s="286"/>
      <c r="V134" s="287"/>
      <c r="W134" s="37" t="s">
        <v>68</v>
      </c>
      <c r="X134" s="278">
        <f>IFERROR(SUM(X130:X133),"0")</f>
        <v>70</v>
      </c>
      <c r="Y134" s="278">
        <f>IFERROR(SUM(Y130:Y133),"0")</f>
        <v>70</v>
      </c>
      <c r="Z134" s="278">
        <f>IFERROR(IF(Z130="",0,Z130),"0")+IFERROR(IF(Z131="",0,Z131),"0")+IFERROR(IF(Z132="",0,Z132),"0")+IFERROR(IF(Z133="",0,Z133),"0")</f>
        <v>0.65869999999999995</v>
      </c>
      <c r="AA134" s="279"/>
      <c r="AB134" s="279"/>
      <c r="AC134" s="279"/>
    </row>
    <row r="135" spans="1:68" x14ac:dyDescent="0.2">
      <c r="A135" s="289"/>
      <c r="B135" s="289"/>
      <c r="C135" s="289"/>
      <c r="D135" s="289"/>
      <c r="E135" s="289"/>
      <c r="F135" s="289"/>
      <c r="G135" s="289"/>
      <c r="H135" s="289"/>
      <c r="I135" s="289"/>
      <c r="J135" s="289"/>
      <c r="K135" s="289"/>
      <c r="L135" s="289"/>
      <c r="M135" s="289"/>
      <c r="N135" s="289"/>
      <c r="O135" s="295"/>
      <c r="P135" s="285" t="s">
        <v>87</v>
      </c>
      <c r="Q135" s="286"/>
      <c r="R135" s="286"/>
      <c r="S135" s="286"/>
      <c r="T135" s="286"/>
      <c r="U135" s="286"/>
      <c r="V135" s="287"/>
      <c r="W135" s="37" t="s">
        <v>88</v>
      </c>
      <c r="X135" s="278">
        <f>IFERROR(SUMPRODUCT(X130:X133*H130:H133),"0")</f>
        <v>93.240000000000009</v>
      </c>
      <c r="Y135" s="278">
        <f>IFERROR(SUMPRODUCT(Y130:Y133*H130:H133),"0")</f>
        <v>93.240000000000009</v>
      </c>
      <c r="Z135" s="37"/>
      <c r="AA135" s="279"/>
      <c r="AB135" s="279"/>
      <c r="AC135" s="279"/>
    </row>
    <row r="136" spans="1:68" ht="14.25" hidden="1" customHeight="1" x14ac:dyDescent="0.25">
      <c r="A136" s="311" t="s">
        <v>226</v>
      </c>
      <c r="B136" s="289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89"/>
      <c r="P136" s="289"/>
      <c r="Q136" s="289"/>
      <c r="R136" s="289"/>
      <c r="S136" s="289"/>
      <c r="T136" s="289"/>
      <c r="U136" s="289"/>
      <c r="V136" s="289"/>
      <c r="W136" s="289"/>
      <c r="X136" s="289"/>
      <c r="Y136" s="289"/>
      <c r="Z136" s="289"/>
      <c r="AA136" s="272"/>
      <c r="AB136" s="272"/>
      <c r="AC136" s="272"/>
    </row>
    <row r="137" spans="1:68" ht="27" hidden="1" customHeight="1" x14ac:dyDescent="0.25">
      <c r="A137" s="54" t="s">
        <v>227</v>
      </c>
      <c r="B137" s="54" t="s">
        <v>228</v>
      </c>
      <c r="C137" s="31">
        <v>4301190117</v>
      </c>
      <c r="D137" s="280">
        <v>4620207491386</v>
      </c>
      <c r="E137" s="281"/>
      <c r="F137" s="275">
        <v>0.18</v>
      </c>
      <c r="G137" s="32">
        <v>6</v>
      </c>
      <c r="H137" s="275">
        <v>1.08</v>
      </c>
      <c r="I137" s="275">
        <v>1.3979999999999999</v>
      </c>
      <c r="J137" s="32">
        <v>140</v>
      </c>
      <c r="K137" s="32" t="s">
        <v>105</v>
      </c>
      <c r="L137" s="32" t="s">
        <v>66</v>
      </c>
      <c r="M137" s="33" t="s">
        <v>67</v>
      </c>
      <c r="N137" s="33"/>
      <c r="O137" s="32">
        <v>180</v>
      </c>
      <c r="P137" s="360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83"/>
      <c r="R137" s="283"/>
      <c r="S137" s="283"/>
      <c r="T137" s="284"/>
      <c r="U137" s="34"/>
      <c r="V137" s="34"/>
      <c r="W137" s="35" t="s">
        <v>68</v>
      </c>
      <c r="X137" s="276">
        <v>0</v>
      </c>
      <c r="Y137" s="277">
        <f>IFERROR(IF(X137="","",X137),"")</f>
        <v>0</v>
      </c>
      <c r="Z137" s="36">
        <f>IFERROR(IF(X137="","",X137*0.00941),"")</f>
        <v>0</v>
      </c>
      <c r="AA137" s="56"/>
      <c r="AB137" s="57"/>
      <c r="AC137" s="174" t="s">
        <v>229</v>
      </c>
      <c r="AG137" s="67"/>
      <c r="AJ137" s="71" t="s">
        <v>70</v>
      </c>
      <c r="AK137" s="71">
        <v>1</v>
      </c>
      <c r="BB137" s="175" t="s">
        <v>109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hidden="1" customHeight="1" x14ac:dyDescent="0.25">
      <c r="A138" s="54" t="s">
        <v>230</v>
      </c>
      <c r="B138" s="54" t="s">
        <v>231</v>
      </c>
      <c r="C138" s="31">
        <v>4301190115</v>
      </c>
      <c r="D138" s="280">
        <v>4620207491362</v>
      </c>
      <c r="E138" s="281"/>
      <c r="F138" s="275">
        <v>0.18</v>
      </c>
      <c r="G138" s="32">
        <v>6</v>
      </c>
      <c r="H138" s="275">
        <v>1.08</v>
      </c>
      <c r="I138" s="275">
        <v>1.3979999999999999</v>
      </c>
      <c r="J138" s="32">
        <v>140</v>
      </c>
      <c r="K138" s="32" t="s">
        <v>105</v>
      </c>
      <c r="L138" s="32" t="s">
        <v>66</v>
      </c>
      <c r="M138" s="33" t="s">
        <v>67</v>
      </c>
      <c r="N138" s="33"/>
      <c r="O138" s="32">
        <v>180</v>
      </c>
      <c r="P138" s="373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83"/>
      <c r="R138" s="283"/>
      <c r="S138" s="283"/>
      <c r="T138" s="284"/>
      <c r="U138" s="34"/>
      <c r="V138" s="34"/>
      <c r="W138" s="35" t="s">
        <v>68</v>
      </c>
      <c r="X138" s="276">
        <v>0</v>
      </c>
      <c r="Y138" s="277">
        <f>IFERROR(IF(X138="","",X138),"")</f>
        <v>0</v>
      </c>
      <c r="Z138" s="36">
        <f>IFERROR(IF(X138="","",X138*0.00941),"")</f>
        <v>0</v>
      </c>
      <c r="AA138" s="56"/>
      <c r="AB138" s="57"/>
      <c r="AC138" s="176" t="s">
        <v>229</v>
      </c>
      <c r="AG138" s="67"/>
      <c r="AJ138" s="71" t="s">
        <v>70</v>
      </c>
      <c r="AK138" s="71">
        <v>1</v>
      </c>
      <c r="BB138" s="177" t="s">
        <v>109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hidden="1" customHeight="1" x14ac:dyDescent="0.25">
      <c r="A139" s="54" t="s">
        <v>232</v>
      </c>
      <c r="B139" s="54" t="s">
        <v>233</v>
      </c>
      <c r="C139" s="31">
        <v>4301190116</v>
      </c>
      <c r="D139" s="280">
        <v>4620207491379</v>
      </c>
      <c r="E139" s="281"/>
      <c r="F139" s="275">
        <v>0.18</v>
      </c>
      <c r="G139" s="32">
        <v>6</v>
      </c>
      <c r="H139" s="275">
        <v>1.08</v>
      </c>
      <c r="I139" s="275">
        <v>1.3979999999999999</v>
      </c>
      <c r="J139" s="32">
        <v>140</v>
      </c>
      <c r="K139" s="32" t="s">
        <v>105</v>
      </c>
      <c r="L139" s="32" t="s">
        <v>66</v>
      </c>
      <c r="M139" s="33" t="s">
        <v>67</v>
      </c>
      <c r="N139" s="33"/>
      <c r="O139" s="32">
        <v>180</v>
      </c>
      <c r="P139" s="431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83"/>
      <c r="R139" s="283"/>
      <c r="S139" s="283"/>
      <c r="T139" s="284"/>
      <c r="U139" s="34"/>
      <c r="V139" s="34"/>
      <c r="W139" s="35" t="s">
        <v>68</v>
      </c>
      <c r="X139" s="276">
        <v>0</v>
      </c>
      <c r="Y139" s="277">
        <f>IFERROR(IF(X139="","",X139),"")</f>
        <v>0</v>
      </c>
      <c r="Z139" s="36">
        <f>IFERROR(IF(X139="","",X139*0.00941),"")</f>
        <v>0</v>
      </c>
      <c r="AA139" s="56"/>
      <c r="AB139" s="57"/>
      <c r="AC139" s="178" t="s">
        <v>229</v>
      </c>
      <c r="AG139" s="67"/>
      <c r="AJ139" s="71" t="s">
        <v>70</v>
      </c>
      <c r="AK139" s="71">
        <v>1</v>
      </c>
      <c r="BB139" s="179" t="s">
        <v>109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idden="1" x14ac:dyDescent="0.2">
      <c r="A140" s="294"/>
      <c r="B140" s="289"/>
      <c r="C140" s="289"/>
      <c r="D140" s="289"/>
      <c r="E140" s="289"/>
      <c r="F140" s="289"/>
      <c r="G140" s="289"/>
      <c r="H140" s="289"/>
      <c r="I140" s="289"/>
      <c r="J140" s="289"/>
      <c r="K140" s="289"/>
      <c r="L140" s="289"/>
      <c r="M140" s="289"/>
      <c r="N140" s="289"/>
      <c r="O140" s="295"/>
      <c r="P140" s="285" t="s">
        <v>87</v>
      </c>
      <c r="Q140" s="286"/>
      <c r="R140" s="286"/>
      <c r="S140" s="286"/>
      <c r="T140" s="286"/>
      <c r="U140" s="286"/>
      <c r="V140" s="287"/>
      <c r="W140" s="37" t="s">
        <v>68</v>
      </c>
      <c r="X140" s="278">
        <f>IFERROR(SUM(X137:X139),"0")</f>
        <v>0</v>
      </c>
      <c r="Y140" s="278">
        <f>IFERROR(SUM(Y137:Y139),"0")</f>
        <v>0</v>
      </c>
      <c r="Z140" s="278">
        <f>IFERROR(IF(Z137="",0,Z137),"0")+IFERROR(IF(Z138="",0,Z138),"0")+IFERROR(IF(Z139="",0,Z139),"0")</f>
        <v>0</v>
      </c>
      <c r="AA140" s="279"/>
      <c r="AB140" s="279"/>
      <c r="AC140" s="279"/>
    </row>
    <row r="141" spans="1:68" hidden="1" x14ac:dyDescent="0.2">
      <c r="A141" s="289"/>
      <c r="B141" s="289"/>
      <c r="C141" s="289"/>
      <c r="D141" s="289"/>
      <c r="E141" s="289"/>
      <c r="F141" s="289"/>
      <c r="G141" s="289"/>
      <c r="H141" s="289"/>
      <c r="I141" s="289"/>
      <c r="J141" s="289"/>
      <c r="K141" s="289"/>
      <c r="L141" s="289"/>
      <c r="M141" s="289"/>
      <c r="N141" s="289"/>
      <c r="O141" s="295"/>
      <c r="P141" s="285" t="s">
        <v>87</v>
      </c>
      <c r="Q141" s="286"/>
      <c r="R141" s="286"/>
      <c r="S141" s="286"/>
      <c r="T141" s="286"/>
      <c r="U141" s="286"/>
      <c r="V141" s="287"/>
      <c r="W141" s="37" t="s">
        <v>88</v>
      </c>
      <c r="X141" s="278">
        <f>IFERROR(SUMPRODUCT(X137:X139*H137:H139),"0")</f>
        <v>0</v>
      </c>
      <c r="Y141" s="278">
        <f>IFERROR(SUMPRODUCT(Y137:Y139*H137:H139),"0")</f>
        <v>0</v>
      </c>
      <c r="Z141" s="37"/>
      <c r="AA141" s="279"/>
      <c r="AB141" s="279"/>
      <c r="AC141" s="279"/>
    </row>
    <row r="142" spans="1:68" ht="16.5" hidden="1" customHeight="1" x14ac:dyDescent="0.25">
      <c r="A142" s="288" t="s">
        <v>234</v>
      </c>
      <c r="B142" s="289"/>
      <c r="C142" s="289"/>
      <c r="D142" s="289"/>
      <c r="E142" s="289"/>
      <c r="F142" s="289"/>
      <c r="G142" s="289"/>
      <c r="H142" s="289"/>
      <c r="I142" s="289"/>
      <c r="J142" s="289"/>
      <c r="K142" s="289"/>
      <c r="L142" s="289"/>
      <c r="M142" s="289"/>
      <c r="N142" s="289"/>
      <c r="O142" s="289"/>
      <c r="P142" s="289"/>
      <c r="Q142" s="289"/>
      <c r="R142" s="289"/>
      <c r="S142" s="289"/>
      <c r="T142" s="289"/>
      <c r="U142" s="289"/>
      <c r="V142" s="289"/>
      <c r="W142" s="289"/>
      <c r="X142" s="289"/>
      <c r="Y142" s="289"/>
      <c r="Z142" s="289"/>
      <c r="AA142" s="271"/>
      <c r="AB142" s="271"/>
      <c r="AC142" s="271"/>
    </row>
    <row r="143" spans="1:68" ht="14.25" hidden="1" customHeight="1" x14ac:dyDescent="0.25">
      <c r="A143" s="311" t="s">
        <v>153</v>
      </c>
      <c r="B143" s="289"/>
      <c r="C143" s="289"/>
      <c r="D143" s="289"/>
      <c r="E143" s="289"/>
      <c r="F143" s="289"/>
      <c r="G143" s="289"/>
      <c r="H143" s="289"/>
      <c r="I143" s="289"/>
      <c r="J143" s="289"/>
      <c r="K143" s="289"/>
      <c r="L143" s="289"/>
      <c r="M143" s="289"/>
      <c r="N143" s="289"/>
      <c r="O143" s="289"/>
      <c r="P143" s="289"/>
      <c r="Q143" s="289"/>
      <c r="R143" s="289"/>
      <c r="S143" s="289"/>
      <c r="T143" s="289"/>
      <c r="U143" s="289"/>
      <c r="V143" s="289"/>
      <c r="W143" s="289"/>
      <c r="X143" s="289"/>
      <c r="Y143" s="289"/>
      <c r="Z143" s="289"/>
      <c r="AA143" s="272"/>
      <c r="AB143" s="272"/>
      <c r="AC143" s="272"/>
    </row>
    <row r="144" spans="1:68" ht="27" customHeight="1" x14ac:dyDescent="0.25">
      <c r="A144" s="54" t="s">
        <v>235</v>
      </c>
      <c r="B144" s="54" t="s">
        <v>236</v>
      </c>
      <c r="C144" s="31">
        <v>4301135956</v>
      </c>
      <c r="D144" s="280">
        <v>4620207491560</v>
      </c>
      <c r="E144" s="281"/>
      <c r="F144" s="275">
        <v>0.25</v>
      </c>
      <c r="G144" s="32">
        <v>12</v>
      </c>
      <c r="H144" s="275">
        <v>3</v>
      </c>
      <c r="I144" s="275">
        <v>3.7035999999999998</v>
      </c>
      <c r="J144" s="32">
        <v>70</v>
      </c>
      <c r="K144" s="32" t="s">
        <v>105</v>
      </c>
      <c r="L144" s="32" t="s">
        <v>66</v>
      </c>
      <c r="M144" s="33" t="s">
        <v>67</v>
      </c>
      <c r="N144" s="33"/>
      <c r="O144" s="32">
        <v>180</v>
      </c>
      <c r="P144" s="282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4" s="283"/>
      <c r="R144" s="283"/>
      <c r="S144" s="283"/>
      <c r="T144" s="284"/>
      <c r="U144" s="34"/>
      <c r="V144" s="34"/>
      <c r="W144" s="35" t="s">
        <v>68</v>
      </c>
      <c r="X144" s="276">
        <v>28</v>
      </c>
      <c r="Y144" s="277">
        <f>IFERROR(IF(X144="","",X144),"")</f>
        <v>28</v>
      </c>
      <c r="Z144" s="36">
        <f>IFERROR(IF(X144="","",X144*0.01788),"")</f>
        <v>0.50063999999999997</v>
      </c>
      <c r="AA144" s="56"/>
      <c r="AB144" s="57"/>
      <c r="AC144" s="180" t="s">
        <v>237</v>
      </c>
      <c r="AG144" s="67"/>
      <c r="AJ144" s="71" t="s">
        <v>70</v>
      </c>
      <c r="AK144" s="71">
        <v>1</v>
      </c>
      <c r="BB144" s="181" t="s">
        <v>109</v>
      </c>
      <c r="BM144" s="67">
        <f>IFERROR(X144*I144,"0")</f>
        <v>103.70079999999999</v>
      </c>
      <c r="BN144" s="67">
        <f>IFERROR(Y144*I144,"0")</f>
        <v>103.70079999999999</v>
      </c>
      <c r="BO144" s="67">
        <f>IFERROR(X144/J144,"0")</f>
        <v>0.4</v>
      </c>
      <c r="BP144" s="67">
        <f>IFERROR(Y144/J144,"0")</f>
        <v>0.4</v>
      </c>
    </row>
    <row r="145" spans="1:68" ht="27" customHeight="1" x14ac:dyDescent="0.25">
      <c r="A145" s="54" t="s">
        <v>238</v>
      </c>
      <c r="B145" s="54" t="s">
        <v>239</v>
      </c>
      <c r="C145" s="31">
        <v>4301135962</v>
      </c>
      <c r="D145" s="280">
        <v>4620207491584</v>
      </c>
      <c r="E145" s="281"/>
      <c r="F145" s="275">
        <v>0.25</v>
      </c>
      <c r="G145" s="32">
        <v>12</v>
      </c>
      <c r="H145" s="275">
        <v>3</v>
      </c>
      <c r="I145" s="275">
        <v>3.7035999999999998</v>
      </c>
      <c r="J145" s="32">
        <v>70</v>
      </c>
      <c r="K145" s="32" t="s">
        <v>105</v>
      </c>
      <c r="L145" s="32" t="s">
        <v>66</v>
      </c>
      <c r="M145" s="33" t="s">
        <v>67</v>
      </c>
      <c r="N145" s="33"/>
      <c r="O145" s="32">
        <v>180</v>
      </c>
      <c r="P145" s="314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5" s="283"/>
      <c r="R145" s="283"/>
      <c r="S145" s="283"/>
      <c r="T145" s="284"/>
      <c r="U145" s="34"/>
      <c r="V145" s="34"/>
      <c r="W145" s="35" t="s">
        <v>68</v>
      </c>
      <c r="X145" s="276">
        <v>28</v>
      </c>
      <c r="Y145" s="277">
        <f>IFERROR(IF(X145="","",X145),"")</f>
        <v>28</v>
      </c>
      <c r="Z145" s="36">
        <f>IFERROR(IF(X145="","",X145*0.01788),"")</f>
        <v>0.50063999999999997</v>
      </c>
      <c r="AA145" s="56"/>
      <c r="AB145" s="57"/>
      <c r="AC145" s="182" t="s">
        <v>237</v>
      </c>
      <c r="AG145" s="67"/>
      <c r="AJ145" s="71" t="s">
        <v>70</v>
      </c>
      <c r="AK145" s="71">
        <v>1</v>
      </c>
      <c r="BB145" s="183" t="s">
        <v>109</v>
      </c>
      <c r="BM145" s="67">
        <f>IFERROR(X145*I145,"0")</f>
        <v>103.70079999999999</v>
      </c>
      <c r="BN145" s="67">
        <f>IFERROR(Y145*I145,"0")</f>
        <v>103.70079999999999</v>
      </c>
      <c r="BO145" s="67">
        <f>IFERROR(X145/J145,"0")</f>
        <v>0.4</v>
      </c>
      <c r="BP145" s="67">
        <f>IFERROR(Y145/J145,"0")</f>
        <v>0.4</v>
      </c>
    </row>
    <row r="146" spans="1:68" x14ac:dyDescent="0.2">
      <c r="A146" s="294"/>
      <c r="B146" s="289"/>
      <c r="C146" s="289"/>
      <c r="D146" s="289"/>
      <c r="E146" s="289"/>
      <c r="F146" s="289"/>
      <c r="G146" s="289"/>
      <c r="H146" s="289"/>
      <c r="I146" s="289"/>
      <c r="J146" s="289"/>
      <c r="K146" s="289"/>
      <c r="L146" s="289"/>
      <c r="M146" s="289"/>
      <c r="N146" s="289"/>
      <c r="O146" s="295"/>
      <c r="P146" s="285" t="s">
        <v>87</v>
      </c>
      <c r="Q146" s="286"/>
      <c r="R146" s="286"/>
      <c r="S146" s="286"/>
      <c r="T146" s="286"/>
      <c r="U146" s="286"/>
      <c r="V146" s="287"/>
      <c r="W146" s="37" t="s">
        <v>68</v>
      </c>
      <c r="X146" s="278">
        <f>IFERROR(SUM(X144:X145),"0")</f>
        <v>56</v>
      </c>
      <c r="Y146" s="278">
        <f>IFERROR(SUM(Y144:Y145),"0")</f>
        <v>56</v>
      </c>
      <c r="Z146" s="278">
        <f>IFERROR(IF(Z144="",0,Z144),"0")+IFERROR(IF(Z145="",0,Z145),"0")</f>
        <v>1.0012799999999999</v>
      </c>
      <c r="AA146" s="279"/>
      <c r="AB146" s="279"/>
      <c r="AC146" s="279"/>
    </row>
    <row r="147" spans="1:68" x14ac:dyDescent="0.2">
      <c r="A147" s="289"/>
      <c r="B147" s="289"/>
      <c r="C147" s="289"/>
      <c r="D147" s="289"/>
      <c r="E147" s="289"/>
      <c r="F147" s="289"/>
      <c r="G147" s="289"/>
      <c r="H147" s="289"/>
      <c r="I147" s="289"/>
      <c r="J147" s="289"/>
      <c r="K147" s="289"/>
      <c r="L147" s="289"/>
      <c r="M147" s="289"/>
      <c r="N147" s="289"/>
      <c r="O147" s="295"/>
      <c r="P147" s="285" t="s">
        <v>87</v>
      </c>
      <c r="Q147" s="286"/>
      <c r="R147" s="286"/>
      <c r="S147" s="286"/>
      <c r="T147" s="286"/>
      <c r="U147" s="286"/>
      <c r="V147" s="287"/>
      <c r="W147" s="37" t="s">
        <v>88</v>
      </c>
      <c r="X147" s="278">
        <f>IFERROR(SUMPRODUCT(X144:X145*H144:H145),"0")</f>
        <v>168</v>
      </c>
      <c r="Y147" s="278">
        <f>IFERROR(SUMPRODUCT(Y144:Y145*H144:H145),"0")</f>
        <v>168</v>
      </c>
      <c r="Z147" s="37"/>
      <c r="AA147" s="279"/>
      <c r="AB147" s="279"/>
      <c r="AC147" s="279"/>
    </row>
    <row r="148" spans="1:68" ht="16.5" hidden="1" customHeight="1" x14ac:dyDescent="0.25">
      <c r="A148" s="288" t="s">
        <v>240</v>
      </c>
      <c r="B148" s="289"/>
      <c r="C148" s="289"/>
      <c r="D148" s="289"/>
      <c r="E148" s="289"/>
      <c r="F148" s="289"/>
      <c r="G148" s="289"/>
      <c r="H148" s="289"/>
      <c r="I148" s="289"/>
      <c r="J148" s="289"/>
      <c r="K148" s="289"/>
      <c r="L148" s="289"/>
      <c r="M148" s="289"/>
      <c r="N148" s="289"/>
      <c r="O148" s="289"/>
      <c r="P148" s="289"/>
      <c r="Q148" s="289"/>
      <c r="R148" s="289"/>
      <c r="S148" s="289"/>
      <c r="T148" s="289"/>
      <c r="U148" s="289"/>
      <c r="V148" s="289"/>
      <c r="W148" s="289"/>
      <c r="X148" s="289"/>
      <c r="Y148" s="289"/>
      <c r="Z148" s="289"/>
      <c r="AA148" s="271"/>
      <c r="AB148" s="271"/>
      <c r="AC148" s="271"/>
    </row>
    <row r="149" spans="1:68" ht="14.25" hidden="1" customHeight="1" x14ac:dyDescent="0.25">
      <c r="A149" s="311" t="s">
        <v>153</v>
      </c>
      <c r="B149" s="289"/>
      <c r="C149" s="289"/>
      <c r="D149" s="289"/>
      <c r="E149" s="289"/>
      <c r="F149" s="289"/>
      <c r="G149" s="289"/>
      <c r="H149" s="289"/>
      <c r="I149" s="289"/>
      <c r="J149" s="289"/>
      <c r="K149" s="289"/>
      <c r="L149" s="289"/>
      <c r="M149" s="289"/>
      <c r="N149" s="289"/>
      <c r="O149" s="289"/>
      <c r="P149" s="289"/>
      <c r="Q149" s="289"/>
      <c r="R149" s="289"/>
      <c r="S149" s="289"/>
      <c r="T149" s="289"/>
      <c r="U149" s="289"/>
      <c r="V149" s="289"/>
      <c r="W149" s="289"/>
      <c r="X149" s="289"/>
      <c r="Y149" s="289"/>
      <c r="Z149" s="289"/>
      <c r="AA149" s="272"/>
      <c r="AB149" s="272"/>
      <c r="AC149" s="272"/>
    </row>
    <row r="150" spans="1:68" ht="27" customHeight="1" x14ac:dyDescent="0.25">
      <c r="A150" s="54" t="s">
        <v>241</v>
      </c>
      <c r="B150" s="54" t="s">
        <v>242</v>
      </c>
      <c r="C150" s="31">
        <v>4301135954</v>
      </c>
      <c r="D150" s="280">
        <v>4620207491768</v>
      </c>
      <c r="E150" s="281"/>
      <c r="F150" s="275">
        <v>0.25</v>
      </c>
      <c r="G150" s="32">
        <v>12</v>
      </c>
      <c r="H150" s="275">
        <v>3</v>
      </c>
      <c r="I150" s="275">
        <v>3.7480000000000002</v>
      </c>
      <c r="J150" s="32">
        <v>70</v>
      </c>
      <c r="K150" s="32" t="s">
        <v>105</v>
      </c>
      <c r="L150" s="32" t="s">
        <v>66</v>
      </c>
      <c r="M150" s="33" t="s">
        <v>67</v>
      </c>
      <c r="N150" s="33"/>
      <c r="O150" s="32">
        <v>180</v>
      </c>
      <c r="P150" s="302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0" s="283"/>
      <c r="R150" s="283"/>
      <c r="S150" s="283"/>
      <c r="T150" s="284"/>
      <c r="U150" s="34"/>
      <c r="V150" s="34"/>
      <c r="W150" s="35" t="s">
        <v>68</v>
      </c>
      <c r="X150" s="276">
        <v>14</v>
      </c>
      <c r="Y150" s="277">
        <f>IFERROR(IF(X150="","",X150),"")</f>
        <v>14</v>
      </c>
      <c r="Z150" s="36">
        <f>IFERROR(IF(X150="","",X150*0.01788),"")</f>
        <v>0.25031999999999999</v>
      </c>
      <c r="AA150" s="56"/>
      <c r="AB150" s="57"/>
      <c r="AC150" s="184" t="s">
        <v>243</v>
      </c>
      <c r="AG150" s="67"/>
      <c r="AJ150" s="71" t="s">
        <v>70</v>
      </c>
      <c r="AK150" s="71">
        <v>1</v>
      </c>
      <c r="BB150" s="185" t="s">
        <v>109</v>
      </c>
      <c r="BM150" s="67">
        <f>IFERROR(X150*I150,"0")</f>
        <v>52.472000000000001</v>
      </c>
      <c r="BN150" s="67">
        <f>IFERROR(Y150*I150,"0")</f>
        <v>52.472000000000001</v>
      </c>
      <c r="BO150" s="67">
        <f>IFERROR(X150/J150,"0")</f>
        <v>0.2</v>
      </c>
      <c r="BP150" s="67">
        <f>IFERROR(Y150/J150,"0")</f>
        <v>0.2</v>
      </c>
    </row>
    <row r="151" spans="1:68" ht="16.5" customHeight="1" x14ac:dyDescent="0.25">
      <c r="A151" s="54" t="s">
        <v>244</v>
      </c>
      <c r="B151" s="54" t="s">
        <v>245</v>
      </c>
      <c r="C151" s="31">
        <v>4301135946</v>
      </c>
      <c r="D151" s="280">
        <v>4620207491553</v>
      </c>
      <c r="E151" s="281"/>
      <c r="F151" s="275">
        <v>0.25</v>
      </c>
      <c r="G151" s="32">
        <v>12</v>
      </c>
      <c r="H151" s="275">
        <v>3</v>
      </c>
      <c r="I151" s="275">
        <v>3.7035999999999998</v>
      </c>
      <c r="J151" s="32">
        <v>70</v>
      </c>
      <c r="K151" s="32" t="s">
        <v>105</v>
      </c>
      <c r="L151" s="32" t="s">
        <v>66</v>
      </c>
      <c r="M151" s="33" t="s">
        <v>67</v>
      </c>
      <c r="N151" s="33"/>
      <c r="O151" s="32">
        <v>180</v>
      </c>
      <c r="P151" s="465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83"/>
      <c r="R151" s="283"/>
      <c r="S151" s="283"/>
      <c r="T151" s="284"/>
      <c r="U151" s="34"/>
      <c r="V151" s="34"/>
      <c r="W151" s="35" t="s">
        <v>68</v>
      </c>
      <c r="X151" s="276">
        <v>42</v>
      </c>
      <c r="Y151" s="277">
        <f>IFERROR(IF(X151="","",X151),"")</f>
        <v>42</v>
      </c>
      <c r="Z151" s="36">
        <f>IFERROR(IF(X151="","",X151*0.01788),"")</f>
        <v>0.75095999999999996</v>
      </c>
      <c r="AA151" s="56"/>
      <c r="AB151" s="57"/>
      <c r="AC151" s="186" t="s">
        <v>243</v>
      </c>
      <c r="AG151" s="67"/>
      <c r="AJ151" s="71" t="s">
        <v>70</v>
      </c>
      <c r="AK151" s="71">
        <v>1</v>
      </c>
      <c r="BB151" s="187" t="s">
        <v>109</v>
      </c>
      <c r="BM151" s="67">
        <f>IFERROR(X151*I151,"0")</f>
        <v>155.55119999999999</v>
      </c>
      <c r="BN151" s="67">
        <f>IFERROR(Y151*I151,"0")</f>
        <v>155.55119999999999</v>
      </c>
      <c r="BO151" s="67">
        <f>IFERROR(X151/J151,"0")</f>
        <v>0.6</v>
      </c>
      <c r="BP151" s="67">
        <f>IFERROR(Y151/J151,"0")</f>
        <v>0.6</v>
      </c>
    </row>
    <row r="152" spans="1:68" x14ac:dyDescent="0.2">
      <c r="A152" s="294"/>
      <c r="B152" s="289"/>
      <c r="C152" s="289"/>
      <c r="D152" s="289"/>
      <c r="E152" s="289"/>
      <c r="F152" s="289"/>
      <c r="G152" s="289"/>
      <c r="H152" s="289"/>
      <c r="I152" s="289"/>
      <c r="J152" s="289"/>
      <c r="K152" s="289"/>
      <c r="L152" s="289"/>
      <c r="M152" s="289"/>
      <c r="N152" s="289"/>
      <c r="O152" s="295"/>
      <c r="P152" s="285" t="s">
        <v>87</v>
      </c>
      <c r="Q152" s="286"/>
      <c r="R152" s="286"/>
      <c r="S152" s="286"/>
      <c r="T152" s="286"/>
      <c r="U152" s="286"/>
      <c r="V152" s="287"/>
      <c r="W152" s="37" t="s">
        <v>68</v>
      </c>
      <c r="X152" s="278">
        <f>IFERROR(SUM(X150:X151),"0")</f>
        <v>56</v>
      </c>
      <c r="Y152" s="278">
        <f>IFERROR(SUM(Y150:Y151),"0")</f>
        <v>56</v>
      </c>
      <c r="Z152" s="278">
        <f>IFERROR(IF(Z150="",0,Z150),"0")+IFERROR(IF(Z151="",0,Z151),"0")</f>
        <v>1.0012799999999999</v>
      </c>
      <c r="AA152" s="279"/>
      <c r="AB152" s="279"/>
      <c r="AC152" s="279"/>
    </row>
    <row r="153" spans="1:68" x14ac:dyDescent="0.2">
      <c r="A153" s="289"/>
      <c r="B153" s="289"/>
      <c r="C153" s="289"/>
      <c r="D153" s="289"/>
      <c r="E153" s="289"/>
      <c r="F153" s="289"/>
      <c r="G153" s="289"/>
      <c r="H153" s="289"/>
      <c r="I153" s="289"/>
      <c r="J153" s="289"/>
      <c r="K153" s="289"/>
      <c r="L153" s="289"/>
      <c r="M153" s="289"/>
      <c r="N153" s="289"/>
      <c r="O153" s="295"/>
      <c r="P153" s="285" t="s">
        <v>87</v>
      </c>
      <c r="Q153" s="286"/>
      <c r="R153" s="286"/>
      <c r="S153" s="286"/>
      <c r="T153" s="286"/>
      <c r="U153" s="286"/>
      <c r="V153" s="287"/>
      <c r="W153" s="37" t="s">
        <v>88</v>
      </c>
      <c r="X153" s="278">
        <f>IFERROR(SUMPRODUCT(X150:X151*H150:H151),"0")</f>
        <v>168</v>
      </c>
      <c r="Y153" s="278">
        <f>IFERROR(SUMPRODUCT(Y150:Y151*H150:H151),"0")</f>
        <v>168</v>
      </c>
      <c r="Z153" s="37"/>
      <c r="AA153" s="279"/>
      <c r="AB153" s="279"/>
      <c r="AC153" s="279"/>
    </row>
    <row r="154" spans="1:68" ht="16.5" hidden="1" customHeight="1" x14ac:dyDescent="0.25">
      <c r="A154" s="288" t="s">
        <v>246</v>
      </c>
      <c r="B154" s="289"/>
      <c r="C154" s="289"/>
      <c r="D154" s="289"/>
      <c r="E154" s="289"/>
      <c r="F154" s="289"/>
      <c r="G154" s="289"/>
      <c r="H154" s="289"/>
      <c r="I154" s="289"/>
      <c r="J154" s="289"/>
      <c r="K154" s="289"/>
      <c r="L154" s="289"/>
      <c r="M154" s="289"/>
      <c r="N154" s="289"/>
      <c r="O154" s="289"/>
      <c r="P154" s="289"/>
      <c r="Q154" s="289"/>
      <c r="R154" s="289"/>
      <c r="S154" s="289"/>
      <c r="T154" s="289"/>
      <c r="U154" s="289"/>
      <c r="V154" s="289"/>
      <c r="W154" s="289"/>
      <c r="X154" s="289"/>
      <c r="Y154" s="289"/>
      <c r="Z154" s="289"/>
      <c r="AA154" s="271"/>
      <c r="AB154" s="271"/>
      <c r="AC154" s="271"/>
    </row>
    <row r="155" spans="1:68" ht="14.25" hidden="1" customHeight="1" x14ac:dyDescent="0.25">
      <c r="A155" s="311" t="s">
        <v>153</v>
      </c>
      <c r="B155" s="289"/>
      <c r="C155" s="289"/>
      <c r="D155" s="289"/>
      <c r="E155" s="289"/>
      <c r="F155" s="289"/>
      <c r="G155" s="289"/>
      <c r="H155" s="289"/>
      <c r="I155" s="289"/>
      <c r="J155" s="289"/>
      <c r="K155" s="289"/>
      <c r="L155" s="289"/>
      <c r="M155" s="289"/>
      <c r="N155" s="289"/>
      <c r="O155" s="289"/>
      <c r="P155" s="289"/>
      <c r="Q155" s="289"/>
      <c r="R155" s="289"/>
      <c r="S155" s="289"/>
      <c r="T155" s="289"/>
      <c r="U155" s="289"/>
      <c r="V155" s="289"/>
      <c r="W155" s="289"/>
      <c r="X155" s="289"/>
      <c r="Y155" s="289"/>
      <c r="Z155" s="289"/>
      <c r="AA155" s="272"/>
      <c r="AB155" s="272"/>
      <c r="AC155" s="272"/>
    </row>
    <row r="156" spans="1:68" ht="27" customHeight="1" x14ac:dyDescent="0.25">
      <c r="A156" s="54" t="s">
        <v>247</v>
      </c>
      <c r="B156" s="54" t="s">
        <v>248</v>
      </c>
      <c r="C156" s="31">
        <v>4301135926</v>
      </c>
      <c r="D156" s="280">
        <v>4620207491669</v>
      </c>
      <c r="E156" s="281"/>
      <c r="F156" s="275">
        <v>0.2</v>
      </c>
      <c r="G156" s="32">
        <v>12</v>
      </c>
      <c r="H156" s="275">
        <v>2.4</v>
      </c>
      <c r="I156" s="275">
        <v>2.68</v>
      </c>
      <c r="J156" s="32">
        <v>70</v>
      </c>
      <c r="K156" s="32" t="s">
        <v>105</v>
      </c>
      <c r="L156" s="32" t="s">
        <v>66</v>
      </c>
      <c r="M156" s="33" t="s">
        <v>67</v>
      </c>
      <c r="N156" s="33"/>
      <c r="O156" s="32">
        <v>180</v>
      </c>
      <c r="P156" s="394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56" s="283"/>
      <c r="R156" s="283"/>
      <c r="S156" s="283"/>
      <c r="T156" s="284"/>
      <c r="U156" s="34"/>
      <c r="V156" s="34"/>
      <c r="W156" s="35" t="s">
        <v>68</v>
      </c>
      <c r="X156" s="276">
        <v>42</v>
      </c>
      <c r="Y156" s="277">
        <f>IFERROR(IF(X156="","",X156),"")</f>
        <v>42</v>
      </c>
      <c r="Z156" s="36">
        <f>IFERROR(IF(X156="","",X156*0.01788),"")</f>
        <v>0.75095999999999996</v>
      </c>
      <c r="AA156" s="56"/>
      <c r="AB156" s="57"/>
      <c r="AC156" s="188" t="s">
        <v>249</v>
      </c>
      <c r="AG156" s="67"/>
      <c r="AJ156" s="71" t="s">
        <v>70</v>
      </c>
      <c r="AK156" s="71">
        <v>1</v>
      </c>
      <c r="BB156" s="189" t="s">
        <v>109</v>
      </c>
      <c r="BM156" s="67">
        <f>IFERROR(X156*I156,"0")</f>
        <v>112.56</v>
      </c>
      <c r="BN156" s="67">
        <f>IFERROR(Y156*I156,"0")</f>
        <v>112.56</v>
      </c>
      <c r="BO156" s="67">
        <f>IFERROR(X156/J156,"0")</f>
        <v>0.6</v>
      </c>
      <c r="BP156" s="67">
        <f>IFERROR(Y156/J156,"0")</f>
        <v>0.6</v>
      </c>
    </row>
    <row r="157" spans="1:68" ht="27" customHeight="1" x14ac:dyDescent="0.25">
      <c r="A157" s="54" t="s">
        <v>250</v>
      </c>
      <c r="B157" s="54" t="s">
        <v>251</v>
      </c>
      <c r="C157" s="31">
        <v>4301135932</v>
      </c>
      <c r="D157" s="280">
        <v>4620207491676</v>
      </c>
      <c r="E157" s="281"/>
      <c r="F157" s="275">
        <v>0.2</v>
      </c>
      <c r="G157" s="32">
        <v>12</v>
      </c>
      <c r="H157" s="275">
        <v>2.4</v>
      </c>
      <c r="I157" s="275">
        <v>2.68</v>
      </c>
      <c r="J157" s="32">
        <v>70</v>
      </c>
      <c r="K157" s="32" t="s">
        <v>105</v>
      </c>
      <c r="L157" s="32" t="s">
        <v>66</v>
      </c>
      <c r="M157" s="33" t="s">
        <v>67</v>
      </c>
      <c r="N157" s="33"/>
      <c r="O157" s="32">
        <v>180</v>
      </c>
      <c r="P157" s="297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7" s="283"/>
      <c r="R157" s="283"/>
      <c r="S157" s="283"/>
      <c r="T157" s="284"/>
      <c r="U157" s="34"/>
      <c r="V157" s="34"/>
      <c r="W157" s="35" t="s">
        <v>68</v>
      </c>
      <c r="X157" s="276">
        <v>14</v>
      </c>
      <c r="Y157" s="277">
        <f>IFERROR(IF(X157="","",X157),"")</f>
        <v>14</v>
      </c>
      <c r="Z157" s="36">
        <f>IFERROR(IF(X157="","",X157*0.01788),"")</f>
        <v>0.25031999999999999</v>
      </c>
      <c r="AA157" s="56"/>
      <c r="AB157" s="57"/>
      <c r="AC157" s="190" t="s">
        <v>249</v>
      </c>
      <c r="AG157" s="67"/>
      <c r="AJ157" s="71" t="s">
        <v>70</v>
      </c>
      <c r="AK157" s="71">
        <v>1</v>
      </c>
      <c r="BB157" s="191" t="s">
        <v>109</v>
      </c>
      <c r="BM157" s="67">
        <f>IFERROR(X157*I157,"0")</f>
        <v>37.520000000000003</v>
      </c>
      <c r="BN157" s="67">
        <f>IFERROR(Y157*I157,"0")</f>
        <v>37.520000000000003</v>
      </c>
      <c r="BO157" s="67">
        <f>IFERROR(X157/J157,"0")</f>
        <v>0.2</v>
      </c>
      <c r="BP157" s="67">
        <f>IFERROR(Y157/J157,"0")</f>
        <v>0.2</v>
      </c>
    </row>
    <row r="158" spans="1:68" x14ac:dyDescent="0.2">
      <c r="A158" s="294"/>
      <c r="B158" s="289"/>
      <c r="C158" s="289"/>
      <c r="D158" s="289"/>
      <c r="E158" s="289"/>
      <c r="F158" s="289"/>
      <c r="G158" s="289"/>
      <c r="H158" s="289"/>
      <c r="I158" s="289"/>
      <c r="J158" s="289"/>
      <c r="K158" s="289"/>
      <c r="L158" s="289"/>
      <c r="M158" s="289"/>
      <c r="N158" s="289"/>
      <c r="O158" s="295"/>
      <c r="P158" s="285" t="s">
        <v>87</v>
      </c>
      <c r="Q158" s="286"/>
      <c r="R158" s="286"/>
      <c r="S158" s="286"/>
      <c r="T158" s="286"/>
      <c r="U158" s="286"/>
      <c r="V158" s="287"/>
      <c r="W158" s="37" t="s">
        <v>68</v>
      </c>
      <c r="X158" s="278">
        <f>IFERROR(SUM(X156:X157),"0")</f>
        <v>56</v>
      </c>
      <c r="Y158" s="278">
        <f>IFERROR(SUM(Y156:Y157),"0")</f>
        <v>56</v>
      </c>
      <c r="Z158" s="278">
        <f>IFERROR(IF(Z156="",0,Z156),"0")+IFERROR(IF(Z157="",0,Z157),"0")</f>
        <v>1.0012799999999999</v>
      </c>
      <c r="AA158" s="279"/>
      <c r="AB158" s="279"/>
      <c r="AC158" s="279"/>
    </row>
    <row r="159" spans="1:68" x14ac:dyDescent="0.2">
      <c r="A159" s="289"/>
      <c r="B159" s="289"/>
      <c r="C159" s="289"/>
      <c r="D159" s="289"/>
      <c r="E159" s="289"/>
      <c r="F159" s="289"/>
      <c r="G159" s="289"/>
      <c r="H159" s="289"/>
      <c r="I159" s="289"/>
      <c r="J159" s="289"/>
      <c r="K159" s="289"/>
      <c r="L159" s="289"/>
      <c r="M159" s="289"/>
      <c r="N159" s="289"/>
      <c r="O159" s="295"/>
      <c r="P159" s="285" t="s">
        <v>87</v>
      </c>
      <c r="Q159" s="286"/>
      <c r="R159" s="286"/>
      <c r="S159" s="286"/>
      <c r="T159" s="286"/>
      <c r="U159" s="286"/>
      <c r="V159" s="287"/>
      <c r="W159" s="37" t="s">
        <v>88</v>
      </c>
      <c r="X159" s="278">
        <f>IFERROR(SUMPRODUCT(X156:X157*H156:H157),"0")</f>
        <v>134.4</v>
      </c>
      <c r="Y159" s="278">
        <f>IFERROR(SUMPRODUCT(Y156:Y157*H156:H157),"0")</f>
        <v>134.4</v>
      </c>
      <c r="Z159" s="37"/>
      <c r="AA159" s="279"/>
      <c r="AB159" s="279"/>
      <c r="AC159" s="279"/>
    </row>
    <row r="160" spans="1:68" ht="16.5" hidden="1" customHeight="1" x14ac:dyDescent="0.25">
      <c r="A160" s="288" t="s">
        <v>252</v>
      </c>
      <c r="B160" s="289"/>
      <c r="C160" s="289"/>
      <c r="D160" s="289"/>
      <c r="E160" s="289"/>
      <c r="F160" s="289"/>
      <c r="G160" s="289"/>
      <c r="H160" s="289"/>
      <c r="I160" s="289"/>
      <c r="J160" s="289"/>
      <c r="K160" s="289"/>
      <c r="L160" s="289"/>
      <c r="M160" s="289"/>
      <c r="N160" s="289"/>
      <c r="O160" s="289"/>
      <c r="P160" s="289"/>
      <c r="Q160" s="289"/>
      <c r="R160" s="289"/>
      <c r="S160" s="289"/>
      <c r="T160" s="289"/>
      <c r="U160" s="289"/>
      <c r="V160" s="289"/>
      <c r="W160" s="289"/>
      <c r="X160" s="289"/>
      <c r="Y160" s="289"/>
      <c r="Z160" s="289"/>
      <c r="AA160" s="271"/>
      <c r="AB160" s="271"/>
      <c r="AC160" s="271"/>
    </row>
    <row r="161" spans="1:68" ht="14.25" hidden="1" customHeight="1" x14ac:dyDescent="0.25">
      <c r="A161" s="311" t="s">
        <v>153</v>
      </c>
      <c r="B161" s="289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89"/>
      <c r="O161" s="289"/>
      <c r="P161" s="289"/>
      <c r="Q161" s="289"/>
      <c r="R161" s="289"/>
      <c r="S161" s="289"/>
      <c r="T161" s="289"/>
      <c r="U161" s="289"/>
      <c r="V161" s="289"/>
      <c r="W161" s="289"/>
      <c r="X161" s="289"/>
      <c r="Y161" s="289"/>
      <c r="Z161" s="289"/>
      <c r="AA161" s="272"/>
      <c r="AB161" s="272"/>
      <c r="AC161" s="272"/>
    </row>
    <row r="162" spans="1:68" ht="27" hidden="1" customHeight="1" x14ac:dyDescent="0.25">
      <c r="A162" s="54" t="s">
        <v>253</v>
      </c>
      <c r="B162" s="54" t="s">
        <v>254</v>
      </c>
      <c r="C162" s="31">
        <v>4301135940</v>
      </c>
      <c r="D162" s="280">
        <v>4620207491614</v>
      </c>
      <c r="E162" s="281"/>
      <c r="F162" s="275">
        <v>0.25</v>
      </c>
      <c r="G162" s="32">
        <v>12</v>
      </c>
      <c r="H162" s="275">
        <v>3</v>
      </c>
      <c r="I162" s="275">
        <v>3.7035999999999998</v>
      </c>
      <c r="J162" s="32">
        <v>70</v>
      </c>
      <c r="K162" s="32" t="s">
        <v>105</v>
      </c>
      <c r="L162" s="32" t="s">
        <v>66</v>
      </c>
      <c r="M162" s="33" t="s">
        <v>67</v>
      </c>
      <c r="N162" s="33"/>
      <c r="O162" s="32">
        <v>180</v>
      </c>
      <c r="P162" s="419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283"/>
      <c r="R162" s="283"/>
      <c r="S162" s="283"/>
      <c r="T162" s="284"/>
      <c r="U162" s="34"/>
      <c r="V162" s="34"/>
      <c r="W162" s="35" t="s">
        <v>68</v>
      </c>
      <c r="X162" s="276">
        <v>0</v>
      </c>
      <c r="Y162" s="277">
        <f>IFERROR(IF(X162="","",X162),"")</f>
        <v>0</v>
      </c>
      <c r="Z162" s="36">
        <f>IFERROR(IF(X162="","",X162*0.01788),"")</f>
        <v>0</v>
      </c>
      <c r="AA162" s="56"/>
      <c r="AB162" s="57"/>
      <c r="AC162" s="192" t="s">
        <v>156</v>
      </c>
      <c r="AG162" s="67"/>
      <c r="AJ162" s="71" t="s">
        <v>70</v>
      </c>
      <c r="AK162" s="71">
        <v>1</v>
      </c>
      <c r="BB162" s="193" t="s">
        <v>109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hidden="1" x14ac:dyDescent="0.2">
      <c r="A163" s="294"/>
      <c r="B163" s="289"/>
      <c r="C163" s="289"/>
      <c r="D163" s="289"/>
      <c r="E163" s="289"/>
      <c r="F163" s="289"/>
      <c r="G163" s="289"/>
      <c r="H163" s="289"/>
      <c r="I163" s="289"/>
      <c r="J163" s="289"/>
      <c r="K163" s="289"/>
      <c r="L163" s="289"/>
      <c r="M163" s="289"/>
      <c r="N163" s="289"/>
      <c r="O163" s="295"/>
      <c r="P163" s="285" t="s">
        <v>87</v>
      </c>
      <c r="Q163" s="286"/>
      <c r="R163" s="286"/>
      <c r="S163" s="286"/>
      <c r="T163" s="286"/>
      <c r="U163" s="286"/>
      <c r="V163" s="287"/>
      <c r="W163" s="37" t="s">
        <v>68</v>
      </c>
      <c r="X163" s="278">
        <f>IFERROR(SUM(X162:X162),"0")</f>
        <v>0</v>
      </c>
      <c r="Y163" s="278">
        <f>IFERROR(SUM(Y162:Y162),"0")</f>
        <v>0</v>
      </c>
      <c r="Z163" s="278">
        <f>IFERROR(IF(Z162="",0,Z162),"0")</f>
        <v>0</v>
      </c>
      <c r="AA163" s="279"/>
      <c r="AB163" s="279"/>
      <c r="AC163" s="279"/>
    </row>
    <row r="164" spans="1:68" hidden="1" x14ac:dyDescent="0.2">
      <c r="A164" s="289"/>
      <c r="B164" s="289"/>
      <c r="C164" s="289"/>
      <c r="D164" s="289"/>
      <c r="E164" s="289"/>
      <c r="F164" s="289"/>
      <c r="G164" s="289"/>
      <c r="H164" s="289"/>
      <c r="I164" s="289"/>
      <c r="J164" s="289"/>
      <c r="K164" s="289"/>
      <c r="L164" s="289"/>
      <c r="M164" s="289"/>
      <c r="N164" s="289"/>
      <c r="O164" s="295"/>
      <c r="P164" s="285" t="s">
        <v>87</v>
      </c>
      <c r="Q164" s="286"/>
      <c r="R164" s="286"/>
      <c r="S164" s="286"/>
      <c r="T164" s="286"/>
      <c r="U164" s="286"/>
      <c r="V164" s="287"/>
      <c r="W164" s="37" t="s">
        <v>88</v>
      </c>
      <c r="X164" s="278">
        <f>IFERROR(SUMPRODUCT(X162:X162*H162:H162),"0")</f>
        <v>0</v>
      </c>
      <c r="Y164" s="278">
        <f>IFERROR(SUMPRODUCT(Y162:Y162*H162:H162),"0")</f>
        <v>0</v>
      </c>
      <c r="Z164" s="37"/>
      <c r="AA164" s="279"/>
      <c r="AB164" s="279"/>
      <c r="AC164" s="279"/>
    </row>
    <row r="165" spans="1:68" ht="16.5" hidden="1" customHeight="1" x14ac:dyDescent="0.25">
      <c r="A165" s="288" t="s">
        <v>255</v>
      </c>
      <c r="B165" s="289"/>
      <c r="C165" s="289"/>
      <c r="D165" s="289"/>
      <c r="E165" s="289"/>
      <c r="F165" s="289"/>
      <c r="G165" s="289"/>
      <c r="H165" s="289"/>
      <c r="I165" s="289"/>
      <c r="J165" s="289"/>
      <c r="K165" s="289"/>
      <c r="L165" s="289"/>
      <c r="M165" s="289"/>
      <c r="N165" s="289"/>
      <c r="O165" s="289"/>
      <c r="P165" s="289"/>
      <c r="Q165" s="289"/>
      <c r="R165" s="289"/>
      <c r="S165" s="289"/>
      <c r="T165" s="289"/>
      <c r="U165" s="289"/>
      <c r="V165" s="289"/>
      <c r="W165" s="289"/>
      <c r="X165" s="289"/>
      <c r="Y165" s="289"/>
      <c r="Z165" s="289"/>
      <c r="AA165" s="271"/>
      <c r="AB165" s="271"/>
      <c r="AC165" s="271"/>
    </row>
    <row r="166" spans="1:68" ht="14.25" hidden="1" customHeight="1" x14ac:dyDescent="0.25">
      <c r="A166" s="311" t="s">
        <v>153</v>
      </c>
      <c r="B166" s="289"/>
      <c r="C166" s="289"/>
      <c r="D166" s="289"/>
      <c r="E166" s="289"/>
      <c r="F166" s="289"/>
      <c r="G166" s="289"/>
      <c r="H166" s="289"/>
      <c r="I166" s="289"/>
      <c r="J166" s="289"/>
      <c r="K166" s="289"/>
      <c r="L166" s="289"/>
      <c r="M166" s="289"/>
      <c r="N166" s="289"/>
      <c r="O166" s="289"/>
      <c r="P166" s="289"/>
      <c r="Q166" s="289"/>
      <c r="R166" s="289"/>
      <c r="S166" s="289"/>
      <c r="T166" s="289"/>
      <c r="U166" s="289"/>
      <c r="V166" s="289"/>
      <c r="W166" s="289"/>
      <c r="X166" s="289"/>
      <c r="Y166" s="289"/>
      <c r="Z166" s="289"/>
      <c r="AA166" s="272"/>
      <c r="AB166" s="272"/>
      <c r="AC166" s="272"/>
    </row>
    <row r="167" spans="1:68" ht="16.5" hidden="1" customHeight="1" x14ac:dyDescent="0.25">
      <c r="A167" s="54" t="s">
        <v>256</v>
      </c>
      <c r="B167" s="54" t="s">
        <v>257</v>
      </c>
      <c r="C167" s="31">
        <v>4301135607</v>
      </c>
      <c r="D167" s="280">
        <v>4607111039613</v>
      </c>
      <c r="E167" s="281"/>
      <c r="F167" s="275">
        <v>0.09</v>
      </c>
      <c r="G167" s="32">
        <v>30</v>
      </c>
      <c r="H167" s="275">
        <v>2.7</v>
      </c>
      <c r="I167" s="275">
        <v>3.09</v>
      </c>
      <c r="J167" s="32">
        <v>126</v>
      </c>
      <c r="K167" s="32" t="s">
        <v>105</v>
      </c>
      <c r="L167" s="32" t="s">
        <v>106</v>
      </c>
      <c r="M167" s="33" t="s">
        <v>67</v>
      </c>
      <c r="N167" s="33"/>
      <c r="O167" s="32">
        <v>180</v>
      </c>
      <c r="P167" s="35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83"/>
      <c r="R167" s="283"/>
      <c r="S167" s="283"/>
      <c r="T167" s="284"/>
      <c r="U167" s="34"/>
      <c r="V167" s="34"/>
      <c r="W167" s="35" t="s">
        <v>68</v>
      </c>
      <c r="X167" s="276">
        <v>0</v>
      </c>
      <c r="Y167" s="277">
        <f>IFERROR(IF(X167="","",X167),"")</f>
        <v>0</v>
      </c>
      <c r="Z167" s="36">
        <f>IFERROR(IF(X167="","",X167*0.00936),"")</f>
        <v>0</v>
      </c>
      <c r="AA167" s="56"/>
      <c r="AB167" s="57"/>
      <c r="AC167" s="194" t="s">
        <v>258</v>
      </c>
      <c r="AG167" s="67"/>
      <c r="AJ167" s="71" t="s">
        <v>108</v>
      </c>
      <c r="AK167" s="71">
        <v>14</v>
      </c>
      <c r="BB167" s="195" t="s">
        <v>109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294"/>
      <c r="B168" s="289"/>
      <c r="C168" s="289"/>
      <c r="D168" s="289"/>
      <c r="E168" s="289"/>
      <c r="F168" s="289"/>
      <c r="G168" s="289"/>
      <c r="H168" s="289"/>
      <c r="I168" s="289"/>
      <c r="J168" s="289"/>
      <c r="K168" s="289"/>
      <c r="L168" s="289"/>
      <c r="M168" s="289"/>
      <c r="N168" s="289"/>
      <c r="O168" s="295"/>
      <c r="P168" s="285" t="s">
        <v>87</v>
      </c>
      <c r="Q168" s="286"/>
      <c r="R168" s="286"/>
      <c r="S168" s="286"/>
      <c r="T168" s="286"/>
      <c r="U168" s="286"/>
      <c r="V168" s="287"/>
      <c r="W168" s="37" t="s">
        <v>68</v>
      </c>
      <c r="X168" s="278">
        <f>IFERROR(SUM(X167:X167),"0")</f>
        <v>0</v>
      </c>
      <c r="Y168" s="278">
        <f>IFERROR(SUM(Y167:Y167),"0")</f>
        <v>0</v>
      </c>
      <c r="Z168" s="278">
        <f>IFERROR(IF(Z167="",0,Z167),"0")</f>
        <v>0</v>
      </c>
      <c r="AA168" s="279"/>
      <c r="AB168" s="279"/>
      <c r="AC168" s="279"/>
    </row>
    <row r="169" spans="1:68" hidden="1" x14ac:dyDescent="0.2">
      <c r="A169" s="289"/>
      <c r="B169" s="289"/>
      <c r="C169" s="289"/>
      <c r="D169" s="289"/>
      <c r="E169" s="289"/>
      <c r="F169" s="289"/>
      <c r="G169" s="289"/>
      <c r="H169" s="289"/>
      <c r="I169" s="289"/>
      <c r="J169" s="289"/>
      <c r="K169" s="289"/>
      <c r="L169" s="289"/>
      <c r="M169" s="289"/>
      <c r="N169" s="289"/>
      <c r="O169" s="295"/>
      <c r="P169" s="285" t="s">
        <v>87</v>
      </c>
      <c r="Q169" s="286"/>
      <c r="R169" s="286"/>
      <c r="S169" s="286"/>
      <c r="T169" s="286"/>
      <c r="U169" s="286"/>
      <c r="V169" s="287"/>
      <c r="W169" s="37" t="s">
        <v>88</v>
      </c>
      <c r="X169" s="278">
        <f>IFERROR(SUMPRODUCT(X167:X167*H167:H167),"0")</f>
        <v>0</v>
      </c>
      <c r="Y169" s="278">
        <f>IFERROR(SUMPRODUCT(Y167:Y167*H167:H167),"0")</f>
        <v>0</v>
      </c>
      <c r="Z169" s="37"/>
      <c r="AA169" s="279"/>
      <c r="AB169" s="279"/>
      <c r="AC169" s="279"/>
    </row>
    <row r="170" spans="1:68" ht="16.5" hidden="1" customHeight="1" x14ac:dyDescent="0.25">
      <c r="A170" s="288" t="s">
        <v>259</v>
      </c>
      <c r="B170" s="289"/>
      <c r="C170" s="289"/>
      <c r="D170" s="289"/>
      <c r="E170" s="289"/>
      <c r="F170" s="289"/>
      <c r="G170" s="289"/>
      <c r="H170" s="289"/>
      <c r="I170" s="289"/>
      <c r="J170" s="289"/>
      <c r="K170" s="289"/>
      <c r="L170" s="289"/>
      <c r="M170" s="289"/>
      <c r="N170" s="289"/>
      <c r="O170" s="289"/>
      <c r="P170" s="289"/>
      <c r="Q170" s="289"/>
      <c r="R170" s="289"/>
      <c r="S170" s="289"/>
      <c r="T170" s="289"/>
      <c r="U170" s="289"/>
      <c r="V170" s="289"/>
      <c r="W170" s="289"/>
      <c r="X170" s="289"/>
      <c r="Y170" s="289"/>
      <c r="Z170" s="289"/>
      <c r="AA170" s="271"/>
      <c r="AB170" s="271"/>
      <c r="AC170" s="271"/>
    </row>
    <row r="171" spans="1:68" ht="14.25" hidden="1" customHeight="1" x14ac:dyDescent="0.25">
      <c r="A171" s="311" t="s">
        <v>153</v>
      </c>
      <c r="B171" s="289"/>
      <c r="C171" s="289"/>
      <c r="D171" s="289"/>
      <c r="E171" s="289"/>
      <c r="F171" s="289"/>
      <c r="G171" s="289"/>
      <c r="H171" s="289"/>
      <c r="I171" s="289"/>
      <c r="J171" s="289"/>
      <c r="K171" s="289"/>
      <c r="L171" s="289"/>
      <c r="M171" s="289"/>
      <c r="N171" s="289"/>
      <c r="O171" s="289"/>
      <c r="P171" s="289"/>
      <c r="Q171" s="289"/>
      <c r="R171" s="289"/>
      <c r="S171" s="289"/>
      <c r="T171" s="289"/>
      <c r="U171" s="289"/>
      <c r="V171" s="289"/>
      <c r="W171" s="289"/>
      <c r="X171" s="289"/>
      <c r="Y171" s="289"/>
      <c r="Z171" s="289"/>
      <c r="AA171" s="272"/>
      <c r="AB171" s="272"/>
      <c r="AC171" s="272"/>
    </row>
    <row r="172" spans="1:68" ht="27" customHeight="1" x14ac:dyDescent="0.25">
      <c r="A172" s="54" t="s">
        <v>260</v>
      </c>
      <c r="B172" s="54" t="s">
        <v>261</v>
      </c>
      <c r="C172" s="31">
        <v>4301135912</v>
      </c>
      <c r="D172" s="280">
        <v>4620207491751</v>
      </c>
      <c r="E172" s="281"/>
      <c r="F172" s="275">
        <v>0.28000000000000003</v>
      </c>
      <c r="G172" s="32">
        <v>6</v>
      </c>
      <c r="H172" s="275">
        <v>1.68</v>
      </c>
      <c r="I172" s="275">
        <v>2.1017999999999999</v>
      </c>
      <c r="J172" s="32">
        <v>140</v>
      </c>
      <c r="K172" s="32" t="s">
        <v>105</v>
      </c>
      <c r="L172" s="32" t="s">
        <v>66</v>
      </c>
      <c r="M172" s="33" t="s">
        <v>67</v>
      </c>
      <c r="N172" s="33"/>
      <c r="O172" s="32">
        <v>180</v>
      </c>
      <c r="P172" s="301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2" s="283"/>
      <c r="R172" s="283"/>
      <c r="S172" s="283"/>
      <c r="T172" s="284"/>
      <c r="U172" s="34"/>
      <c r="V172" s="34"/>
      <c r="W172" s="35" t="s">
        <v>68</v>
      </c>
      <c r="X172" s="276">
        <v>56</v>
      </c>
      <c r="Y172" s="277">
        <f>IFERROR(IF(X172="","",X172),"")</f>
        <v>56</v>
      </c>
      <c r="Z172" s="36">
        <f>IFERROR(IF(X172="","",X172*0.00941),"")</f>
        <v>0.52695999999999998</v>
      </c>
      <c r="AA172" s="56"/>
      <c r="AB172" s="57"/>
      <c r="AC172" s="196" t="s">
        <v>156</v>
      </c>
      <c r="AG172" s="67"/>
      <c r="AJ172" s="71" t="s">
        <v>70</v>
      </c>
      <c r="AK172" s="71">
        <v>1</v>
      </c>
      <c r="BB172" s="197" t="s">
        <v>109</v>
      </c>
      <c r="BM172" s="67">
        <f>IFERROR(X172*I172,"0")</f>
        <v>117.70079999999999</v>
      </c>
      <c r="BN172" s="67">
        <f>IFERROR(Y172*I172,"0")</f>
        <v>117.70079999999999</v>
      </c>
      <c r="BO172" s="67">
        <f>IFERROR(X172/J172,"0")</f>
        <v>0.4</v>
      </c>
      <c r="BP172" s="67">
        <f>IFERROR(Y172/J172,"0")</f>
        <v>0.4</v>
      </c>
    </row>
    <row r="173" spans="1:68" x14ac:dyDescent="0.2">
      <c r="A173" s="294"/>
      <c r="B173" s="289"/>
      <c r="C173" s="289"/>
      <c r="D173" s="289"/>
      <c r="E173" s="289"/>
      <c r="F173" s="289"/>
      <c r="G173" s="289"/>
      <c r="H173" s="289"/>
      <c r="I173" s="289"/>
      <c r="J173" s="289"/>
      <c r="K173" s="289"/>
      <c r="L173" s="289"/>
      <c r="M173" s="289"/>
      <c r="N173" s="289"/>
      <c r="O173" s="295"/>
      <c r="P173" s="285" t="s">
        <v>87</v>
      </c>
      <c r="Q173" s="286"/>
      <c r="R173" s="286"/>
      <c r="S173" s="286"/>
      <c r="T173" s="286"/>
      <c r="U173" s="286"/>
      <c r="V173" s="287"/>
      <c r="W173" s="37" t="s">
        <v>68</v>
      </c>
      <c r="X173" s="278">
        <f>IFERROR(SUM(X172:X172),"0")</f>
        <v>56</v>
      </c>
      <c r="Y173" s="278">
        <f>IFERROR(SUM(Y172:Y172),"0")</f>
        <v>56</v>
      </c>
      <c r="Z173" s="278">
        <f>IFERROR(IF(Z172="",0,Z172),"0")</f>
        <v>0.52695999999999998</v>
      </c>
      <c r="AA173" s="279"/>
      <c r="AB173" s="279"/>
      <c r="AC173" s="279"/>
    </row>
    <row r="174" spans="1:68" x14ac:dyDescent="0.2">
      <c r="A174" s="289"/>
      <c r="B174" s="289"/>
      <c r="C174" s="289"/>
      <c r="D174" s="289"/>
      <c r="E174" s="289"/>
      <c r="F174" s="289"/>
      <c r="G174" s="289"/>
      <c r="H174" s="289"/>
      <c r="I174" s="289"/>
      <c r="J174" s="289"/>
      <c r="K174" s="289"/>
      <c r="L174" s="289"/>
      <c r="M174" s="289"/>
      <c r="N174" s="289"/>
      <c r="O174" s="295"/>
      <c r="P174" s="285" t="s">
        <v>87</v>
      </c>
      <c r="Q174" s="286"/>
      <c r="R174" s="286"/>
      <c r="S174" s="286"/>
      <c r="T174" s="286"/>
      <c r="U174" s="286"/>
      <c r="V174" s="287"/>
      <c r="W174" s="37" t="s">
        <v>88</v>
      </c>
      <c r="X174" s="278">
        <f>IFERROR(SUMPRODUCT(X172:X172*H172:H172),"0")</f>
        <v>94.08</v>
      </c>
      <c r="Y174" s="278">
        <f>IFERROR(SUMPRODUCT(Y172:Y172*H172:H172),"0")</f>
        <v>94.08</v>
      </c>
      <c r="Z174" s="37"/>
      <c r="AA174" s="279"/>
      <c r="AB174" s="279"/>
      <c r="AC174" s="279"/>
    </row>
    <row r="175" spans="1:68" ht="27.75" hidden="1" customHeight="1" x14ac:dyDescent="0.2">
      <c r="A175" s="292" t="s">
        <v>262</v>
      </c>
      <c r="B175" s="293"/>
      <c r="C175" s="293"/>
      <c r="D175" s="293"/>
      <c r="E175" s="293"/>
      <c r="F175" s="293"/>
      <c r="G175" s="293"/>
      <c r="H175" s="293"/>
      <c r="I175" s="293"/>
      <c r="J175" s="293"/>
      <c r="K175" s="293"/>
      <c r="L175" s="293"/>
      <c r="M175" s="293"/>
      <c r="N175" s="293"/>
      <c r="O175" s="293"/>
      <c r="P175" s="293"/>
      <c r="Q175" s="293"/>
      <c r="R175" s="293"/>
      <c r="S175" s="293"/>
      <c r="T175" s="293"/>
      <c r="U175" s="293"/>
      <c r="V175" s="293"/>
      <c r="W175" s="293"/>
      <c r="X175" s="293"/>
      <c r="Y175" s="293"/>
      <c r="Z175" s="293"/>
      <c r="AA175" s="48"/>
      <c r="AB175" s="48"/>
      <c r="AC175" s="48"/>
    </row>
    <row r="176" spans="1:68" ht="16.5" hidden="1" customHeight="1" x14ac:dyDescent="0.25">
      <c r="A176" s="288" t="s">
        <v>263</v>
      </c>
      <c r="B176" s="289"/>
      <c r="C176" s="289"/>
      <c r="D176" s="289"/>
      <c r="E176" s="289"/>
      <c r="F176" s="289"/>
      <c r="G176" s="289"/>
      <c r="H176" s="289"/>
      <c r="I176" s="289"/>
      <c r="J176" s="289"/>
      <c r="K176" s="289"/>
      <c r="L176" s="289"/>
      <c r="M176" s="289"/>
      <c r="N176" s="289"/>
      <c r="O176" s="289"/>
      <c r="P176" s="289"/>
      <c r="Q176" s="289"/>
      <c r="R176" s="289"/>
      <c r="S176" s="289"/>
      <c r="T176" s="289"/>
      <c r="U176" s="289"/>
      <c r="V176" s="289"/>
      <c r="W176" s="289"/>
      <c r="X176" s="289"/>
      <c r="Y176" s="289"/>
      <c r="Z176" s="289"/>
      <c r="AA176" s="271"/>
      <c r="AB176" s="271"/>
      <c r="AC176" s="271"/>
    </row>
    <row r="177" spans="1:68" ht="14.25" hidden="1" customHeight="1" x14ac:dyDescent="0.25">
      <c r="A177" s="311" t="s">
        <v>102</v>
      </c>
      <c r="B177" s="289"/>
      <c r="C177" s="289"/>
      <c r="D177" s="289"/>
      <c r="E177" s="289"/>
      <c r="F177" s="289"/>
      <c r="G177" s="289"/>
      <c r="H177" s="289"/>
      <c r="I177" s="289"/>
      <c r="J177" s="289"/>
      <c r="K177" s="289"/>
      <c r="L177" s="289"/>
      <c r="M177" s="289"/>
      <c r="N177" s="289"/>
      <c r="O177" s="289"/>
      <c r="P177" s="289"/>
      <c r="Q177" s="289"/>
      <c r="R177" s="289"/>
      <c r="S177" s="289"/>
      <c r="T177" s="289"/>
      <c r="U177" s="289"/>
      <c r="V177" s="289"/>
      <c r="W177" s="289"/>
      <c r="X177" s="289"/>
      <c r="Y177" s="289"/>
      <c r="Z177" s="289"/>
      <c r="AA177" s="272"/>
      <c r="AB177" s="272"/>
      <c r="AC177" s="272"/>
    </row>
    <row r="178" spans="1:68" ht="27" customHeight="1" x14ac:dyDescent="0.25">
      <c r="A178" s="54" t="s">
        <v>264</v>
      </c>
      <c r="B178" s="54" t="s">
        <v>265</v>
      </c>
      <c r="C178" s="31">
        <v>4301132226</v>
      </c>
      <c r="D178" s="280">
        <v>4620207490631</v>
      </c>
      <c r="E178" s="281"/>
      <c r="F178" s="275">
        <v>6</v>
      </c>
      <c r="G178" s="32">
        <v>1</v>
      </c>
      <c r="H178" s="275">
        <v>6</v>
      </c>
      <c r="I178" s="275">
        <v>6.2350000000000003</v>
      </c>
      <c r="J178" s="32">
        <v>84</v>
      </c>
      <c r="K178" s="32" t="s">
        <v>65</v>
      </c>
      <c r="L178" s="32" t="s">
        <v>66</v>
      </c>
      <c r="M178" s="33" t="s">
        <v>67</v>
      </c>
      <c r="N178" s="33"/>
      <c r="O178" s="32">
        <v>180</v>
      </c>
      <c r="P178" s="432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8" s="283"/>
      <c r="R178" s="283"/>
      <c r="S178" s="283"/>
      <c r="T178" s="284"/>
      <c r="U178" s="34"/>
      <c r="V178" s="34"/>
      <c r="W178" s="35" t="s">
        <v>68</v>
      </c>
      <c r="X178" s="276">
        <v>12</v>
      </c>
      <c r="Y178" s="277">
        <f>IFERROR(IF(X178="","",X178),"")</f>
        <v>12</v>
      </c>
      <c r="Z178" s="36">
        <f>IFERROR(IF(X178="","",X178*0.0155),"")</f>
        <v>0.186</v>
      </c>
      <c r="AA178" s="56"/>
      <c r="AB178" s="57"/>
      <c r="AC178" s="198" t="s">
        <v>266</v>
      </c>
      <c r="AG178" s="67"/>
      <c r="AJ178" s="71" t="s">
        <v>70</v>
      </c>
      <c r="AK178" s="71">
        <v>1</v>
      </c>
      <c r="BB178" s="199" t="s">
        <v>109</v>
      </c>
      <c r="BM178" s="67">
        <f>IFERROR(X178*I178,"0")</f>
        <v>74.820000000000007</v>
      </c>
      <c r="BN178" s="67">
        <f>IFERROR(Y178*I178,"0")</f>
        <v>74.820000000000007</v>
      </c>
      <c r="BO178" s="67">
        <f>IFERROR(X178/J178,"0")</f>
        <v>0.14285714285714285</v>
      </c>
      <c r="BP178" s="67">
        <f>IFERROR(Y178/J178,"0")</f>
        <v>0.14285714285714285</v>
      </c>
    </row>
    <row r="179" spans="1:68" x14ac:dyDescent="0.2">
      <c r="A179" s="294"/>
      <c r="B179" s="289"/>
      <c r="C179" s="289"/>
      <c r="D179" s="289"/>
      <c r="E179" s="289"/>
      <c r="F179" s="289"/>
      <c r="G179" s="289"/>
      <c r="H179" s="289"/>
      <c r="I179" s="289"/>
      <c r="J179" s="289"/>
      <c r="K179" s="289"/>
      <c r="L179" s="289"/>
      <c r="M179" s="289"/>
      <c r="N179" s="289"/>
      <c r="O179" s="295"/>
      <c r="P179" s="285" t="s">
        <v>87</v>
      </c>
      <c r="Q179" s="286"/>
      <c r="R179" s="286"/>
      <c r="S179" s="286"/>
      <c r="T179" s="286"/>
      <c r="U179" s="286"/>
      <c r="V179" s="287"/>
      <c r="W179" s="37" t="s">
        <v>68</v>
      </c>
      <c r="X179" s="278">
        <f>IFERROR(SUM(X178:X178),"0")</f>
        <v>12</v>
      </c>
      <c r="Y179" s="278">
        <f>IFERROR(SUM(Y178:Y178),"0")</f>
        <v>12</v>
      </c>
      <c r="Z179" s="278">
        <f>IFERROR(IF(Z178="",0,Z178),"0")</f>
        <v>0.186</v>
      </c>
      <c r="AA179" s="279"/>
      <c r="AB179" s="279"/>
      <c r="AC179" s="279"/>
    </row>
    <row r="180" spans="1:68" x14ac:dyDescent="0.2">
      <c r="A180" s="289"/>
      <c r="B180" s="289"/>
      <c r="C180" s="289"/>
      <c r="D180" s="289"/>
      <c r="E180" s="289"/>
      <c r="F180" s="289"/>
      <c r="G180" s="289"/>
      <c r="H180" s="289"/>
      <c r="I180" s="289"/>
      <c r="J180" s="289"/>
      <c r="K180" s="289"/>
      <c r="L180" s="289"/>
      <c r="M180" s="289"/>
      <c r="N180" s="289"/>
      <c r="O180" s="295"/>
      <c r="P180" s="285" t="s">
        <v>87</v>
      </c>
      <c r="Q180" s="286"/>
      <c r="R180" s="286"/>
      <c r="S180" s="286"/>
      <c r="T180" s="286"/>
      <c r="U180" s="286"/>
      <c r="V180" s="287"/>
      <c r="W180" s="37" t="s">
        <v>88</v>
      </c>
      <c r="X180" s="278">
        <f>IFERROR(SUMPRODUCT(X178:X178*H178:H178),"0")</f>
        <v>72</v>
      </c>
      <c r="Y180" s="278">
        <f>IFERROR(SUMPRODUCT(Y178:Y178*H178:H178),"0")</f>
        <v>72</v>
      </c>
      <c r="Z180" s="37"/>
      <c r="AA180" s="279"/>
      <c r="AB180" s="279"/>
      <c r="AC180" s="279"/>
    </row>
    <row r="181" spans="1:68" ht="14.25" hidden="1" customHeight="1" x14ac:dyDescent="0.25">
      <c r="A181" s="311" t="s">
        <v>153</v>
      </c>
      <c r="B181" s="289"/>
      <c r="C181" s="289"/>
      <c r="D181" s="289"/>
      <c r="E181" s="289"/>
      <c r="F181" s="289"/>
      <c r="G181" s="289"/>
      <c r="H181" s="289"/>
      <c r="I181" s="289"/>
      <c r="J181" s="289"/>
      <c r="K181" s="289"/>
      <c r="L181" s="289"/>
      <c r="M181" s="289"/>
      <c r="N181" s="289"/>
      <c r="O181" s="289"/>
      <c r="P181" s="289"/>
      <c r="Q181" s="289"/>
      <c r="R181" s="289"/>
      <c r="S181" s="289"/>
      <c r="T181" s="289"/>
      <c r="U181" s="289"/>
      <c r="V181" s="289"/>
      <c r="W181" s="289"/>
      <c r="X181" s="289"/>
      <c r="Y181" s="289"/>
      <c r="Z181" s="289"/>
      <c r="AA181" s="272"/>
      <c r="AB181" s="272"/>
      <c r="AC181" s="272"/>
    </row>
    <row r="182" spans="1:68" ht="27" hidden="1" customHeight="1" x14ac:dyDescent="0.25">
      <c r="A182" s="54" t="s">
        <v>267</v>
      </c>
      <c r="B182" s="54" t="s">
        <v>268</v>
      </c>
      <c r="C182" s="31">
        <v>4301135392</v>
      </c>
      <c r="D182" s="280">
        <v>4607111039132</v>
      </c>
      <c r="E182" s="281"/>
      <c r="F182" s="275">
        <v>3.7</v>
      </c>
      <c r="G182" s="32">
        <v>1</v>
      </c>
      <c r="H182" s="275">
        <v>3.7</v>
      </c>
      <c r="I182" s="275">
        <v>3.8919999999999999</v>
      </c>
      <c r="J182" s="32">
        <v>126</v>
      </c>
      <c r="K182" s="32" t="s">
        <v>105</v>
      </c>
      <c r="L182" s="32" t="s">
        <v>66</v>
      </c>
      <c r="M182" s="33" t="s">
        <v>67</v>
      </c>
      <c r="N182" s="33"/>
      <c r="O182" s="32">
        <v>180</v>
      </c>
      <c r="P182" s="355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2" s="283"/>
      <c r="R182" s="283"/>
      <c r="S182" s="283"/>
      <c r="T182" s="284"/>
      <c r="U182" s="34"/>
      <c r="V182" s="34"/>
      <c r="W182" s="35" t="s">
        <v>68</v>
      </c>
      <c r="X182" s="276">
        <v>0</v>
      </c>
      <c r="Y182" s="277">
        <f>IFERROR(IF(X182="","",X182),"")</f>
        <v>0</v>
      </c>
      <c r="Z182" s="36">
        <f>IFERROR(IF(X182="","",X182*0.00936),"")</f>
        <v>0</v>
      </c>
      <c r="AA182" s="56"/>
      <c r="AB182" s="57"/>
      <c r="AC182" s="200" t="s">
        <v>269</v>
      </c>
      <c r="AG182" s="67"/>
      <c r="AJ182" s="71" t="s">
        <v>70</v>
      </c>
      <c r="AK182" s="71">
        <v>1</v>
      </c>
      <c r="BB182" s="201" t="s">
        <v>109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idden="1" x14ac:dyDescent="0.2">
      <c r="A183" s="294"/>
      <c r="B183" s="289"/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89"/>
      <c r="O183" s="295"/>
      <c r="P183" s="285" t="s">
        <v>87</v>
      </c>
      <c r="Q183" s="286"/>
      <c r="R183" s="286"/>
      <c r="S183" s="286"/>
      <c r="T183" s="286"/>
      <c r="U183" s="286"/>
      <c r="V183" s="287"/>
      <c r="W183" s="37" t="s">
        <v>68</v>
      </c>
      <c r="X183" s="278">
        <f>IFERROR(SUM(X182:X182),"0")</f>
        <v>0</v>
      </c>
      <c r="Y183" s="278">
        <f>IFERROR(SUM(Y182:Y182),"0")</f>
        <v>0</v>
      </c>
      <c r="Z183" s="278">
        <f>IFERROR(IF(Z182="",0,Z182),"0")</f>
        <v>0</v>
      </c>
      <c r="AA183" s="279"/>
      <c r="AB183" s="279"/>
      <c r="AC183" s="279"/>
    </row>
    <row r="184" spans="1:68" hidden="1" x14ac:dyDescent="0.2">
      <c r="A184" s="289"/>
      <c r="B184" s="289"/>
      <c r="C184" s="289"/>
      <c r="D184" s="289"/>
      <c r="E184" s="289"/>
      <c r="F184" s="289"/>
      <c r="G184" s="289"/>
      <c r="H184" s="289"/>
      <c r="I184" s="289"/>
      <c r="J184" s="289"/>
      <c r="K184" s="289"/>
      <c r="L184" s="289"/>
      <c r="M184" s="289"/>
      <c r="N184" s="289"/>
      <c r="O184" s="295"/>
      <c r="P184" s="285" t="s">
        <v>87</v>
      </c>
      <c r="Q184" s="286"/>
      <c r="R184" s="286"/>
      <c r="S184" s="286"/>
      <c r="T184" s="286"/>
      <c r="U184" s="286"/>
      <c r="V184" s="287"/>
      <c r="W184" s="37" t="s">
        <v>88</v>
      </c>
      <c r="X184" s="278">
        <f>IFERROR(SUMPRODUCT(X182:X182*H182:H182),"0")</f>
        <v>0</v>
      </c>
      <c r="Y184" s="278">
        <f>IFERROR(SUMPRODUCT(Y182:Y182*H182:H182),"0")</f>
        <v>0</v>
      </c>
      <c r="Z184" s="37"/>
      <c r="AA184" s="279"/>
      <c r="AB184" s="279"/>
      <c r="AC184" s="279"/>
    </row>
    <row r="185" spans="1:68" ht="16.5" hidden="1" customHeight="1" x14ac:dyDescent="0.25">
      <c r="A185" s="288" t="s">
        <v>270</v>
      </c>
      <c r="B185" s="289"/>
      <c r="C185" s="289"/>
      <c r="D185" s="289"/>
      <c r="E185" s="289"/>
      <c r="F185" s="289"/>
      <c r="G185" s="289"/>
      <c r="H185" s="289"/>
      <c r="I185" s="289"/>
      <c r="J185" s="289"/>
      <c r="K185" s="289"/>
      <c r="L185" s="289"/>
      <c r="M185" s="289"/>
      <c r="N185" s="289"/>
      <c r="O185" s="289"/>
      <c r="P185" s="289"/>
      <c r="Q185" s="289"/>
      <c r="R185" s="289"/>
      <c r="S185" s="289"/>
      <c r="T185" s="289"/>
      <c r="U185" s="289"/>
      <c r="V185" s="289"/>
      <c r="W185" s="289"/>
      <c r="X185" s="289"/>
      <c r="Y185" s="289"/>
      <c r="Z185" s="289"/>
      <c r="AA185" s="271"/>
      <c r="AB185" s="271"/>
      <c r="AC185" s="271"/>
    </row>
    <row r="186" spans="1:68" ht="14.25" hidden="1" customHeight="1" x14ac:dyDescent="0.25">
      <c r="A186" s="311" t="s">
        <v>62</v>
      </c>
      <c r="B186" s="289"/>
      <c r="C186" s="289"/>
      <c r="D186" s="289"/>
      <c r="E186" s="289"/>
      <c r="F186" s="289"/>
      <c r="G186" s="289"/>
      <c r="H186" s="289"/>
      <c r="I186" s="289"/>
      <c r="J186" s="289"/>
      <c r="K186" s="289"/>
      <c r="L186" s="289"/>
      <c r="M186" s="289"/>
      <c r="N186" s="289"/>
      <c r="O186" s="289"/>
      <c r="P186" s="289"/>
      <c r="Q186" s="289"/>
      <c r="R186" s="289"/>
      <c r="S186" s="289"/>
      <c r="T186" s="289"/>
      <c r="U186" s="289"/>
      <c r="V186" s="289"/>
      <c r="W186" s="289"/>
      <c r="X186" s="289"/>
      <c r="Y186" s="289"/>
      <c r="Z186" s="289"/>
      <c r="AA186" s="272"/>
      <c r="AB186" s="272"/>
      <c r="AC186" s="272"/>
    </row>
    <row r="187" spans="1:68" ht="16.5" hidden="1" customHeight="1" x14ac:dyDescent="0.25">
      <c r="A187" s="54" t="s">
        <v>271</v>
      </c>
      <c r="B187" s="54" t="s">
        <v>272</v>
      </c>
      <c r="C187" s="31">
        <v>4301071062</v>
      </c>
      <c r="D187" s="280">
        <v>4607111036384</v>
      </c>
      <c r="E187" s="281"/>
      <c r="F187" s="275">
        <v>5</v>
      </c>
      <c r="G187" s="32">
        <v>1</v>
      </c>
      <c r="H187" s="275">
        <v>5</v>
      </c>
      <c r="I187" s="275">
        <v>5.2106000000000003</v>
      </c>
      <c r="J187" s="32">
        <v>144</v>
      </c>
      <c r="K187" s="32" t="s">
        <v>65</v>
      </c>
      <c r="L187" s="32" t="s">
        <v>66</v>
      </c>
      <c r="M187" s="33" t="s">
        <v>67</v>
      </c>
      <c r="N187" s="33"/>
      <c r="O187" s="32">
        <v>180</v>
      </c>
      <c r="P187" s="34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7" s="283"/>
      <c r="R187" s="283"/>
      <c r="S187" s="283"/>
      <c r="T187" s="284"/>
      <c r="U187" s="34"/>
      <c r="V187" s="34"/>
      <c r="W187" s="35" t="s">
        <v>68</v>
      </c>
      <c r="X187" s="276">
        <v>0</v>
      </c>
      <c r="Y187" s="277">
        <f>IFERROR(IF(X187="","",X187),"")</f>
        <v>0</v>
      </c>
      <c r="Z187" s="36">
        <f>IFERROR(IF(X187="","",X187*0.00866),"")</f>
        <v>0</v>
      </c>
      <c r="AA187" s="56"/>
      <c r="AB187" s="57"/>
      <c r="AC187" s="202" t="s">
        <v>273</v>
      </c>
      <c r="AG187" s="67"/>
      <c r="AJ187" s="71" t="s">
        <v>70</v>
      </c>
      <c r="AK187" s="71">
        <v>1</v>
      </c>
      <c r="BB187" s="203" t="s">
        <v>1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t="27" customHeight="1" x14ac:dyDescent="0.25">
      <c r="A188" s="54" t="s">
        <v>274</v>
      </c>
      <c r="B188" s="54" t="s">
        <v>275</v>
      </c>
      <c r="C188" s="31">
        <v>4301071050</v>
      </c>
      <c r="D188" s="280">
        <v>4607111036216</v>
      </c>
      <c r="E188" s="281"/>
      <c r="F188" s="275">
        <v>5</v>
      </c>
      <c r="G188" s="32">
        <v>1</v>
      </c>
      <c r="H188" s="275">
        <v>5</v>
      </c>
      <c r="I188" s="275">
        <v>5.2131999999999996</v>
      </c>
      <c r="J188" s="32">
        <v>144</v>
      </c>
      <c r="K188" s="32" t="s">
        <v>65</v>
      </c>
      <c r="L188" s="32" t="s">
        <v>106</v>
      </c>
      <c r="M188" s="33" t="s">
        <v>67</v>
      </c>
      <c r="N188" s="33"/>
      <c r="O188" s="32">
        <v>180</v>
      </c>
      <c r="P188" s="42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8" s="283"/>
      <c r="R188" s="283"/>
      <c r="S188" s="283"/>
      <c r="T188" s="284"/>
      <c r="U188" s="34"/>
      <c r="V188" s="34"/>
      <c r="W188" s="35" t="s">
        <v>68</v>
      </c>
      <c r="X188" s="276">
        <v>60</v>
      </c>
      <c r="Y188" s="277">
        <f>IFERROR(IF(X188="","",X188),"")</f>
        <v>60</v>
      </c>
      <c r="Z188" s="36">
        <f>IFERROR(IF(X188="","",X188*0.00866),"")</f>
        <v>0.51959999999999995</v>
      </c>
      <c r="AA188" s="56"/>
      <c r="AB188" s="57"/>
      <c r="AC188" s="204" t="s">
        <v>276</v>
      </c>
      <c r="AG188" s="67"/>
      <c r="AJ188" s="71" t="s">
        <v>108</v>
      </c>
      <c r="AK188" s="71">
        <v>12</v>
      </c>
      <c r="BB188" s="205" t="s">
        <v>1</v>
      </c>
      <c r="BM188" s="67">
        <f>IFERROR(X188*I188,"0")</f>
        <v>312.79199999999997</v>
      </c>
      <c r="BN188" s="67">
        <f>IFERROR(Y188*I188,"0")</f>
        <v>312.79199999999997</v>
      </c>
      <c r="BO188" s="67">
        <f>IFERROR(X188/J188,"0")</f>
        <v>0.41666666666666669</v>
      </c>
      <c r="BP188" s="67">
        <f>IFERROR(Y188/J188,"0")</f>
        <v>0.41666666666666669</v>
      </c>
    </row>
    <row r="189" spans="1:68" x14ac:dyDescent="0.2">
      <c r="A189" s="294"/>
      <c r="B189" s="289"/>
      <c r="C189" s="289"/>
      <c r="D189" s="289"/>
      <c r="E189" s="289"/>
      <c r="F189" s="289"/>
      <c r="G189" s="289"/>
      <c r="H189" s="289"/>
      <c r="I189" s="289"/>
      <c r="J189" s="289"/>
      <c r="K189" s="289"/>
      <c r="L189" s="289"/>
      <c r="M189" s="289"/>
      <c r="N189" s="289"/>
      <c r="O189" s="295"/>
      <c r="P189" s="285" t="s">
        <v>87</v>
      </c>
      <c r="Q189" s="286"/>
      <c r="R189" s="286"/>
      <c r="S189" s="286"/>
      <c r="T189" s="286"/>
      <c r="U189" s="286"/>
      <c r="V189" s="287"/>
      <c r="W189" s="37" t="s">
        <v>68</v>
      </c>
      <c r="X189" s="278">
        <f>IFERROR(SUM(X187:X188),"0")</f>
        <v>60</v>
      </c>
      <c r="Y189" s="278">
        <f>IFERROR(SUM(Y187:Y188),"0")</f>
        <v>60</v>
      </c>
      <c r="Z189" s="278">
        <f>IFERROR(IF(Z187="",0,Z187),"0")+IFERROR(IF(Z188="",0,Z188),"0")</f>
        <v>0.51959999999999995</v>
      </c>
      <c r="AA189" s="279"/>
      <c r="AB189" s="279"/>
      <c r="AC189" s="279"/>
    </row>
    <row r="190" spans="1:68" x14ac:dyDescent="0.2">
      <c r="A190" s="289"/>
      <c r="B190" s="289"/>
      <c r="C190" s="289"/>
      <c r="D190" s="289"/>
      <c r="E190" s="289"/>
      <c r="F190" s="289"/>
      <c r="G190" s="289"/>
      <c r="H190" s="289"/>
      <c r="I190" s="289"/>
      <c r="J190" s="289"/>
      <c r="K190" s="289"/>
      <c r="L190" s="289"/>
      <c r="M190" s="289"/>
      <c r="N190" s="289"/>
      <c r="O190" s="295"/>
      <c r="P190" s="285" t="s">
        <v>87</v>
      </c>
      <c r="Q190" s="286"/>
      <c r="R190" s="286"/>
      <c r="S190" s="286"/>
      <c r="T190" s="286"/>
      <c r="U190" s="286"/>
      <c r="V190" s="287"/>
      <c r="W190" s="37" t="s">
        <v>88</v>
      </c>
      <c r="X190" s="278">
        <f>IFERROR(SUMPRODUCT(X187:X188*H187:H188),"0")</f>
        <v>300</v>
      </c>
      <c r="Y190" s="278">
        <f>IFERROR(SUMPRODUCT(Y187:Y188*H187:H188),"0")</f>
        <v>300</v>
      </c>
      <c r="Z190" s="37"/>
      <c r="AA190" s="279"/>
      <c r="AB190" s="279"/>
      <c r="AC190" s="279"/>
    </row>
    <row r="191" spans="1:68" ht="16.5" hidden="1" customHeight="1" x14ac:dyDescent="0.25">
      <c r="A191" s="288" t="s">
        <v>277</v>
      </c>
      <c r="B191" s="289"/>
      <c r="C191" s="289"/>
      <c r="D191" s="289"/>
      <c r="E191" s="289"/>
      <c r="F191" s="289"/>
      <c r="G191" s="289"/>
      <c r="H191" s="289"/>
      <c r="I191" s="289"/>
      <c r="J191" s="289"/>
      <c r="K191" s="289"/>
      <c r="L191" s="289"/>
      <c r="M191" s="289"/>
      <c r="N191" s="289"/>
      <c r="O191" s="289"/>
      <c r="P191" s="289"/>
      <c r="Q191" s="289"/>
      <c r="R191" s="289"/>
      <c r="S191" s="289"/>
      <c r="T191" s="289"/>
      <c r="U191" s="289"/>
      <c r="V191" s="289"/>
      <c r="W191" s="289"/>
      <c r="X191" s="289"/>
      <c r="Y191" s="289"/>
      <c r="Z191" s="289"/>
      <c r="AA191" s="271"/>
      <c r="AB191" s="271"/>
      <c r="AC191" s="271"/>
    </row>
    <row r="192" spans="1:68" ht="14.25" hidden="1" customHeight="1" x14ac:dyDescent="0.25">
      <c r="A192" s="311" t="s">
        <v>62</v>
      </c>
      <c r="B192" s="289"/>
      <c r="C192" s="289"/>
      <c r="D192" s="289"/>
      <c r="E192" s="289"/>
      <c r="F192" s="289"/>
      <c r="G192" s="289"/>
      <c r="H192" s="289"/>
      <c r="I192" s="289"/>
      <c r="J192" s="289"/>
      <c r="K192" s="289"/>
      <c r="L192" s="289"/>
      <c r="M192" s="289"/>
      <c r="N192" s="289"/>
      <c r="O192" s="289"/>
      <c r="P192" s="289"/>
      <c r="Q192" s="289"/>
      <c r="R192" s="289"/>
      <c r="S192" s="289"/>
      <c r="T192" s="289"/>
      <c r="U192" s="289"/>
      <c r="V192" s="289"/>
      <c r="W192" s="289"/>
      <c r="X192" s="289"/>
      <c r="Y192" s="289"/>
      <c r="Z192" s="289"/>
      <c r="AA192" s="272"/>
      <c r="AB192" s="272"/>
      <c r="AC192" s="272"/>
    </row>
    <row r="193" spans="1:68" ht="27" customHeight="1" x14ac:dyDescent="0.25">
      <c r="A193" s="54" t="s">
        <v>278</v>
      </c>
      <c r="B193" s="54" t="s">
        <v>279</v>
      </c>
      <c r="C193" s="31">
        <v>4301071117</v>
      </c>
      <c r="D193" s="280">
        <v>4620207491737</v>
      </c>
      <c r="E193" s="281"/>
      <c r="F193" s="275">
        <v>1</v>
      </c>
      <c r="G193" s="32">
        <v>5</v>
      </c>
      <c r="H193" s="275">
        <v>5</v>
      </c>
      <c r="I193" s="275">
        <v>5.2619999999999996</v>
      </c>
      <c r="J193" s="32">
        <v>84</v>
      </c>
      <c r="K193" s="32" t="s">
        <v>65</v>
      </c>
      <c r="L193" s="32" t="s">
        <v>66</v>
      </c>
      <c r="M193" s="33" t="s">
        <v>67</v>
      </c>
      <c r="N193" s="33"/>
      <c r="O193" s="32">
        <v>180</v>
      </c>
      <c r="P193" s="410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3" s="283"/>
      <c r="R193" s="283"/>
      <c r="S193" s="283"/>
      <c r="T193" s="284"/>
      <c r="U193" s="34"/>
      <c r="V193" s="34"/>
      <c r="W193" s="35" t="s">
        <v>68</v>
      </c>
      <c r="X193" s="276">
        <v>168</v>
      </c>
      <c r="Y193" s="277">
        <f>IFERROR(IF(X193="","",X193),"")</f>
        <v>168</v>
      </c>
      <c r="Z193" s="36">
        <f>IFERROR(IF(X193="","",X193*0.0155),"")</f>
        <v>2.6040000000000001</v>
      </c>
      <c r="AA193" s="56"/>
      <c r="AB193" s="57"/>
      <c r="AC193" s="206" t="s">
        <v>276</v>
      </c>
      <c r="AG193" s="67"/>
      <c r="AJ193" s="71" t="s">
        <v>70</v>
      </c>
      <c r="AK193" s="71">
        <v>1</v>
      </c>
      <c r="BB193" s="207" t="s">
        <v>1</v>
      </c>
      <c r="BM193" s="67">
        <f>IFERROR(X193*I193,"0")</f>
        <v>884.01599999999996</v>
      </c>
      <c r="BN193" s="67">
        <f>IFERROR(Y193*I193,"0")</f>
        <v>884.01599999999996</v>
      </c>
      <c r="BO193" s="67">
        <f>IFERROR(X193/J193,"0")</f>
        <v>2</v>
      </c>
      <c r="BP193" s="67">
        <f>IFERROR(Y193/J193,"0")</f>
        <v>2</v>
      </c>
    </row>
    <row r="194" spans="1:68" x14ac:dyDescent="0.2">
      <c r="A194" s="294"/>
      <c r="B194" s="289"/>
      <c r="C194" s="289"/>
      <c r="D194" s="289"/>
      <c r="E194" s="289"/>
      <c r="F194" s="289"/>
      <c r="G194" s="289"/>
      <c r="H194" s="289"/>
      <c r="I194" s="289"/>
      <c r="J194" s="289"/>
      <c r="K194" s="289"/>
      <c r="L194" s="289"/>
      <c r="M194" s="289"/>
      <c r="N194" s="289"/>
      <c r="O194" s="295"/>
      <c r="P194" s="285" t="s">
        <v>87</v>
      </c>
      <c r="Q194" s="286"/>
      <c r="R194" s="286"/>
      <c r="S194" s="286"/>
      <c r="T194" s="286"/>
      <c r="U194" s="286"/>
      <c r="V194" s="287"/>
      <c r="W194" s="37" t="s">
        <v>68</v>
      </c>
      <c r="X194" s="278">
        <f>IFERROR(SUM(X193:X193),"0")</f>
        <v>168</v>
      </c>
      <c r="Y194" s="278">
        <f>IFERROR(SUM(Y193:Y193),"0")</f>
        <v>168</v>
      </c>
      <c r="Z194" s="278">
        <f>IFERROR(IF(Z193="",0,Z193),"0")</f>
        <v>2.6040000000000001</v>
      </c>
      <c r="AA194" s="279"/>
      <c r="AB194" s="279"/>
      <c r="AC194" s="279"/>
    </row>
    <row r="195" spans="1:68" x14ac:dyDescent="0.2">
      <c r="A195" s="289"/>
      <c r="B195" s="289"/>
      <c r="C195" s="289"/>
      <c r="D195" s="289"/>
      <c r="E195" s="289"/>
      <c r="F195" s="289"/>
      <c r="G195" s="289"/>
      <c r="H195" s="289"/>
      <c r="I195" s="289"/>
      <c r="J195" s="289"/>
      <c r="K195" s="289"/>
      <c r="L195" s="289"/>
      <c r="M195" s="289"/>
      <c r="N195" s="289"/>
      <c r="O195" s="295"/>
      <c r="P195" s="285" t="s">
        <v>87</v>
      </c>
      <c r="Q195" s="286"/>
      <c r="R195" s="286"/>
      <c r="S195" s="286"/>
      <c r="T195" s="286"/>
      <c r="U195" s="286"/>
      <c r="V195" s="287"/>
      <c r="W195" s="37" t="s">
        <v>88</v>
      </c>
      <c r="X195" s="278">
        <f>IFERROR(SUMPRODUCT(X193:X193*H193:H193),"0")</f>
        <v>840</v>
      </c>
      <c r="Y195" s="278">
        <f>IFERROR(SUMPRODUCT(Y193:Y193*H193:H193),"0")</f>
        <v>840</v>
      </c>
      <c r="Z195" s="37"/>
      <c r="AA195" s="279"/>
      <c r="AB195" s="279"/>
      <c r="AC195" s="279"/>
    </row>
    <row r="196" spans="1:68" ht="27.75" hidden="1" customHeight="1" x14ac:dyDescent="0.2">
      <c r="A196" s="292" t="s">
        <v>280</v>
      </c>
      <c r="B196" s="293"/>
      <c r="C196" s="293"/>
      <c r="D196" s="293"/>
      <c r="E196" s="293"/>
      <c r="F196" s="293"/>
      <c r="G196" s="293"/>
      <c r="H196" s="293"/>
      <c r="I196" s="293"/>
      <c r="J196" s="293"/>
      <c r="K196" s="293"/>
      <c r="L196" s="293"/>
      <c r="M196" s="293"/>
      <c r="N196" s="293"/>
      <c r="O196" s="293"/>
      <c r="P196" s="293"/>
      <c r="Q196" s="293"/>
      <c r="R196" s="293"/>
      <c r="S196" s="293"/>
      <c r="T196" s="293"/>
      <c r="U196" s="293"/>
      <c r="V196" s="293"/>
      <c r="W196" s="293"/>
      <c r="X196" s="293"/>
      <c r="Y196" s="293"/>
      <c r="Z196" s="293"/>
      <c r="AA196" s="48"/>
      <c r="AB196" s="48"/>
      <c r="AC196" s="48"/>
    </row>
    <row r="197" spans="1:68" ht="16.5" hidden="1" customHeight="1" x14ac:dyDescent="0.25">
      <c r="A197" s="288" t="s">
        <v>281</v>
      </c>
      <c r="B197" s="289"/>
      <c r="C197" s="289"/>
      <c r="D197" s="289"/>
      <c r="E197" s="289"/>
      <c r="F197" s="289"/>
      <c r="G197" s="289"/>
      <c r="H197" s="289"/>
      <c r="I197" s="289"/>
      <c r="J197" s="289"/>
      <c r="K197" s="289"/>
      <c r="L197" s="289"/>
      <c r="M197" s="289"/>
      <c r="N197" s="289"/>
      <c r="O197" s="289"/>
      <c r="P197" s="289"/>
      <c r="Q197" s="289"/>
      <c r="R197" s="289"/>
      <c r="S197" s="289"/>
      <c r="T197" s="289"/>
      <c r="U197" s="289"/>
      <c r="V197" s="289"/>
      <c r="W197" s="289"/>
      <c r="X197" s="289"/>
      <c r="Y197" s="289"/>
      <c r="Z197" s="289"/>
      <c r="AA197" s="271"/>
      <c r="AB197" s="271"/>
      <c r="AC197" s="271"/>
    </row>
    <row r="198" spans="1:68" ht="14.25" hidden="1" customHeight="1" x14ac:dyDescent="0.25">
      <c r="A198" s="311" t="s">
        <v>102</v>
      </c>
      <c r="B198" s="289"/>
      <c r="C198" s="289"/>
      <c r="D198" s="289"/>
      <c r="E198" s="289"/>
      <c r="F198" s="289"/>
      <c r="G198" s="289"/>
      <c r="H198" s="289"/>
      <c r="I198" s="289"/>
      <c r="J198" s="289"/>
      <c r="K198" s="289"/>
      <c r="L198" s="289"/>
      <c r="M198" s="289"/>
      <c r="N198" s="289"/>
      <c r="O198" s="289"/>
      <c r="P198" s="289"/>
      <c r="Q198" s="289"/>
      <c r="R198" s="289"/>
      <c r="S198" s="289"/>
      <c r="T198" s="289"/>
      <c r="U198" s="289"/>
      <c r="V198" s="289"/>
      <c r="W198" s="289"/>
      <c r="X198" s="289"/>
      <c r="Y198" s="289"/>
      <c r="Z198" s="289"/>
      <c r="AA198" s="272"/>
      <c r="AB198" s="272"/>
      <c r="AC198" s="272"/>
    </row>
    <row r="199" spans="1:68" ht="16.5" hidden="1" customHeight="1" x14ac:dyDescent="0.25">
      <c r="A199" s="54" t="s">
        <v>282</v>
      </c>
      <c r="B199" s="54" t="s">
        <v>283</v>
      </c>
      <c r="C199" s="31">
        <v>4301132179</v>
      </c>
      <c r="D199" s="280">
        <v>4607111035691</v>
      </c>
      <c r="E199" s="281"/>
      <c r="F199" s="275">
        <v>0.25</v>
      </c>
      <c r="G199" s="32">
        <v>12</v>
      </c>
      <c r="H199" s="275">
        <v>3</v>
      </c>
      <c r="I199" s="275">
        <v>3.3879999999999999</v>
      </c>
      <c r="J199" s="32">
        <v>70</v>
      </c>
      <c r="K199" s="32" t="s">
        <v>105</v>
      </c>
      <c r="L199" s="32" t="s">
        <v>106</v>
      </c>
      <c r="M199" s="33" t="s">
        <v>67</v>
      </c>
      <c r="N199" s="33"/>
      <c r="O199" s="32">
        <v>365</v>
      </c>
      <c r="P199" s="45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9" s="283"/>
      <c r="R199" s="283"/>
      <c r="S199" s="283"/>
      <c r="T199" s="284"/>
      <c r="U199" s="34"/>
      <c r="V199" s="34"/>
      <c r="W199" s="35" t="s">
        <v>68</v>
      </c>
      <c r="X199" s="276">
        <v>0</v>
      </c>
      <c r="Y199" s="277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284</v>
      </c>
      <c r="AG199" s="67"/>
      <c r="AJ199" s="71" t="s">
        <v>108</v>
      </c>
      <c r="AK199" s="71">
        <v>14</v>
      </c>
      <c r="BB199" s="209" t="s">
        <v>109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customHeight="1" x14ac:dyDescent="0.25">
      <c r="A200" s="54" t="s">
        <v>285</v>
      </c>
      <c r="B200" s="54" t="s">
        <v>286</v>
      </c>
      <c r="C200" s="31">
        <v>4301132182</v>
      </c>
      <c r="D200" s="280">
        <v>4607111035721</v>
      </c>
      <c r="E200" s="281"/>
      <c r="F200" s="275">
        <v>0.25</v>
      </c>
      <c r="G200" s="32">
        <v>12</v>
      </c>
      <c r="H200" s="275">
        <v>3</v>
      </c>
      <c r="I200" s="275">
        <v>3.3879999999999999</v>
      </c>
      <c r="J200" s="32">
        <v>70</v>
      </c>
      <c r="K200" s="32" t="s">
        <v>105</v>
      </c>
      <c r="L200" s="32" t="s">
        <v>106</v>
      </c>
      <c r="M200" s="33" t="s">
        <v>67</v>
      </c>
      <c r="N200" s="33"/>
      <c r="O200" s="32">
        <v>365</v>
      </c>
      <c r="P200" s="45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0" s="283"/>
      <c r="R200" s="283"/>
      <c r="S200" s="283"/>
      <c r="T200" s="284"/>
      <c r="U200" s="34"/>
      <c r="V200" s="34"/>
      <c r="W200" s="35" t="s">
        <v>68</v>
      </c>
      <c r="X200" s="276">
        <v>42</v>
      </c>
      <c r="Y200" s="277">
        <f>IFERROR(IF(X200="","",X200),"")</f>
        <v>42</v>
      </c>
      <c r="Z200" s="36">
        <f>IFERROR(IF(X200="","",X200*0.01788),"")</f>
        <v>0.75095999999999996</v>
      </c>
      <c r="AA200" s="56"/>
      <c r="AB200" s="57"/>
      <c r="AC200" s="210" t="s">
        <v>287</v>
      </c>
      <c r="AG200" s="67"/>
      <c r="AJ200" s="71" t="s">
        <v>108</v>
      </c>
      <c r="AK200" s="71">
        <v>14</v>
      </c>
      <c r="BB200" s="211" t="s">
        <v>109</v>
      </c>
      <c r="BM200" s="67">
        <f>IFERROR(X200*I200,"0")</f>
        <v>142.29599999999999</v>
      </c>
      <c r="BN200" s="67">
        <f>IFERROR(Y200*I200,"0")</f>
        <v>142.29599999999999</v>
      </c>
      <c r="BO200" s="67">
        <f>IFERROR(X200/J200,"0")</f>
        <v>0.6</v>
      </c>
      <c r="BP200" s="67">
        <f>IFERROR(Y200/J200,"0")</f>
        <v>0.6</v>
      </c>
    </row>
    <row r="201" spans="1:68" ht="27" customHeight="1" x14ac:dyDescent="0.25">
      <c r="A201" s="54" t="s">
        <v>288</v>
      </c>
      <c r="B201" s="54" t="s">
        <v>289</v>
      </c>
      <c r="C201" s="31">
        <v>4301132170</v>
      </c>
      <c r="D201" s="280">
        <v>4607111038487</v>
      </c>
      <c r="E201" s="281"/>
      <c r="F201" s="275">
        <v>0.25</v>
      </c>
      <c r="G201" s="32">
        <v>12</v>
      </c>
      <c r="H201" s="275">
        <v>3</v>
      </c>
      <c r="I201" s="275">
        <v>3.7360000000000002</v>
      </c>
      <c r="J201" s="32">
        <v>70</v>
      </c>
      <c r="K201" s="32" t="s">
        <v>105</v>
      </c>
      <c r="L201" s="32" t="s">
        <v>106</v>
      </c>
      <c r="M201" s="33" t="s">
        <v>67</v>
      </c>
      <c r="N201" s="33"/>
      <c r="O201" s="32">
        <v>180</v>
      </c>
      <c r="P201" s="43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1" s="283"/>
      <c r="R201" s="283"/>
      <c r="S201" s="283"/>
      <c r="T201" s="284"/>
      <c r="U201" s="34"/>
      <c r="V201" s="34"/>
      <c r="W201" s="35" t="s">
        <v>68</v>
      </c>
      <c r="X201" s="276">
        <v>70</v>
      </c>
      <c r="Y201" s="277">
        <f>IFERROR(IF(X201="","",X201),"")</f>
        <v>70</v>
      </c>
      <c r="Z201" s="36">
        <f>IFERROR(IF(X201="","",X201*0.01788),"")</f>
        <v>1.2516</v>
      </c>
      <c r="AA201" s="56"/>
      <c r="AB201" s="57"/>
      <c r="AC201" s="212" t="s">
        <v>290</v>
      </c>
      <c r="AG201" s="67"/>
      <c r="AJ201" s="71" t="s">
        <v>108</v>
      </c>
      <c r="AK201" s="71">
        <v>14</v>
      </c>
      <c r="BB201" s="213" t="s">
        <v>109</v>
      </c>
      <c r="BM201" s="67">
        <f>IFERROR(X201*I201,"0")</f>
        <v>261.52000000000004</v>
      </c>
      <c r="BN201" s="67">
        <f>IFERROR(Y201*I201,"0")</f>
        <v>261.52000000000004</v>
      </c>
      <c r="BO201" s="67">
        <f>IFERROR(X201/J201,"0")</f>
        <v>1</v>
      </c>
      <c r="BP201" s="67">
        <f>IFERROR(Y201/J201,"0")</f>
        <v>1</v>
      </c>
    </row>
    <row r="202" spans="1:68" ht="27" hidden="1" customHeight="1" x14ac:dyDescent="0.25">
      <c r="A202" s="54" t="s">
        <v>291</v>
      </c>
      <c r="B202" s="54" t="s">
        <v>292</v>
      </c>
      <c r="C202" s="31">
        <v>4301132243</v>
      </c>
      <c r="D202" s="280">
        <v>4620207491195</v>
      </c>
      <c r="E202" s="281"/>
      <c r="F202" s="275">
        <v>0.23</v>
      </c>
      <c r="G202" s="32">
        <v>12</v>
      </c>
      <c r="H202" s="275">
        <v>2.76</v>
      </c>
      <c r="I202" s="275">
        <v>3.1480000000000001</v>
      </c>
      <c r="J202" s="32">
        <v>70</v>
      </c>
      <c r="K202" s="32" t="s">
        <v>105</v>
      </c>
      <c r="L202" s="32" t="s">
        <v>66</v>
      </c>
      <c r="M202" s="33" t="s">
        <v>67</v>
      </c>
      <c r="N202" s="33"/>
      <c r="O202" s="32">
        <v>180</v>
      </c>
      <c r="P202" s="468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2" s="283"/>
      <c r="R202" s="283"/>
      <c r="S202" s="283"/>
      <c r="T202" s="284"/>
      <c r="U202" s="34"/>
      <c r="V202" s="34"/>
      <c r="W202" s="35" t="s">
        <v>68</v>
      </c>
      <c r="X202" s="276">
        <v>0</v>
      </c>
      <c r="Y202" s="277">
        <f>IFERROR(IF(X202="","",X202),"")</f>
        <v>0</v>
      </c>
      <c r="Z202" s="36">
        <f>IFERROR(IF(X202="","",X202*0.01788),"")</f>
        <v>0</v>
      </c>
      <c r="AA202" s="56"/>
      <c r="AB202" s="57"/>
      <c r="AC202" s="214" t="s">
        <v>293</v>
      </c>
      <c r="AG202" s="67"/>
      <c r="AJ202" s="71" t="s">
        <v>70</v>
      </c>
      <c r="AK202" s="71">
        <v>1</v>
      </c>
      <c r="BB202" s="215" t="s">
        <v>109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x14ac:dyDescent="0.2">
      <c r="A203" s="294"/>
      <c r="B203" s="289"/>
      <c r="C203" s="289"/>
      <c r="D203" s="289"/>
      <c r="E203" s="289"/>
      <c r="F203" s="289"/>
      <c r="G203" s="289"/>
      <c r="H203" s="289"/>
      <c r="I203" s="289"/>
      <c r="J203" s="289"/>
      <c r="K203" s="289"/>
      <c r="L203" s="289"/>
      <c r="M203" s="289"/>
      <c r="N203" s="289"/>
      <c r="O203" s="295"/>
      <c r="P203" s="285" t="s">
        <v>87</v>
      </c>
      <c r="Q203" s="286"/>
      <c r="R203" s="286"/>
      <c r="S203" s="286"/>
      <c r="T203" s="286"/>
      <c r="U203" s="286"/>
      <c r="V203" s="287"/>
      <c r="W203" s="37" t="s">
        <v>68</v>
      </c>
      <c r="X203" s="278">
        <f>IFERROR(SUM(X199:X202),"0")</f>
        <v>112</v>
      </c>
      <c r="Y203" s="278">
        <f>IFERROR(SUM(Y199:Y202),"0")</f>
        <v>112</v>
      </c>
      <c r="Z203" s="278">
        <f>IFERROR(IF(Z199="",0,Z199),"0")+IFERROR(IF(Z200="",0,Z200),"0")+IFERROR(IF(Z201="",0,Z201),"0")+IFERROR(IF(Z202="",0,Z202),"0")</f>
        <v>2.0025599999999999</v>
      </c>
      <c r="AA203" s="279"/>
      <c r="AB203" s="279"/>
      <c r="AC203" s="279"/>
    </row>
    <row r="204" spans="1:68" x14ac:dyDescent="0.2">
      <c r="A204" s="289"/>
      <c r="B204" s="289"/>
      <c r="C204" s="289"/>
      <c r="D204" s="289"/>
      <c r="E204" s="289"/>
      <c r="F204" s="289"/>
      <c r="G204" s="289"/>
      <c r="H204" s="289"/>
      <c r="I204" s="289"/>
      <c r="J204" s="289"/>
      <c r="K204" s="289"/>
      <c r="L204" s="289"/>
      <c r="M204" s="289"/>
      <c r="N204" s="289"/>
      <c r="O204" s="295"/>
      <c r="P204" s="285" t="s">
        <v>87</v>
      </c>
      <c r="Q204" s="286"/>
      <c r="R204" s="286"/>
      <c r="S204" s="286"/>
      <c r="T204" s="286"/>
      <c r="U204" s="286"/>
      <c r="V204" s="287"/>
      <c r="W204" s="37" t="s">
        <v>88</v>
      </c>
      <c r="X204" s="278">
        <f>IFERROR(SUMPRODUCT(X199:X202*H199:H202),"0")</f>
        <v>336</v>
      </c>
      <c r="Y204" s="278">
        <f>IFERROR(SUMPRODUCT(Y199:Y202*H199:H202),"0")</f>
        <v>336</v>
      </c>
      <c r="Z204" s="37"/>
      <c r="AA204" s="279"/>
      <c r="AB204" s="279"/>
      <c r="AC204" s="279"/>
    </row>
    <row r="205" spans="1:68" ht="27.75" hidden="1" customHeight="1" x14ac:dyDescent="0.2">
      <c r="A205" s="292" t="s">
        <v>294</v>
      </c>
      <c r="B205" s="293"/>
      <c r="C205" s="293"/>
      <c r="D205" s="293"/>
      <c r="E205" s="293"/>
      <c r="F205" s="293"/>
      <c r="G205" s="293"/>
      <c r="H205" s="293"/>
      <c r="I205" s="293"/>
      <c r="J205" s="293"/>
      <c r="K205" s="293"/>
      <c r="L205" s="293"/>
      <c r="M205" s="293"/>
      <c r="N205" s="293"/>
      <c r="O205" s="293"/>
      <c r="P205" s="293"/>
      <c r="Q205" s="293"/>
      <c r="R205" s="293"/>
      <c r="S205" s="293"/>
      <c r="T205" s="293"/>
      <c r="U205" s="293"/>
      <c r="V205" s="293"/>
      <c r="W205" s="293"/>
      <c r="X205" s="293"/>
      <c r="Y205" s="293"/>
      <c r="Z205" s="293"/>
      <c r="AA205" s="48"/>
      <c r="AB205" s="48"/>
      <c r="AC205" s="48"/>
    </row>
    <row r="206" spans="1:68" ht="16.5" hidden="1" customHeight="1" x14ac:dyDescent="0.25">
      <c r="A206" s="288" t="s">
        <v>295</v>
      </c>
      <c r="B206" s="289"/>
      <c r="C206" s="289"/>
      <c r="D206" s="289"/>
      <c r="E206" s="289"/>
      <c r="F206" s="289"/>
      <c r="G206" s="289"/>
      <c r="H206" s="289"/>
      <c r="I206" s="289"/>
      <c r="J206" s="289"/>
      <c r="K206" s="289"/>
      <c r="L206" s="289"/>
      <c r="M206" s="289"/>
      <c r="N206" s="289"/>
      <c r="O206" s="289"/>
      <c r="P206" s="289"/>
      <c r="Q206" s="289"/>
      <c r="R206" s="289"/>
      <c r="S206" s="289"/>
      <c r="T206" s="289"/>
      <c r="U206" s="289"/>
      <c r="V206" s="289"/>
      <c r="W206" s="289"/>
      <c r="X206" s="289"/>
      <c r="Y206" s="289"/>
      <c r="Z206" s="289"/>
      <c r="AA206" s="271"/>
      <c r="AB206" s="271"/>
      <c r="AC206" s="271"/>
    </row>
    <row r="207" spans="1:68" ht="14.25" hidden="1" customHeight="1" x14ac:dyDescent="0.25">
      <c r="A207" s="311" t="s">
        <v>102</v>
      </c>
      <c r="B207" s="289"/>
      <c r="C207" s="289"/>
      <c r="D207" s="289"/>
      <c r="E207" s="289"/>
      <c r="F207" s="289"/>
      <c r="G207" s="289"/>
      <c r="H207" s="289"/>
      <c r="I207" s="289"/>
      <c r="J207" s="289"/>
      <c r="K207" s="289"/>
      <c r="L207" s="289"/>
      <c r="M207" s="289"/>
      <c r="N207" s="289"/>
      <c r="O207" s="289"/>
      <c r="P207" s="289"/>
      <c r="Q207" s="289"/>
      <c r="R207" s="289"/>
      <c r="S207" s="289"/>
      <c r="T207" s="289"/>
      <c r="U207" s="289"/>
      <c r="V207" s="289"/>
      <c r="W207" s="289"/>
      <c r="X207" s="289"/>
      <c r="Y207" s="289"/>
      <c r="Z207" s="289"/>
      <c r="AA207" s="272"/>
      <c r="AB207" s="272"/>
      <c r="AC207" s="272"/>
    </row>
    <row r="208" spans="1:68" ht="27" customHeight="1" x14ac:dyDescent="0.25">
      <c r="A208" s="54" t="s">
        <v>296</v>
      </c>
      <c r="B208" s="54" t="s">
        <v>297</v>
      </c>
      <c r="C208" s="31">
        <v>4301132227</v>
      </c>
      <c r="D208" s="280">
        <v>4620207491133</v>
      </c>
      <c r="E208" s="281"/>
      <c r="F208" s="275">
        <v>0.23</v>
      </c>
      <c r="G208" s="32">
        <v>12</v>
      </c>
      <c r="H208" s="275">
        <v>2.76</v>
      </c>
      <c r="I208" s="275">
        <v>2.98</v>
      </c>
      <c r="J208" s="32">
        <v>70</v>
      </c>
      <c r="K208" s="32" t="s">
        <v>105</v>
      </c>
      <c r="L208" s="32" t="s">
        <v>106</v>
      </c>
      <c r="M208" s="33" t="s">
        <v>67</v>
      </c>
      <c r="N208" s="33"/>
      <c r="O208" s="32">
        <v>180</v>
      </c>
      <c r="P208" s="365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8" s="283"/>
      <c r="R208" s="283"/>
      <c r="S208" s="283"/>
      <c r="T208" s="284"/>
      <c r="U208" s="34"/>
      <c r="V208" s="34"/>
      <c r="W208" s="35" t="s">
        <v>68</v>
      </c>
      <c r="X208" s="276">
        <v>14</v>
      </c>
      <c r="Y208" s="277">
        <f>IFERROR(IF(X208="","",X208),"")</f>
        <v>14</v>
      </c>
      <c r="Z208" s="36">
        <f>IFERROR(IF(X208="","",X208*0.01788),"")</f>
        <v>0.25031999999999999</v>
      </c>
      <c r="AA208" s="56"/>
      <c r="AB208" s="57"/>
      <c r="AC208" s="216" t="s">
        <v>298</v>
      </c>
      <c r="AG208" s="67"/>
      <c r="AJ208" s="71" t="s">
        <v>108</v>
      </c>
      <c r="AK208" s="71">
        <v>14</v>
      </c>
      <c r="BB208" s="217" t="s">
        <v>109</v>
      </c>
      <c r="BM208" s="67">
        <f>IFERROR(X208*I208,"0")</f>
        <v>41.72</v>
      </c>
      <c r="BN208" s="67">
        <f>IFERROR(Y208*I208,"0")</f>
        <v>41.72</v>
      </c>
      <c r="BO208" s="67">
        <f>IFERROR(X208/J208,"0")</f>
        <v>0.2</v>
      </c>
      <c r="BP208" s="67">
        <f>IFERROR(Y208/J208,"0")</f>
        <v>0.2</v>
      </c>
    </row>
    <row r="209" spans="1:68" x14ac:dyDescent="0.2">
      <c r="A209" s="294"/>
      <c r="B209" s="289"/>
      <c r="C209" s="289"/>
      <c r="D209" s="289"/>
      <c r="E209" s="289"/>
      <c r="F209" s="289"/>
      <c r="G209" s="289"/>
      <c r="H209" s="289"/>
      <c r="I209" s="289"/>
      <c r="J209" s="289"/>
      <c r="K209" s="289"/>
      <c r="L209" s="289"/>
      <c r="M209" s="289"/>
      <c r="N209" s="289"/>
      <c r="O209" s="295"/>
      <c r="P209" s="285" t="s">
        <v>87</v>
      </c>
      <c r="Q209" s="286"/>
      <c r="R209" s="286"/>
      <c r="S209" s="286"/>
      <c r="T209" s="286"/>
      <c r="U209" s="286"/>
      <c r="V209" s="287"/>
      <c r="W209" s="37" t="s">
        <v>68</v>
      </c>
      <c r="X209" s="278">
        <f>IFERROR(SUM(X208:X208),"0")</f>
        <v>14</v>
      </c>
      <c r="Y209" s="278">
        <f>IFERROR(SUM(Y208:Y208),"0")</f>
        <v>14</v>
      </c>
      <c r="Z209" s="278">
        <f>IFERROR(IF(Z208="",0,Z208),"0")</f>
        <v>0.25031999999999999</v>
      </c>
      <c r="AA209" s="279"/>
      <c r="AB209" s="279"/>
      <c r="AC209" s="279"/>
    </row>
    <row r="210" spans="1:68" x14ac:dyDescent="0.2">
      <c r="A210" s="289"/>
      <c r="B210" s="289"/>
      <c r="C210" s="289"/>
      <c r="D210" s="289"/>
      <c r="E210" s="289"/>
      <c r="F210" s="289"/>
      <c r="G210" s="289"/>
      <c r="H210" s="289"/>
      <c r="I210" s="289"/>
      <c r="J210" s="289"/>
      <c r="K210" s="289"/>
      <c r="L210" s="289"/>
      <c r="M210" s="289"/>
      <c r="N210" s="289"/>
      <c r="O210" s="295"/>
      <c r="P210" s="285" t="s">
        <v>87</v>
      </c>
      <c r="Q210" s="286"/>
      <c r="R210" s="286"/>
      <c r="S210" s="286"/>
      <c r="T210" s="286"/>
      <c r="U210" s="286"/>
      <c r="V210" s="287"/>
      <c r="W210" s="37" t="s">
        <v>88</v>
      </c>
      <c r="X210" s="278">
        <f>IFERROR(SUMPRODUCT(X208:X208*H208:H208),"0")</f>
        <v>38.64</v>
      </c>
      <c r="Y210" s="278">
        <f>IFERROR(SUMPRODUCT(Y208:Y208*H208:H208),"0")</f>
        <v>38.64</v>
      </c>
      <c r="Z210" s="37"/>
      <c r="AA210" s="279"/>
      <c r="AB210" s="279"/>
      <c r="AC210" s="279"/>
    </row>
    <row r="211" spans="1:68" ht="14.25" hidden="1" customHeight="1" x14ac:dyDescent="0.25">
      <c r="A211" s="311" t="s">
        <v>153</v>
      </c>
      <c r="B211" s="289"/>
      <c r="C211" s="289"/>
      <c r="D211" s="289"/>
      <c r="E211" s="289"/>
      <c r="F211" s="289"/>
      <c r="G211" s="289"/>
      <c r="H211" s="289"/>
      <c r="I211" s="289"/>
      <c r="J211" s="289"/>
      <c r="K211" s="289"/>
      <c r="L211" s="289"/>
      <c r="M211" s="289"/>
      <c r="N211" s="289"/>
      <c r="O211" s="289"/>
      <c r="P211" s="289"/>
      <c r="Q211" s="289"/>
      <c r="R211" s="289"/>
      <c r="S211" s="289"/>
      <c r="T211" s="289"/>
      <c r="U211" s="289"/>
      <c r="V211" s="289"/>
      <c r="W211" s="289"/>
      <c r="X211" s="289"/>
      <c r="Y211" s="289"/>
      <c r="Z211" s="289"/>
      <c r="AA211" s="272"/>
      <c r="AB211" s="272"/>
      <c r="AC211" s="272"/>
    </row>
    <row r="212" spans="1:68" ht="27" hidden="1" customHeight="1" x14ac:dyDescent="0.25">
      <c r="A212" s="54" t="s">
        <v>299</v>
      </c>
      <c r="B212" s="54" t="s">
        <v>300</v>
      </c>
      <c r="C212" s="31">
        <v>4301135834</v>
      </c>
      <c r="D212" s="280">
        <v>4620207491188</v>
      </c>
      <c r="E212" s="281"/>
      <c r="F212" s="275">
        <v>0.2</v>
      </c>
      <c r="G212" s="32">
        <v>12</v>
      </c>
      <c r="H212" s="275">
        <v>2.4</v>
      </c>
      <c r="I212" s="275">
        <v>3.1036000000000001</v>
      </c>
      <c r="J212" s="32">
        <v>70</v>
      </c>
      <c r="K212" s="32" t="s">
        <v>105</v>
      </c>
      <c r="L212" s="32" t="s">
        <v>66</v>
      </c>
      <c r="M212" s="33" t="s">
        <v>67</v>
      </c>
      <c r="N212" s="33"/>
      <c r="O212" s="32">
        <v>180</v>
      </c>
      <c r="P212" s="395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2" s="283"/>
      <c r="R212" s="283"/>
      <c r="S212" s="283"/>
      <c r="T212" s="284"/>
      <c r="U212" s="34"/>
      <c r="V212" s="34"/>
      <c r="W212" s="35" t="s">
        <v>68</v>
      </c>
      <c r="X212" s="276">
        <v>0</v>
      </c>
      <c r="Y212" s="277">
        <f>IFERROR(IF(X212="","",X212),"")</f>
        <v>0</v>
      </c>
      <c r="Z212" s="36">
        <f>IFERROR(IF(X212="","",X212*0.01788),"")</f>
        <v>0</v>
      </c>
      <c r="AA212" s="56"/>
      <c r="AB212" s="57"/>
      <c r="AC212" s="218" t="s">
        <v>301</v>
      </c>
      <c r="AG212" s="67"/>
      <c r="AJ212" s="71" t="s">
        <v>70</v>
      </c>
      <c r="AK212" s="71">
        <v>1</v>
      </c>
      <c r="BB212" s="219" t="s">
        <v>109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t="27" hidden="1" customHeight="1" x14ac:dyDescent="0.25">
      <c r="A213" s="54" t="s">
        <v>302</v>
      </c>
      <c r="B213" s="54" t="s">
        <v>303</v>
      </c>
      <c r="C213" s="31">
        <v>4301135697</v>
      </c>
      <c r="D213" s="280">
        <v>4620207490259</v>
      </c>
      <c r="E213" s="281"/>
      <c r="F213" s="275">
        <v>0.2</v>
      </c>
      <c r="G213" s="32">
        <v>12</v>
      </c>
      <c r="H213" s="275">
        <v>2.4</v>
      </c>
      <c r="I213" s="275">
        <v>3.1036000000000001</v>
      </c>
      <c r="J213" s="32">
        <v>70</v>
      </c>
      <c r="K213" s="32" t="s">
        <v>105</v>
      </c>
      <c r="L213" s="32" t="s">
        <v>106</v>
      </c>
      <c r="M213" s="33" t="s">
        <v>67</v>
      </c>
      <c r="N213" s="33"/>
      <c r="O213" s="32">
        <v>180</v>
      </c>
      <c r="P213" s="29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3" s="283"/>
      <c r="R213" s="283"/>
      <c r="S213" s="283"/>
      <c r="T213" s="284"/>
      <c r="U213" s="34"/>
      <c r="V213" s="34"/>
      <c r="W213" s="35" t="s">
        <v>68</v>
      </c>
      <c r="X213" s="276">
        <v>0</v>
      </c>
      <c r="Y213" s="277">
        <f>IFERROR(IF(X213="","",X213),"")</f>
        <v>0</v>
      </c>
      <c r="Z213" s="36">
        <f>IFERROR(IF(X213="","",X213*0.01788),"")</f>
        <v>0</v>
      </c>
      <c r="AA213" s="56"/>
      <c r="AB213" s="57"/>
      <c r="AC213" s="220" t="s">
        <v>304</v>
      </c>
      <c r="AG213" s="67"/>
      <c r="AJ213" s="71" t="s">
        <v>108</v>
      </c>
      <c r="AK213" s="71">
        <v>14</v>
      </c>
      <c r="BB213" s="221" t="s">
        <v>109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idden="1" x14ac:dyDescent="0.2">
      <c r="A214" s="294"/>
      <c r="B214" s="289"/>
      <c r="C214" s="289"/>
      <c r="D214" s="289"/>
      <c r="E214" s="289"/>
      <c r="F214" s="289"/>
      <c r="G214" s="289"/>
      <c r="H214" s="289"/>
      <c r="I214" s="289"/>
      <c r="J214" s="289"/>
      <c r="K214" s="289"/>
      <c r="L214" s="289"/>
      <c r="M214" s="289"/>
      <c r="N214" s="289"/>
      <c r="O214" s="295"/>
      <c r="P214" s="285" t="s">
        <v>87</v>
      </c>
      <c r="Q214" s="286"/>
      <c r="R214" s="286"/>
      <c r="S214" s="286"/>
      <c r="T214" s="286"/>
      <c r="U214" s="286"/>
      <c r="V214" s="287"/>
      <c r="W214" s="37" t="s">
        <v>68</v>
      </c>
      <c r="X214" s="278">
        <f>IFERROR(SUM(X212:X213),"0")</f>
        <v>0</v>
      </c>
      <c r="Y214" s="278">
        <f>IFERROR(SUM(Y212:Y213),"0")</f>
        <v>0</v>
      </c>
      <c r="Z214" s="278">
        <f>IFERROR(IF(Z212="",0,Z212),"0")+IFERROR(IF(Z213="",0,Z213),"0")</f>
        <v>0</v>
      </c>
      <c r="AA214" s="279"/>
      <c r="AB214" s="279"/>
      <c r="AC214" s="279"/>
    </row>
    <row r="215" spans="1:68" hidden="1" x14ac:dyDescent="0.2">
      <c r="A215" s="289"/>
      <c r="B215" s="289"/>
      <c r="C215" s="289"/>
      <c r="D215" s="289"/>
      <c r="E215" s="289"/>
      <c r="F215" s="289"/>
      <c r="G215" s="289"/>
      <c r="H215" s="289"/>
      <c r="I215" s="289"/>
      <c r="J215" s="289"/>
      <c r="K215" s="289"/>
      <c r="L215" s="289"/>
      <c r="M215" s="289"/>
      <c r="N215" s="289"/>
      <c r="O215" s="295"/>
      <c r="P215" s="285" t="s">
        <v>87</v>
      </c>
      <c r="Q215" s="286"/>
      <c r="R215" s="286"/>
      <c r="S215" s="286"/>
      <c r="T215" s="286"/>
      <c r="U215" s="286"/>
      <c r="V215" s="287"/>
      <c r="W215" s="37" t="s">
        <v>88</v>
      </c>
      <c r="X215" s="278">
        <f>IFERROR(SUMPRODUCT(X212:X213*H212:H213),"0")</f>
        <v>0</v>
      </c>
      <c r="Y215" s="278">
        <f>IFERROR(SUMPRODUCT(Y212:Y213*H212:H213),"0")</f>
        <v>0</v>
      </c>
      <c r="Z215" s="37"/>
      <c r="AA215" s="279"/>
      <c r="AB215" s="279"/>
      <c r="AC215" s="279"/>
    </row>
    <row r="216" spans="1:68" ht="16.5" hidden="1" customHeight="1" x14ac:dyDescent="0.25">
      <c r="A216" s="288" t="s">
        <v>305</v>
      </c>
      <c r="B216" s="289"/>
      <c r="C216" s="289"/>
      <c r="D216" s="289"/>
      <c r="E216" s="289"/>
      <c r="F216" s="289"/>
      <c r="G216" s="289"/>
      <c r="H216" s="289"/>
      <c r="I216" s="289"/>
      <c r="J216" s="289"/>
      <c r="K216" s="289"/>
      <c r="L216" s="289"/>
      <c r="M216" s="289"/>
      <c r="N216" s="289"/>
      <c r="O216" s="289"/>
      <c r="P216" s="289"/>
      <c r="Q216" s="289"/>
      <c r="R216" s="289"/>
      <c r="S216" s="289"/>
      <c r="T216" s="289"/>
      <c r="U216" s="289"/>
      <c r="V216" s="289"/>
      <c r="W216" s="289"/>
      <c r="X216" s="289"/>
      <c r="Y216" s="289"/>
      <c r="Z216" s="289"/>
      <c r="AA216" s="271"/>
      <c r="AB216" s="271"/>
      <c r="AC216" s="271"/>
    </row>
    <row r="217" spans="1:68" ht="14.25" hidden="1" customHeight="1" x14ac:dyDescent="0.25">
      <c r="A217" s="311" t="s">
        <v>153</v>
      </c>
      <c r="B217" s="289"/>
      <c r="C217" s="289"/>
      <c r="D217" s="289"/>
      <c r="E217" s="289"/>
      <c r="F217" s="289"/>
      <c r="G217" s="289"/>
      <c r="H217" s="289"/>
      <c r="I217" s="289"/>
      <c r="J217" s="289"/>
      <c r="K217" s="289"/>
      <c r="L217" s="289"/>
      <c r="M217" s="289"/>
      <c r="N217" s="289"/>
      <c r="O217" s="289"/>
      <c r="P217" s="289"/>
      <c r="Q217" s="289"/>
      <c r="R217" s="289"/>
      <c r="S217" s="289"/>
      <c r="T217" s="289"/>
      <c r="U217" s="289"/>
      <c r="V217" s="289"/>
      <c r="W217" s="289"/>
      <c r="X217" s="289"/>
      <c r="Y217" s="289"/>
      <c r="Z217" s="289"/>
      <c r="AA217" s="272"/>
      <c r="AB217" s="272"/>
      <c r="AC217" s="272"/>
    </row>
    <row r="218" spans="1:68" ht="27" hidden="1" customHeight="1" x14ac:dyDescent="0.25">
      <c r="A218" s="54" t="s">
        <v>306</v>
      </c>
      <c r="B218" s="54" t="s">
        <v>307</v>
      </c>
      <c r="C218" s="31">
        <v>4301135854</v>
      </c>
      <c r="D218" s="280">
        <v>4620207491706</v>
      </c>
      <c r="E218" s="281"/>
      <c r="F218" s="275">
        <v>0.2</v>
      </c>
      <c r="G218" s="32">
        <v>12</v>
      </c>
      <c r="H218" s="275">
        <v>2.4</v>
      </c>
      <c r="I218" s="275">
        <v>3.1036000000000001</v>
      </c>
      <c r="J218" s="32">
        <v>70</v>
      </c>
      <c r="K218" s="32" t="s">
        <v>105</v>
      </c>
      <c r="L218" s="32" t="s">
        <v>66</v>
      </c>
      <c r="M218" s="33" t="s">
        <v>67</v>
      </c>
      <c r="N218" s="33"/>
      <c r="O218" s="32">
        <v>180</v>
      </c>
      <c r="P218" s="467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8" s="283"/>
      <c r="R218" s="283"/>
      <c r="S218" s="283"/>
      <c r="T218" s="284"/>
      <c r="U218" s="34"/>
      <c r="V218" s="34"/>
      <c r="W218" s="35" t="s">
        <v>68</v>
      </c>
      <c r="X218" s="276">
        <v>0</v>
      </c>
      <c r="Y218" s="277">
        <f>IFERROR(IF(X218="","",X218),"")</f>
        <v>0</v>
      </c>
      <c r="Z218" s="36">
        <f>IFERROR(IF(X218="","",X218*0.01788),"")</f>
        <v>0</v>
      </c>
      <c r="AA218" s="56"/>
      <c r="AB218" s="57"/>
      <c r="AC218" s="222" t="s">
        <v>308</v>
      </c>
      <c r="AG218" s="67"/>
      <c r="AJ218" s="71" t="s">
        <v>70</v>
      </c>
      <c r="AK218" s="71">
        <v>1</v>
      </c>
      <c r="BB218" s="223" t="s">
        <v>109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ht="27" hidden="1" customHeight="1" x14ac:dyDescent="0.25">
      <c r="A219" s="54" t="s">
        <v>309</v>
      </c>
      <c r="B219" s="54" t="s">
        <v>310</v>
      </c>
      <c r="C219" s="31">
        <v>4301135895</v>
      </c>
      <c r="D219" s="280">
        <v>4620207491522</v>
      </c>
      <c r="E219" s="281"/>
      <c r="F219" s="275">
        <v>0.28000000000000003</v>
      </c>
      <c r="G219" s="32">
        <v>12</v>
      </c>
      <c r="H219" s="275">
        <v>3.36</v>
      </c>
      <c r="I219" s="275">
        <v>4.0636000000000001</v>
      </c>
      <c r="J219" s="32">
        <v>70</v>
      </c>
      <c r="K219" s="32" t="s">
        <v>105</v>
      </c>
      <c r="L219" s="32" t="s">
        <v>66</v>
      </c>
      <c r="M219" s="33" t="s">
        <v>67</v>
      </c>
      <c r="N219" s="33"/>
      <c r="O219" s="32">
        <v>180</v>
      </c>
      <c r="P219" s="368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9" s="283"/>
      <c r="R219" s="283"/>
      <c r="S219" s="283"/>
      <c r="T219" s="284"/>
      <c r="U219" s="34"/>
      <c r="V219" s="34"/>
      <c r="W219" s="35" t="s">
        <v>68</v>
      </c>
      <c r="X219" s="276">
        <v>0</v>
      </c>
      <c r="Y219" s="277">
        <f>IFERROR(IF(X219="","",X219),"")</f>
        <v>0</v>
      </c>
      <c r="Z219" s="36">
        <f>IFERROR(IF(X219="","",X219*0.01788),"")</f>
        <v>0</v>
      </c>
      <c r="AA219" s="56"/>
      <c r="AB219" s="57"/>
      <c r="AC219" s="224" t="s">
        <v>311</v>
      </c>
      <c r="AG219" s="67"/>
      <c r="AJ219" s="71" t="s">
        <v>70</v>
      </c>
      <c r="AK219" s="71">
        <v>1</v>
      </c>
      <c r="BB219" s="225" t="s">
        <v>109</v>
      </c>
      <c r="BM219" s="67">
        <f>IFERROR(X219*I219,"0")</f>
        <v>0</v>
      </c>
      <c r="BN219" s="67">
        <f>IFERROR(Y219*I219,"0")</f>
        <v>0</v>
      </c>
      <c r="BO219" s="67">
        <f>IFERROR(X219/J219,"0")</f>
        <v>0</v>
      </c>
      <c r="BP219" s="67">
        <f>IFERROR(Y219/J219,"0")</f>
        <v>0</v>
      </c>
    </row>
    <row r="220" spans="1:68" hidden="1" x14ac:dyDescent="0.2">
      <c r="A220" s="294"/>
      <c r="B220" s="289"/>
      <c r="C220" s="289"/>
      <c r="D220" s="289"/>
      <c r="E220" s="289"/>
      <c r="F220" s="289"/>
      <c r="G220" s="289"/>
      <c r="H220" s="289"/>
      <c r="I220" s="289"/>
      <c r="J220" s="289"/>
      <c r="K220" s="289"/>
      <c r="L220" s="289"/>
      <c r="M220" s="289"/>
      <c r="N220" s="289"/>
      <c r="O220" s="295"/>
      <c r="P220" s="285" t="s">
        <v>87</v>
      </c>
      <c r="Q220" s="286"/>
      <c r="R220" s="286"/>
      <c r="S220" s="286"/>
      <c r="T220" s="286"/>
      <c r="U220" s="286"/>
      <c r="V220" s="287"/>
      <c r="W220" s="37" t="s">
        <v>68</v>
      </c>
      <c r="X220" s="278">
        <f>IFERROR(SUM(X218:X219),"0")</f>
        <v>0</v>
      </c>
      <c r="Y220" s="278">
        <f>IFERROR(SUM(Y218:Y219),"0")</f>
        <v>0</v>
      </c>
      <c r="Z220" s="278">
        <f>IFERROR(IF(Z218="",0,Z218),"0")+IFERROR(IF(Z219="",0,Z219),"0")</f>
        <v>0</v>
      </c>
      <c r="AA220" s="279"/>
      <c r="AB220" s="279"/>
      <c r="AC220" s="279"/>
    </row>
    <row r="221" spans="1:68" hidden="1" x14ac:dyDescent="0.2">
      <c r="A221" s="289"/>
      <c r="B221" s="289"/>
      <c r="C221" s="289"/>
      <c r="D221" s="289"/>
      <c r="E221" s="289"/>
      <c r="F221" s="289"/>
      <c r="G221" s="289"/>
      <c r="H221" s="289"/>
      <c r="I221" s="289"/>
      <c r="J221" s="289"/>
      <c r="K221" s="289"/>
      <c r="L221" s="289"/>
      <c r="M221" s="289"/>
      <c r="N221" s="289"/>
      <c r="O221" s="295"/>
      <c r="P221" s="285" t="s">
        <v>87</v>
      </c>
      <c r="Q221" s="286"/>
      <c r="R221" s="286"/>
      <c r="S221" s="286"/>
      <c r="T221" s="286"/>
      <c r="U221" s="286"/>
      <c r="V221" s="287"/>
      <c r="W221" s="37" t="s">
        <v>88</v>
      </c>
      <c r="X221" s="278">
        <f>IFERROR(SUMPRODUCT(X218:X219*H218:H219),"0")</f>
        <v>0</v>
      </c>
      <c r="Y221" s="278">
        <f>IFERROR(SUMPRODUCT(Y218:Y219*H218:H219),"0")</f>
        <v>0</v>
      </c>
      <c r="Z221" s="37"/>
      <c r="AA221" s="279"/>
      <c r="AB221" s="279"/>
      <c r="AC221" s="279"/>
    </row>
    <row r="222" spans="1:68" ht="16.5" hidden="1" customHeight="1" x14ac:dyDescent="0.25">
      <c r="A222" s="288" t="s">
        <v>312</v>
      </c>
      <c r="B222" s="289"/>
      <c r="C222" s="289"/>
      <c r="D222" s="289"/>
      <c r="E222" s="289"/>
      <c r="F222" s="289"/>
      <c r="G222" s="289"/>
      <c r="H222" s="289"/>
      <c r="I222" s="289"/>
      <c r="J222" s="289"/>
      <c r="K222" s="289"/>
      <c r="L222" s="289"/>
      <c r="M222" s="289"/>
      <c r="N222" s="289"/>
      <c r="O222" s="289"/>
      <c r="P222" s="289"/>
      <c r="Q222" s="289"/>
      <c r="R222" s="289"/>
      <c r="S222" s="289"/>
      <c r="T222" s="289"/>
      <c r="U222" s="289"/>
      <c r="V222" s="289"/>
      <c r="W222" s="289"/>
      <c r="X222" s="289"/>
      <c r="Y222" s="289"/>
      <c r="Z222" s="289"/>
      <c r="AA222" s="271"/>
      <c r="AB222" s="271"/>
      <c r="AC222" s="271"/>
    </row>
    <row r="223" spans="1:68" ht="14.25" hidden="1" customHeight="1" x14ac:dyDescent="0.25">
      <c r="A223" s="311" t="s">
        <v>62</v>
      </c>
      <c r="B223" s="289"/>
      <c r="C223" s="289"/>
      <c r="D223" s="289"/>
      <c r="E223" s="289"/>
      <c r="F223" s="289"/>
      <c r="G223" s="289"/>
      <c r="H223" s="289"/>
      <c r="I223" s="289"/>
      <c r="J223" s="289"/>
      <c r="K223" s="289"/>
      <c r="L223" s="289"/>
      <c r="M223" s="289"/>
      <c r="N223" s="289"/>
      <c r="O223" s="289"/>
      <c r="P223" s="289"/>
      <c r="Q223" s="289"/>
      <c r="R223" s="289"/>
      <c r="S223" s="289"/>
      <c r="T223" s="289"/>
      <c r="U223" s="289"/>
      <c r="V223" s="289"/>
      <c r="W223" s="289"/>
      <c r="X223" s="289"/>
      <c r="Y223" s="289"/>
      <c r="Z223" s="289"/>
      <c r="AA223" s="272"/>
      <c r="AB223" s="272"/>
      <c r="AC223" s="272"/>
    </row>
    <row r="224" spans="1:68" ht="27" customHeight="1" x14ac:dyDescent="0.25">
      <c r="A224" s="54" t="s">
        <v>313</v>
      </c>
      <c r="B224" s="54" t="s">
        <v>314</v>
      </c>
      <c r="C224" s="31">
        <v>4301071097</v>
      </c>
      <c r="D224" s="280">
        <v>4620207491096</v>
      </c>
      <c r="E224" s="281"/>
      <c r="F224" s="275">
        <v>1</v>
      </c>
      <c r="G224" s="32">
        <v>5</v>
      </c>
      <c r="H224" s="275">
        <v>5</v>
      </c>
      <c r="I224" s="275">
        <v>5.23</v>
      </c>
      <c r="J224" s="32">
        <v>84</v>
      </c>
      <c r="K224" s="32" t="s">
        <v>65</v>
      </c>
      <c r="L224" s="32" t="s">
        <v>106</v>
      </c>
      <c r="M224" s="33" t="s">
        <v>67</v>
      </c>
      <c r="N224" s="33"/>
      <c r="O224" s="32">
        <v>180</v>
      </c>
      <c r="P224" s="38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4" s="283"/>
      <c r="R224" s="283"/>
      <c r="S224" s="283"/>
      <c r="T224" s="284"/>
      <c r="U224" s="34"/>
      <c r="V224" s="34"/>
      <c r="W224" s="35" t="s">
        <v>68</v>
      </c>
      <c r="X224" s="276">
        <v>84</v>
      </c>
      <c r="Y224" s="277">
        <f>IFERROR(IF(X224="","",X224),"")</f>
        <v>84</v>
      </c>
      <c r="Z224" s="36">
        <f>IFERROR(IF(X224="","",X224*0.0155),"")</f>
        <v>1.302</v>
      </c>
      <c r="AA224" s="56"/>
      <c r="AB224" s="57"/>
      <c r="AC224" s="226" t="s">
        <v>315</v>
      </c>
      <c r="AG224" s="67"/>
      <c r="AJ224" s="71" t="s">
        <v>108</v>
      </c>
      <c r="AK224" s="71">
        <v>12</v>
      </c>
      <c r="BB224" s="227" t="s">
        <v>1</v>
      </c>
      <c r="BM224" s="67">
        <f>IFERROR(X224*I224,"0")</f>
        <v>439.32000000000005</v>
      </c>
      <c r="BN224" s="67">
        <f>IFERROR(Y224*I224,"0")</f>
        <v>439.32000000000005</v>
      </c>
      <c r="BO224" s="67">
        <f>IFERROR(X224/J224,"0")</f>
        <v>1</v>
      </c>
      <c r="BP224" s="67">
        <f>IFERROR(Y224/J224,"0")</f>
        <v>1</v>
      </c>
    </row>
    <row r="225" spans="1:68" x14ac:dyDescent="0.2">
      <c r="A225" s="294"/>
      <c r="B225" s="289"/>
      <c r="C225" s="289"/>
      <c r="D225" s="289"/>
      <c r="E225" s="289"/>
      <c r="F225" s="289"/>
      <c r="G225" s="289"/>
      <c r="H225" s="289"/>
      <c r="I225" s="289"/>
      <c r="J225" s="289"/>
      <c r="K225" s="289"/>
      <c r="L225" s="289"/>
      <c r="M225" s="289"/>
      <c r="N225" s="289"/>
      <c r="O225" s="295"/>
      <c r="P225" s="285" t="s">
        <v>87</v>
      </c>
      <c r="Q225" s="286"/>
      <c r="R225" s="286"/>
      <c r="S225" s="286"/>
      <c r="T225" s="286"/>
      <c r="U225" s="286"/>
      <c r="V225" s="287"/>
      <c r="W225" s="37" t="s">
        <v>68</v>
      </c>
      <c r="X225" s="278">
        <f>IFERROR(SUM(X224:X224),"0")</f>
        <v>84</v>
      </c>
      <c r="Y225" s="278">
        <f>IFERROR(SUM(Y224:Y224),"0")</f>
        <v>84</v>
      </c>
      <c r="Z225" s="278">
        <f>IFERROR(IF(Z224="",0,Z224),"0")</f>
        <v>1.302</v>
      </c>
      <c r="AA225" s="279"/>
      <c r="AB225" s="279"/>
      <c r="AC225" s="279"/>
    </row>
    <row r="226" spans="1:68" x14ac:dyDescent="0.2">
      <c r="A226" s="289"/>
      <c r="B226" s="289"/>
      <c r="C226" s="289"/>
      <c r="D226" s="289"/>
      <c r="E226" s="289"/>
      <c r="F226" s="289"/>
      <c r="G226" s="289"/>
      <c r="H226" s="289"/>
      <c r="I226" s="289"/>
      <c r="J226" s="289"/>
      <c r="K226" s="289"/>
      <c r="L226" s="289"/>
      <c r="M226" s="289"/>
      <c r="N226" s="289"/>
      <c r="O226" s="295"/>
      <c r="P226" s="285" t="s">
        <v>87</v>
      </c>
      <c r="Q226" s="286"/>
      <c r="R226" s="286"/>
      <c r="S226" s="286"/>
      <c r="T226" s="286"/>
      <c r="U226" s="286"/>
      <c r="V226" s="287"/>
      <c r="W226" s="37" t="s">
        <v>88</v>
      </c>
      <c r="X226" s="278">
        <f>IFERROR(SUMPRODUCT(X224:X224*H224:H224),"0")</f>
        <v>420</v>
      </c>
      <c r="Y226" s="278">
        <f>IFERROR(SUMPRODUCT(Y224:Y224*H224:H224),"0")</f>
        <v>420</v>
      </c>
      <c r="Z226" s="37"/>
      <c r="AA226" s="279"/>
      <c r="AB226" s="279"/>
      <c r="AC226" s="279"/>
    </row>
    <row r="227" spans="1:68" ht="27.75" hidden="1" customHeight="1" x14ac:dyDescent="0.2">
      <c r="A227" s="292" t="s">
        <v>316</v>
      </c>
      <c r="B227" s="293"/>
      <c r="C227" s="293"/>
      <c r="D227" s="293"/>
      <c r="E227" s="293"/>
      <c r="F227" s="293"/>
      <c r="G227" s="293"/>
      <c r="H227" s="293"/>
      <c r="I227" s="293"/>
      <c r="J227" s="293"/>
      <c r="K227" s="293"/>
      <c r="L227" s="293"/>
      <c r="M227" s="293"/>
      <c r="N227" s="293"/>
      <c r="O227" s="293"/>
      <c r="P227" s="293"/>
      <c r="Q227" s="293"/>
      <c r="R227" s="293"/>
      <c r="S227" s="293"/>
      <c r="T227" s="293"/>
      <c r="U227" s="293"/>
      <c r="V227" s="293"/>
      <c r="W227" s="293"/>
      <c r="X227" s="293"/>
      <c r="Y227" s="293"/>
      <c r="Z227" s="293"/>
      <c r="AA227" s="48"/>
      <c r="AB227" s="48"/>
      <c r="AC227" s="48"/>
    </row>
    <row r="228" spans="1:68" ht="16.5" hidden="1" customHeight="1" x14ac:dyDescent="0.25">
      <c r="A228" s="288" t="s">
        <v>317</v>
      </c>
      <c r="B228" s="289"/>
      <c r="C228" s="289"/>
      <c r="D228" s="289"/>
      <c r="E228" s="289"/>
      <c r="F228" s="289"/>
      <c r="G228" s="289"/>
      <c r="H228" s="289"/>
      <c r="I228" s="289"/>
      <c r="J228" s="289"/>
      <c r="K228" s="289"/>
      <c r="L228" s="289"/>
      <c r="M228" s="289"/>
      <c r="N228" s="289"/>
      <c r="O228" s="289"/>
      <c r="P228" s="289"/>
      <c r="Q228" s="289"/>
      <c r="R228" s="289"/>
      <c r="S228" s="289"/>
      <c r="T228" s="289"/>
      <c r="U228" s="289"/>
      <c r="V228" s="289"/>
      <c r="W228" s="289"/>
      <c r="X228" s="289"/>
      <c r="Y228" s="289"/>
      <c r="Z228" s="289"/>
      <c r="AA228" s="271"/>
      <c r="AB228" s="271"/>
      <c r="AC228" s="271"/>
    </row>
    <row r="229" spans="1:68" ht="14.25" hidden="1" customHeight="1" x14ac:dyDescent="0.25">
      <c r="A229" s="311" t="s">
        <v>62</v>
      </c>
      <c r="B229" s="289"/>
      <c r="C229" s="289"/>
      <c r="D229" s="289"/>
      <c r="E229" s="289"/>
      <c r="F229" s="289"/>
      <c r="G229" s="289"/>
      <c r="H229" s="289"/>
      <c r="I229" s="289"/>
      <c r="J229" s="289"/>
      <c r="K229" s="289"/>
      <c r="L229" s="289"/>
      <c r="M229" s="289"/>
      <c r="N229" s="289"/>
      <c r="O229" s="289"/>
      <c r="P229" s="289"/>
      <c r="Q229" s="289"/>
      <c r="R229" s="289"/>
      <c r="S229" s="289"/>
      <c r="T229" s="289"/>
      <c r="U229" s="289"/>
      <c r="V229" s="289"/>
      <c r="W229" s="289"/>
      <c r="X229" s="289"/>
      <c r="Y229" s="289"/>
      <c r="Z229" s="289"/>
      <c r="AA229" s="272"/>
      <c r="AB229" s="272"/>
      <c r="AC229" s="272"/>
    </row>
    <row r="230" spans="1:68" ht="27" hidden="1" customHeight="1" x14ac:dyDescent="0.25">
      <c r="A230" s="54" t="s">
        <v>318</v>
      </c>
      <c r="B230" s="54" t="s">
        <v>319</v>
      </c>
      <c r="C230" s="31">
        <v>4301071036</v>
      </c>
      <c r="D230" s="280">
        <v>4607111036162</v>
      </c>
      <c r="E230" s="281"/>
      <c r="F230" s="275">
        <v>0.8</v>
      </c>
      <c r="G230" s="32">
        <v>8</v>
      </c>
      <c r="H230" s="275">
        <v>6.4</v>
      </c>
      <c r="I230" s="275">
        <v>6.6811999999999996</v>
      </c>
      <c r="J230" s="32">
        <v>84</v>
      </c>
      <c r="K230" s="32" t="s">
        <v>65</v>
      </c>
      <c r="L230" s="32" t="s">
        <v>66</v>
      </c>
      <c r="M230" s="33" t="s">
        <v>67</v>
      </c>
      <c r="N230" s="33"/>
      <c r="O230" s="32">
        <v>90</v>
      </c>
      <c r="P230" s="33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0" s="283"/>
      <c r="R230" s="283"/>
      <c r="S230" s="283"/>
      <c r="T230" s="284"/>
      <c r="U230" s="34"/>
      <c r="V230" s="34"/>
      <c r="W230" s="35" t="s">
        <v>68</v>
      </c>
      <c r="X230" s="276">
        <v>0</v>
      </c>
      <c r="Y230" s="277">
        <f>IFERROR(IF(X230="","",X230),"")</f>
        <v>0</v>
      </c>
      <c r="Z230" s="36">
        <f>IFERROR(IF(X230="","",X230*0.0155),"")</f>
        <v>0</v>
      </c>
      <c r="AA230" s="56"/>
      <c r="AB230" s="57"/>
      <c r="AC230" s="228" t="s">
        <v>320</v>
      </c>
      <c r="AG230" s="67"/>
      <c r="AJ230" s="71" t="s">
        <v>70</v>
      </c>
      <c r="AK230" s="71">
        <v>1</v>
      </c>
      <c r="BB230" s="229" t="s">
        <v>1</v>
      </c>
      <c r="BM230" s="67">
        <f>IFERROR(X230*I230,"0")</f>
        <v>0</v>
      </c>
      <c r="BN230" s="67">
        <f>IFERROR(Y230*I230,"0")</f>
        <v>0</v>
      </c>
      <c r="BO230" s="67">
        <f>IFERROR(X230/J230,"0")</f>
        <v>0</v>
      </c>
      <c r="BP230" s="67">
        <f>IFERROR(Y230/J230,"0")</f>
        <v>0</v>
      </c>
    </row>
    <row r="231" spans="1:68" hidden="1" x14ac:dyDescent="0.2">
      <c r="A231" s="294"/>
      <c r="B231" s="289"/>
      <c r="C231" s="289"/>
      <c r="D231" s="289"/>
      <c r="E231" s="289"/>
      <c r="F231" s="289"/>
      <c r="G231" s="289"/>
      <c r="H231" s="289"/>
      <c r="I231" s="289"/>
      <c r="J231" s="289"/>
      <c r="K231" s="289"/>
      <c r="L231" s="289"/>
      <c r="M231" s="289"/>
      <c r="N231" s="289"/>
      <c r="O231" s="295"/>
      <c r="P231" s="285" t="s">
        <v>87</v>
      </c>
      <c r="Q231" s="286"/>
      <c r="R231" s="286"/>
      <c r="S231" s="286"/>
      <c r="T231" s="286"/>
      <c r="U231" s="286"/>
      <c r="V231" s="287"/>
      <c r="W231" s="37" t="s">
        <v>68</v>
      </c>
      <c r="X231" s="278">
        <f>IFERROR(SUM(X230:X230),"0")</f>
        <v>0</v>
      </c>
      <c r="Y231" s="278">
        <f>IFERROR(SUM(Y230:Y230),"0")</f>
        <v>0</v>
      </c>
      <c r="Z231" s="278">
        <f>IFERROR(IF(Z230="",0,Z230),"0")</f>
        <v>0</v>
      </c>
      <c r="AA231" s="279"/>
      <c r="AB231" s="279"/>
      <c r="AC231" s="279"/>
    </row>
    <row r="232" spans="1:68" hidden="1" x14ac:dyDescent="0.2">
      <c r="A232" s="289"/>
      <c r="B232" s="289"/>
      <c r="C232" s="289"/>
      <c r="D232" s="289"/>
      <c r="E232" s="289"/>
      <c r="F232" s="289"/>
      <c r="G232" s="289"/>
      <c r="H232" s="289"/>
      <c r="I232" s="289"/>
      <c r="J232" s="289"/>
      <c r="K232" s="289"/>
      <c r="L232" s="289"/>
      <c r="M232" s="289"/>
      <c r="N232" s="289"/>
      <c r="O232" s="295"/>
      <c r="P232" s="285" t="s">
        <v>87</v>
      </c>
      <c r="Q232" s="286"/>
      <c r="R232" s="286"/>
      <c r="S232" s="286"/>
      <c r="T232" s="286"/>
      <c r="U232" s="286"/>
      <c r="V232" s="287"/>
      <c r="W232" s="37" t="s">
        <v>88</v>
      </c>
      <c r="X232" s="278">
        <f>IFERROR(SUMPRODUCT(X230:X230*H230:H230),"0")</f>
        <v>0</v>
      </c>
      <c r="Y232" s="278">
        <f>IFERROR(SUMPRODUCT(Y230:Y230*H230:H230),"0")</f>
        <v>0</v>
      </c>
      <c r="Z232" s="37"/>
      <c r="AA232" s="279"/>
      <c r="AB232" s="279"/>
      <c r="AC232" s="279"/>
    </row>
    <row r="233" spans="1:68" ht="27.75" hidden="1" customHeight="1" x14ac:dyDescent="0.2">
      <c r="A233" s="292" t="s">
        <v>321</v>
      </c>
      <c r="B233" s="293"/>
      <c r="C233" s="293"/>
      <c r="D233" s="293"/>
      <c r="E233" s="293"/>
      <c r="F233" s="293"/>
      <c r="G233" s="293"/>
      <c r="H233" s="293"/>
      <c r="I233" s="293"/>
      <c r="J233" s="293"/>
      <c r="K233" s="293"/>
      <c r="L233" s="293"/>
      <c r="M233" s="293"/>
      <c r="N233" s="293"/>
      <c r="O233" s="293"/>
      <c r="P233" s="293"/>
      <c r="Q233" s="293"/>
      <c r="R233" s="293"/>
      <c r="S233" s="293"/>
      <c r="T233" s="293"/>
      <c r="U233" s="293"/>
      <c r="V233" s="293"/>
      <c r="W233" s="293"/>
      <c r="X233" s="293"/>
      <c r="Y233" s="293"/>
      <c r="Z233" s="293"/>
      <c r="AA233" s="48"/>
      <c r="AB233" s="48"/>
      <c r="AC233" s="48"/>
    </row>
    <row r="234" spans="1:68" ht="16.5" hidden="1" customHeight="1" x14ac:dyDescent="0.25">
      <c r="A234" s="288" t="s">
        <v>322</v>
      </c>
      <c r="B234" s="289"/>
      <c r="C234" s="289"/>
      <c r="D234" s="289"/>
      <c r="E234" s="289"/>
      <c r="F234" s="289"/>
      <c r="G234" s="289"/>
      <c r="H234" s="289"/>
      <c r="I234" s="289"/>
      <c r="J234" s="289"/>
      <c r="K234" s="289"/>
      <c r="L234" s="289"/>
      <c r="M234" s="289"/>
      <c r="N234" s="289"/>
      <c r="O234" s="289"/>
      <c r="P234" s="289"/>
      <c r="Q234" s="289"/>
      <c r="R234" s="289"/>
      <c r="S234" s="289"/>
      <c r="T234" s="289"/>
      <c r="U234" s="289"/>
      <c r="V234" s="289"/>
      <c r="W234" s="289"/>
      <c r="X234" s="289"/>
      <c r="Y234" s="289"/>
      <c r="Z234" s="289"/>
      <c r="AA234" s="271"/>
      <c r="AB234" s="271"/>
      <c r="AC234" s="271"/>
    </row>
    <row r="235" spans="1:68" ht="14.25" hidden="1" customHeight="1" x14ac:dyDescent="0.25">
      <c r="A235" s="311" t="s">
        <v>323</v>
      </c>
      <c r="B235" s="289"/>
      <c r="C235" s="289"/>
      <c r="D235" s="289"/>
      <c r="E235" s="289"/>
      <c r="F235" s="289"/>
      <c r="G235" s="289"/>
      <c r="H235" s="289"/>
      <c r="I235" s="289"/>
      <c r="J235" s="289"/>
      <c r="K235" s="289"/>
      <c r="L235" s="289"/>
      <c r="M235" s="289"/>
      <c r="N235" s="289"/>
      <c r="O235" s="289"/>
      <c r="P235" s="289"/>
      <c r="Q235" s="289"/>
      <c r="R235" s="289"/>
      <c r="S235" s="289"/>
      <c r="T235" s="289"/>
      <c r="U235" s="289"/>
      <c r="V235" s="289"/>
      <c r="W235" s="289"/>
      <c r="X235" s="289"/>
      <c r="Y235" s="289"/>
      <c r="Z235" s="289"/>
      <c r="AA235" s="272"/>
      <c r="AB235" s="272"/>
      <c r="AC235" s="272"/>
    </row>
    <row r="236" spans="1:68" ht="27" hidden="1" customHeight="1" x14ac:dyDescent="0.25">
      <c r="A236" s="54" t="s">
        <v>324</v>
      </c>
      <c r="B236" s="54" t="s">
        <v>325</v>
      </c>
      <c r="C236" s="31">
        <v>4301133004</v>
      </c>
      <c r="D236" s="280">
        <v>4607111039774</v>
      </c>
      <c r="E236" s="281"/>
      <c r="F236" s="275">
        <v>0.25</v>
      </c>
      <c r="G236" s="32">
        <v>12</v>
      </c>
      <c r="H236" s="275">
        <v>3</v>
      </c>
      <c r="I236" s="275">
        <v>3.22</v>
      </c>
      <c r="J236" s="32">
        <v>70</v>
      </c>
      <c r="K236" s="32" t="s">
        <v>105</v>
      </c>
      <c r="L236" s="32" t="s">
        <v>66</v>
      </c>
      <c r="M236" s="33" t="s">
        <v>67</v>
      </c>
      <c r="N236" s="33"/>
      <c r="O236" s="32">
        <v>180</v>
      </c>
      <c r="P236" s="31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6" s="283"/>
      <c r="R236" s="283"/>
      <c r="S236" s="283"/>
      <c r="T236" s="284"/>
      <c r="U236" s="34"/>
      <c r="V236" s="34"/>
      <c r="W236" s="35" t="s">
        <v>68</v>
      </c>
      <c r="X236" s="276">
        <v>0</v>
      </c>
      <c r="Y236" s="277">
        <f>IFERROR(IF(X236="","",X236),"")</f>
        <v>0</v>
      </c>
      <c r="Z236" s="36">
        <f>IFERROR(IF(X236="","",X236*0.01788),"")</f>
        <v>0</v>
      </c>
      <c r="AA236" s="56"/>
      <c r="AB236" s="57"/>
      <c r="AC236" s="230" t="s">
        <v>326</v>
      </c>
      <c r="AG236" s="67"/>
      <c r="AJ236" s="71" t="s">
        <v>70</v>
      </c>
      <c r="AK236" s="71">
        <v>1</v>
      </c>
      <c r="BB236" s="231" t="s">
        <v>109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94"/>
      <c r="B237" s="289"/>
      <c r="C237" s="289"/>
      <c r="D237" s="289"/>
      <c r="E237" s="289"/>
      <c r="F237" s="289"/>
      <c r="G237" s="289"/>
      <c r="H237" s="289"/>
      <c r="I237" s="289"/>
      <c r="J237" s="289"/>
      <c r="K237" s="289"/>
      <c r="L237" s="289"/>
      <c r="M237" s="289"/>
      <c r="N237" s="289"/>
      <c r="O237" s="295"/>
      <c r="P237" s="285" t="s">
        <v>87</v>
      </c>
      <c r="Q237" s="286"/>
      <c r="R237" s="286"/>
      <c r="S237" s="286"/>
      <c r="T237" s="286"/>
      <c r="U237" s="286"/>
      <c r="V237" s="287"/>
      <c r="W237" s="37" t="s">
        <v>68</v>
      </c>
      <c r="X237" s="278">
        <f>IFERROR(SUM(X236:X236),"0")</f>
        <v>0</v>
      </c>
      <c r="Y237" s="278">
        <f>IFERROR(SUM(Y236:Y236),"0")</f>
        <v>0</v>
      </c>
      <c r="Z237" s="278">
        <f>IFERROR(IF(Z236="",0,Z236),"0")</f>
        <v>0</v>
      </c>
      <c r="AA237" s="279"/>
      <c r="AB237" s="279"/>
      <c r="AC237" s="279"/>
    </row>
    <row r="238" spans="1:68" hidden="1" x14ac:dyDescent="0.2">
      <c r="A238" s="289"/>
      <c r="B238" s="289"/>
      <c r="C238" s="289"/>
      <c r="D238" s="289"/>
      <c r="E238" s="289"/>
      <c r="F238" s="289"/>
      <c r="G238" s="289"/>
      <c r="H238" s="289"/>
      <c r="I238" s="289"/>
      <c r="J238" s="289"/>
      <c r="K238" s="289"/>
      <c r="L238" s="289"/>
      <c r="M238" s="289"/>
      <c r="N238" s="289"/>
      <c r="O238" s="295"/>
      <c r="P238" s="285" t="s">
        <v>87</v>
      </c>
      <c r="Q238" s="286"/>
      <c r="R238" s="286"/>
      <c r="S238" s="286"/>
      <c r="T238" s="286"/>
      <c r="U238" s="286"/>
      <c r="V238" s="287"/>
      <c r="W238" s="37" t="s">
        <v>88</v>
      </c>
      <c r="X238" s="278">
        <f>IFERROR(SUMPRODUCT(X236:X236*H236:H236),"0")</f>
        <v>0</v>
      </c>
      <c r="Y238" s="278">
        <f>IFERROR(SUMPRODUCT(Y236:Y236*H236:H236),"0")</f>
        <v>0</v>
      </c>
      <c r="Z238" s="37"/>
      <c r="AA238" s="279"/>
      <c r="AB238" s="279"/>
      <c r="AC238" s="279"/>
    </row>
    <row r="239" spans="1:68" ht="14.25" hidden="1" customHeight="1" x14ac:dyDescent="0.25">
      <c r="A239" s="311" t="s">
        <v>153</v>
      </c>
      <c r="B239" s="289"/>
      <c r="C239" s="289"/>
      <c r="D239" s="289"/>
      <c r="E239" s="289"/>
      <c r="F239" s="289"/>
      <c r="G239" s="289"/>
      <c r="H239" s="289"/>
      <c r="I239" s="289"/>
      <c r="J239" s="289"/>
      <c r="K239" s="289"/>
      <c r="L239" s="289"/>
      <c r="M239" s="289"/>
      <c r="N239" s="289"/>
      <c r="O239" s="289"/>
      <c r="P239" s="289"/>
      <c r="Q239" s="289"/>
      <c r="R239" s="289"/>
      <c r="S239" s="289"/>
      <c r="T239" s="289"/>
      <c r="U239" s="289"/>
      <c r="V239" s="289"/>
      <c r="W239" s="289"/>
      <c r="X239" s="289"/>
      <c r="Y239" s="289"/>
      <c r="Z239" s="289"/>
      <c r="AA239" s="272"/>
      <c r="AB239" s="272"/>
      <c r="AC239" s="272"/>
    </row>
    <row r="240" spans="1:68" ht="37.5" hidden="1" customHeight="1" x14ac:dyDescent="0.25">
      <c r="A240" s="54" t="s">
        <v>327</v>
      </c>
      <c r="B240" s="54" t="s">
        <v>328</v>
      </c>
      <c r="C240" s="31">
        <v>4301135400</v>
      </c>
      <c r="D240" s="280">
        <v>4607111039361</v>
      </c>
      <c r="E240" s="281"/>
      <c r="F240" s="275">
        <v>0.25</v>
      </c>
      <c r="G240" s="32">
        <v>12</v>
      </c>
      <c r="H240" s="275">
        <v>3</v>
      </c>
      <c r="I240" s="275">
        <v>3.7035999999999998</v>
      </c>
      <c r="J240" s="32">
        <v>70</v>
      </c>
      <c r="K240" s="32" t="s">
        <v>105</v>
      </c>
      <c r="L240" s="32" t="s">
        <v>66</v>
      </c>
      <c r="M240" s="33" t="s">
        <v>67</v>
      </c>
      <c r="N240" s="33"/>
      <c r="O240" s="32">
        <v>180</v>
      </c>
      <c r="P240" s="33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0" s="283"/>
      <c r="R240" s="283"/>
      <c r="S240" s="283"/>
      <c r="T240" s="284"/>
      <c r="U240" s="34"/>
      <c r="V240" s="34"/>
      <c r="W240" s="35" t="s">
        <v>68</v>
      </c>
      <c r="X240" s="276">
        <v>0</v>
      </c>
      <c r="Y240" s="277">
        <f>IFERROR(IF(X240="","",X240),"")</f>
        <v>0</v>
      </c>
      <c r="Z240" s="36">
        <f>IFERROR(IF(X240="","",X240*0.01788),"")</f>
        <v>0</v>
      </c>
      <c r="AA240" s="56"/>
      <c r="AB240" s="57"/>
      <c r="AC240" s="232" t="s">
        <v>326</v>
      </c>
      <c r="AG240" s="67"/>
      <c r="AJ240" s="71" t="s">
        <v>70</v>
      </c>
      <c r="AK240" s="71">
        <v>1</v>
      </c>
      <c r="BB240" s="233" t="s">
        <v>109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294"/>
      <c r="B241" s="289"/>
      <c r="C241" s="289"/>
      <c r="D241" s="289"/>
      <c r="E241" s="289"/>
      <c r="F241" s="289"/>
      <c r="G241" s="289"/>
      <c r="H241" s="289"/>
      <c r="I241" s="289"/>
      <c r="J241" s="289"/>
      <c r="K241" s="289"/>
      <c r="L241" s="289"/>
      <c r="M241" s="289"/>
      <c r="N241" s="289"/>
      <c r="O241" s="295"/>
      <c r="P241" s="285" t="s">
        <v>87</v>
      </c>
      <c r="Q241" s="286"/>
      <c r="R241" s="286"/>
      <c r="S241" s="286"/>
      <c r="T241" s="286"/>
      <c r="U241" s="286"/>
      <c r="V241" s="287"/>
      <c r="W241" s="37" t="s">
        <v>68</v>
      </c>
      <c r="X241" s="278">
        <f>IFERROR(SUM(X240:X240),"0")</f>
        <v>0</v>
      </c>
      <c r="Y241" s="278">
        <f>IFERROR(SUM(Y240:Y240),"0")</f>
        <v>0</v>
      </c>
      <c r="Z241" s="278">
        <f>IFERROR(IF(Z240="",0,Z240),"0")</f>
        <v>0</v>
      </c>
      <c r="AA241" s="279"/>
      <c r="AB241" s="279"/>
      <c r="AC241" s="279"/>
    </row>
    <row r="242" spans="1:68" hidden="1" x14ac:dyDescent="0.2">
      <c r="A242" s="289"/>
      <c r="B242" s="289"/>
      <c r="C242" s="289"/>
      <c r="D242" s="289"/>
      <c r="E242" s="289"/>
      <c r="F242" s="289"/>
      <c r="G242" s="289"/>
      <c r="H242" s="289"/>
      <c r="I242" s="289"/>
      <c r="J242" s="289"/>
      <c r="K242" s="289"/>
      <c r="L242" s="289"/>
      <c r="M242" s="289"/>
      <c r="N242" s="289"/>
      <c r="O242" s="295"/>
      <c r="P242" s="285" t="s">
        <v>87</v>
      </c>
      <c r="Q242" s="286"/>
      <c r="R242" s="286"/>
      <c r="S242" s="286"/>
      <c r="T242" s="286"/>
      <c r="U242" s="286"/>
      <c r="V242" s="287"/>
      <c r="W242" s="37" t="s">
        <v>88</v>
      </c>
      <c r="X242" s="278">
        <f>IFERROR(SUMPRODUCT(X240:X240*H240:H240),"0")</f>
        <v>0</v>
      </c>
      <c r="Y242" s="278">
        <f>IFERROR(SUMPRODUCT(Y240:Y240*H240:H240),"0")</f>
        <v>0</v>
      </c>
      <c r="Z242" s="37"/>
      <c r="AA242" s="279"/>
      <c r="AB242" s="279"/>
      <c r="AC242" s="279"/>
    </row>
    <row r="243" spans="1:68" ht="27.75" hidden="1" customHeight="1" x14ac:dyDescent="0.2">
      <c r="A243" s="292" t="s">
        <v>329</v>
      </c>
      <c r="B243" s="293"/>
      <c r="C243" s="293"/>
      <c r="D243" s="293"/>
      <c r="E243" s="293"/>
      <c r="F243" s="293"/>
      <c r="G243" s="293"/>
      <c r="H243" s="293"/>
      <c r="I243" s="293"/>
      <c r="J243" s="293"/>
      <c r="K243" s="293"/>
      <c r="L243" s="293"/>
      <c r="M243" s="293"/>
      <c r="N243" s="293"/>
      <c r="O243" s="293"/>
      <c r="P243" s="293"/>
      <c r="Q243" s="293"/>
      <c r="R243" s="293"/>
      <c r="S243" s="293"/>
      <c r="T243" s="293"/>
      <c r="U243" s="293"/>
      <c r="V243" s="293"/>
      <c r="W243" s="293"/>
      <c r="X243" s="293"/>
      <c r="Y243" s="293"/>
      <c r="Z243" s="293"/>
      <c r="AA243" s="48"/>
      <c r="AB243" s="48"/>
      <c r="AC243" s="48"/>
    </row>
    <row r="244" spans="1:68" ht="16.5" hidden="1" customHeight="1" x14ac:dyDescent="0.25">
      <c r="A244" s="288" t="s">
        <v>329</v>
      </c>
      <c r="B244" s="289"/>
      <c r="C244" s="289"/>
      <c r="D244" s="289"/>
      <c r="E244" s="289"/>
      <c r="F244" s="289"/>
      <c r="G244" s="289"/>
      <c r="H244" s="289"/>
      <c r="I244" s="289"/>
      <c r="J244" s="289"/>
      <c r="K244" s="289"/>
      <c r="L244" s="289"/>
      <c r="M244" s="289"/>
      <c r="N244" s="289"/>
      <c r="O244" s="289"/>
      <c r="P244" s="289"/>
      <c r="Q244" s="289"/>
      <c r="R244" s="289"/>
      <c r="S244" s="289"/>
      <c r="T244" s="289"/>
      <c r="U244" s="289"/>
      <c r="V244" s="289"/>
      <c r="W244" s="289"/>
      <c r="X244" s="289"/>
      <c r="Y244" s="289"/>
      <c r="Z244" s="289"/>
      <c r="AA244" s="271"/>
      <c r="AB244" s="271"/>
      <c r="AC244" s="271"/>
    </row>
    <row r="245" spans="1:68" ht="14.25" hidden="1" customHeight="1" x14ac:dyDescent="0.25">
      <c r="A245" s="311" t="s">
        <v>102</v>
      </c>
      <c r="B245" s="289"/>
      <c r="C245" s="289"/>
      <c r="D245" s="289"/>
      <c r="E245" s="289"/>
      <c r="F245" s="289"/>
      <c r="G245" s="289"/>
      <c r="H245" s="289"/>
      <c r="I245" s="289"/>
      <c r="J245" s="289"/>
      <c r="K245" s="289"/>
      <c r="L245" s="289"/>
      <c r="M245" s="289"/>
      <c r="N245" s="289"/>
      <c r="O245" s="289"/>
      <c r="P245" s="289"/>
      <c r="Q245" s="289"/>
      <c r="R245" s="289"/>
      <c r="S245" s="289"/>
      <c r="T245" s="289"/>
      <c r="U245" s="289"/>
      <c r="V245" s="289"/>
      <c r="W245" s="289"/>
      <c r="X245" s="289"/>
      <c r="Y245" s="289"/>
      <c r="Z245" s="289"/>
      <c r="AA245" s="272"/>
      <c r="AB245" s="272"/>
      <c r="AC245" s="272"/>
    </row>
    <row r="246" spans="1:68" ht="27" hidden="1" customHeight="1" x14ac:dyDescent="0.25">
      <c r="A246" s="54" t="s">
        <v>330</v>
      </c>
      <c r="B246" s="54" t="s">
        <v>331</v>
      </c>
      <c r="C246" s="31">
        <v>4301132228</v>
      </c>
      <c r="D246" s="280">
        <v>4640242181950</v>
      </c>
      <c r="E246" s="281"/>
      <c r="F246" s="275">
        <v>0.23</v>
      </c>
      <c r="G246" s="32">
        <v>12</v>
      </c>
      <c r="H246" s="275">
        <v>2.76</v>
      </c>
      <c r="I246" s="275">
        <v>3.22</v>
      </c>
      <c r="J246" s="32">
        <v>70</v>
      </c>
      <c r="K246" s="32" t="s">
        <v>105</v>
      </c>
      <c r="L246" s="32" t="s">
        <v>66</v>
      </c>
      <c r="M246" s="33" t="s">
        <v>67</v>
      </c>
      <c r="N246" s="33"/>
      <c r="O246" s="32">
        <v>365</v>
      </c>
      <c r="P246" s="35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6" s="283"/>
      <c r="R246" s="283"/>
      <c r="S246" s="283"/>
      <c r="T246" s="284"/>
      <c r="U246" s="34"/>
      <c r="V246" s="34"/>
      <c r="W246" s="35" t="s">
        <v>68</v>
      </c>
      <c r="X246" s="276">
        <v>0</v>
      </c>
      <c r="Y246" s="277">
        <f>IFERROR(IF(X246="","",X246),"")</f>
        <v>0</v>
      </c>
      <c r="Z246" s="36">
        <f>IFERROR(IF(X246="","",X246*0.01788),"")</f>
        <v>0</v>
      </c>
      <c r="AA246" s="56"/>
      <c r="AB246" s="57"/>
      <c r="AC246" s="234" t="s">
        <v>332</v>
      </c>
      <c r="AG246" s="67"/>
      <c r="AJ246" s="71" t="s">
        <v>70</v>
      </c>
      <c r="AK246" s="71">
        <v>1</v>
      </c>
      <c r="BB246" s="235" t="s">
        <v>109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idden="1" x14ac:dyDescent="0.2">
      <c r="A247" s="294"/>
      <c r="B247" s="289"/>
      <c r="C247" s="289"/>
      <c r="D247" s="289"/>
      <c r="E247" s="289"/>
      <c r="F247" s="289"/>
      <c r="G247" s="289"/>
      <c r="H247" s="289"/>
      <c r="I247" s="289"/>
      <c r="J247" s="289"/>
      <c r="K247" s="289"/>
      <c r="L247" s="289"/>
      <c r="M247" s="289"/>
      <c r="N247" s="289"/>
      <c r="O247" s="295"/>
      <c r="P247" s="285" t="s">
        <v>87</v>
      </c>
      <c r="Q247" s="286"/>
      <c r="R247" s="286"/>
      <c r="S247" s="286"/>
      <c r="T247" s="286"/>
      <c r="U247" s="286"/>
      <c r="V247" s="287"/>
      <c r="W247" s="37" t="s">
        <v>68</v>
      </c>
      <c r="X247" s="278">
        <f>IFERROR(SUM(X246:X246),"0")</f>
        <v>0</v>
      </c>
      <c r="Y247" s="278">
        <f>IFERROR(SUM(Y246:Y246),"0")</f>
        <v>0</v>
      </c>
      <c r="Z247" s="278">
        <f>IFERROR(IF(Z246="",0,Z246),"0")</f>
        <v>0</v>
      </c>
      <c r="AA247" s="279"/>
      <c r="AB247" s="279"/>
      <c r="AC247" s="279"/>
    </row>
    <row r="248" spans="1:68" hidden="1" x14ac:dyDescent="0.2">
      <c r="A248" s="289"/>
      <c r="B248" s="289"/>
      <c r="C248" s="289"/>
      <c r="D248" s="289"/>
      <c r="E248" s="289"/>
      <c r="F248" s="289"/>
      <c r="G248" s="289"/>
      <c r="H248" s="289"/>
      <c r="I248" s="289"/>
      <c r="J248" s="289"/>
      <c r="K248" s="289"/>
      <c r="L248" s="289"/>
      <c r="M248" s="289"/>
      <c r="N248" s="289"/>
      <c r="O248" s="295"/>
      <c r="P248" s="285" t="s">
        <v>87</v>
      </c>
      <c r="Q248" s="286"/>
      <c r="R248" s="286"/>
      <c r="S248" s="286"/>
      <c r="T248" s="286"/>
      <c r="U248" s="286"/>
      <c r="V248" s="287"/>
      <c r="W248" s="37" t="s">
        <v>88</v>
      </c>
      <c r="X248" s="278">
        <f>IFERROR(SUMPRODUCT(X246:X246*H246:H246),"0")</f>
        <v>0</v>
      </c>
      <c r="Y248" s="278">
        <f>IFERROR(SUMPRODUCT(Y246:Y246*H246:H246),"0")</f>
        <v>0</v>
      </c>
      <c r="Z248" s="37"/>
      <c r="AA248" s="279"/>
      <c r="AB248" s="279"/>
      <c r="AC248" s="279"/>
    </row>
    <row r="249" spans="1:68" ht="14.25" hidden="1" customHeight="1" x14ac:dyDescent="0.25">
      <c r="A249" s="311" t="s">
        <v>181</v>
      </c>
      <c r="B249" s="289"/>
      <c r="C249" s="289"/>
      <c r="D249" s="289"/>
      <c r="E249" s="289"/>
      <c r="F249" s="289"/>
      <c r="G249" s="289"/>
      <c r="H249" s="289"/>
      <c r="I249" s="289"/>
      <c r="J249" s="289"/>
      <c r="K249" s="289"/>
      <c r="L249" s="289"/>
      <c r="M249" s="289"/>
      <c r="N249" s="289"/>
      <c r="O249" s="289"/>
      <c r="P249" s="289"/>
      <c r="Q249" s="289"/>
      <c r="R249" s="289"/>
      <c r="S249" s="289"/>
      <c r="T249" s="289"/>
      <c r="U249" s="289"/>
      <c r="V249" s="289"/>
      <c r="W249" s="289"/>
      <c r="X249" s="289"/>
      <c r="Y249" s="289"/>
      <c r="Z249" s="289"/>
      <c r="AA249" s="272"/>
      <c r="AB249" s="272"/>
      <c r="AC249" s="272"/>
    </row>
    <row r="250" spans="1:68" ht="27" hidden="1" customHeight="1" x14ac:dyDescent="0.25">
      <c r="A250" s="54" t="s">
        <v>333</v>
      </c>
      <c r="B250" s="54" t="s">
        <v>334</v>
      </c>
      <c r="C250" s="31">
        <v>4301136098</v>
      </c>
      <c r="D250" s="280">
        <v>4640242181943</v>
      </c>
      <c r="E250" s="281"/>
      <c r="F250" s="275">
        <v>0.09</v>
      </c>
      <c r="G250" s="32">
        <v>24</v>
      </c>
      <c r="H250" s="275">
        <v>2.16</v>
      </c>
      <c r="I250" s="275">
        <v>2.34</v>
      </c>
      <c r="J250" s="32">
        <v>126</v>
      </c>
      <c r="K250" s="32" t="s">
        <v>105</v>
      </c>
      <c r="L250" s="32" t="s">
        <v>66</v>
      </c>
      <c r="M250" s="33" t="s">
        <v>67</v>
      </c>
      <c r="N250" s="33"/>
      <c r="O250" s="32">
        <v>180</v>
      </c>
      <c r="P250" s="34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0" s="283"/>
      <c r="R250" s="283"/>
      <c r="S250" s="283"/>
      <c r="T250" s="284"/>
      <c r="U250" s="34"/>
      <c r="V250" s="34"/>
      <c r="W250" s="35" t="s">
        <v>68</v>
      </c>
      <c r="X250" s="276">
        <v>0</v>
      </c>
      <c r="Y250" s="277">
        <f>IFERROR(IF(X250="","",X250),"")</f>
        <v>0</v>
      </c>
      <c r="Z250" s="36">
        <f>IFERROR(IF(X250="","",X250*0.00936),"")</f>
        <v>0</v>
      </c>
      <c r="AA250" s="56"/>
      <c r="AB250" s="57"/>
      <c r="AC250" s="236" t="s">
        <v>335</v>
      </c>
      <c r="AG250" s="67"/>
      <c r="AJ250" s="71" t="s">
        <v>70</v>
      </c>
      <c r="AK250" s="71">
        <v>1</v>
      </c>
      <c r="BB250" s="237" t="s">
        <v>109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hidden="1" x14ac:dyDescent="0.2">
      <c r="A251" s="294"/>
      <c r="B251" s="289"/>
      <c r="C251" s="289"/>
      <c r="D251" s="289"/>
      <c r="E251" s="289"/>
      <c r="F251" s="289"/>
      <c r="G251" s="289"/>
      <c r="H251" s="289"/>
      <c r="I251" s="289"/>
      <c r="J251" s="289"/>
      <c r="K251" s="289"/>
      <c r="L251" s="289"/>
      <c r="M251" s="289"/>
      <c r="N251" s="289"/>
      <c r="O251" s="295"/>
      <c r="P251" s="285" t="s">
        <v>87</v>
      </c>
      <c r="Q251" s="286"/>
      <c r="R251" s="286"/>
      <c r="S251" s="286"/>
      <c r="T251" s="286"/>
      <c r="U251" s="286"/>
      <c r="V251" s="287"/>
      <c r="W251" s="37" t="s">
        <v>68</v>
      </c>
      <c r="X251" s="278">
        <f>IFERROR(SUM(X250:X250),"0")</f>
        <v>0</v>
      </c>
      <c r="Y251" s="278">
        <f>IFERROR(SUM(Y250:Y250),"0")</f>
        <v>0</v>
      </c>
      <c r="Z251" s="278">
        <f>IFERROR(IF(Z250="",0,Z250),"0")</f>
        <v>0</v>
      </c>
      <c r="AA251" s="279"/>
      <c r="AB251" s="279"/>
      <c r="AC251" s="279"/>
    </row>
    <row r="252" spans="1:68" hidden="1" x14ac:dyDescent="0.2">
      <c r="A252" s="289"/>
      <c r="B252" s="289"/>
      <c r="C252" s="289"/>
      <c r="D252" s="289"/>
      <c r="E252" s="289"/>
      <c r="F252" s="289"/>
      <c r="G252" s="289"/>
      <c r="H252" s="289"/>
      <c r="I252" s="289"/>
      <c r="J252" s="289"/>
      <c r="K252" s="289"/>
      <c r="L252" s="289"/>
      <c r="M252" s="289"/>
      <c r="N252" s="289"/>
      <c r="O252" s="295"/>
      <c r="P252" s="285" t="s">
        <v>87</v>
      </c>
      <c r="Q252" s="286"/>
      <c r="R252" s="286"/>
      <c r="S252" s="286"/>
      <c r="T252" s="286"/>
      <c r="U252" s="286"/>
      <c r="V252" s="287"/>
      <c r="W252" s="37" t="s">
        <v>88</v>
      </c>
      <c r="X252" s="278">
        <f>IFERROR(SUMPRODUCT(X250:X250*H250:H250),"0")</f>
        <v>0</v>
      </c>
      <c r="Y252" s="278">
        <f>IFERROR(SUMPRODUCT(Y250:Y250*H250:H250),"0")</f>
        <v>0</v>
      </c>
      <c r="Z252" s="37"/>
      <c r="AA252" s="279"/>
      <c r="AB252" s="279"/>
      <c r="AC252" s="279"/>
    </row>
    <row r="253" spans="1:68" ht="27.75" hidden="1" customHeight="1" x14ac:dyDescent="0.2">
      <c r="A253" s="292" t="s">
        <v>263</v>
      </c>
      <c r="B253" s="293"/>
      <c r="C253" s="293"/>
      <c r="D253" s="293"/>
      <c r="E253" s="293"/>
      <c r="F253" s="293"/>
      <c r="G253" s="293"/>
      <c r="H253" s="293"/>
      <c r="I253" s="293"/>
      <c r="J253" s="293"/>
      <c r="K253" s="293"/>
      <c r="L253" s="293"/>
      <c r="M253" s="293"/>
      <c r="N253" s="293"/>
      <c r="O253" s="293"/>
      <c r="P253" s="293"/>
      <c r="Q253" s="293"/>
      <c r="R253" s="293"/>
      <c r="S253" s="293"/>
      <c r="T253" s="293"/>
      <c r="U253" s="293"/>
      <c r="V253" s="293"/>
      <c r="W253" s="293"/>
      <c r="X253" s="293"/>
      <c r="Y253" s="293"/>
      <c r="Z253" s="293"/>
      <c r="AA253" s="48"/>
      <c r="AB253" s="48"/>
      <c r="AC253" s="48"/>
    </row>
    <row r="254" spans="1:68" ht="16.5" hidden="1" customHeight="1" x14ac:dyDescent="0.25">
      <c r="A254" s="288" t="s">
        <v>263</v>
      </c>
      <c r="B254" s="289"/>
      <c r="C254" s="289"/>
      <c r="D254" s="289"/>
      <c r="E254" s="289"/>
      <c r="F254" s="289"/>
      <c r="G254" s="289"/>
      <c r="H254" s="289"/>
      <c r="I254" s="289"/>
      <c r="J254" s="289"/>
      <c r="K254" s="289"/>
      <c r="L254" s="289"/>
      <c r="M254" s="289"/>
      <c r="N254" s="289"/>
      <c r="O254" s="289"/>
      <c r="P254" s="289"/>
      <c r="Q254" s="289"/>
      <c r="R254" s="289"/>
      <c r="S254" s="289"/>
      <c r="T254" s="289"/>
      <c r="U254" s="289"/>
      <c r="V254" s="289"/>
      <c r="W254" s="289"/>
      <c r="X254" s="289"/>
      <c r="Y254" s="289"/>
      <c r="Z254" s="289"/>
      <c r="AA254" s="271"/>
      <c r="AB254" s="271"/>
      <c r="AC254" s="271"/>
    </row>
    <row r="255" spans="1:68" ht="14.25" hidden="1" customHeight="1" x14ac:dyDescent="0.25">
      <c r="A255" s="311" t="s">
        <v>62</v>
      </c>
      <c r="B255" s="289"/>
      <c r="C255" s="289"/>
      <c r="D255" s="289"/>
      <c r="E255" s="289"/>
      <c r="F255" s="289"/>
      <c r="G255" s="289"/>
      <c r="H255" s="289"/>
      <c r="I255" s="289"/>
      <c r="J255" s="289"/>
      <c r="K255" s="289"/>
      <c r="L255" s="289"/>
      <c r="M255" s="289"/>
      <c r="N255" s="289"/>
      <c r="O255" s="289"/>
      <c r="P255" s="289"/>
      <c r="Q255" s="289"/>
      <c r="R255" s="289"/>
      <c r="S255" s="289"/>
      <c r="T255" s="289"/>
      <c r="U255" s="289"/>
      <c r="V255" s="289"/>
      <c r="W255" s="289"/>
      <c r="X255" s="289"/>
      <c r="Y255" s="289"/>
      <c r="Z255" s="289"/>
      <c r="AA255" s="272"/>
      <c r="AB255" s="272"/>
      <c r="AC255" s="272"/>
    </row>
    <row r="256" spans="1:68" ht="27" hidden="1" customHeight="1" x14ac:dyDescent="0.25">
      <c r="A256" s="54" t="s">
        <v>336</v>
      </c>
      <c r="B256" s="54" t="s">
        <v>337</v>
      </c>
      <c r="C256" s="31">
        <v>4301071014</v>
      </c>
      <c r="D256" s="280">
        <v>4640242181264</v>
      </c>
      <c r="E256" s="281"/>
      <c r="F256" s="275">
        <v>0.7</v>
      </c>
      <c r="G256" s="32">
        <v>10</v>
      </c>
      <c r="H256" s="275">
        <v>7</v>
      </c>
      <c r="I256" s="275">
        <v>7.28</v>
      </c>
      <c r="J256" s="32">
        <v>84</v>
      </c>
      <c r="K256" s="32" t="s">
        <v>65</v>
      </c>
      <c r="L256" s="32" t="s">
        <v>66</v>
      </c>
      <c r="M256" s="33" t="s">
        <v>67</v>
      </c>
      <c r="N256" s="33"/>
      <c r="O256" s="32">
        <v>180</v>
      </c>
      <c r="P256" s="40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6" s="283"/>
      <c r="R256" s="283"/>
      <c r="S256" s="283"/>
      <c r="T256" s="284"/>
      <c r="U256" s="34"/>
      <c r="V256" s="34"/>
      <c r="W256" s="35" t="s">
        <v>68</v>
      </c>
      <c r="X256" s="276">
        <v>0</v>
      </c>
      <c r="Y256" s="277">
        <f>IFERROR(IF(X256="","",X256),"")</f>
        <v>0</v>
      </c>
      <c r="Z256" s="36">
        <f>IFERROR(IF(X256="","",X256*0.0155),"")</f>
        <v>0</v>
      </c>
      <c r="AA256" s="56"/>
      <c r="AB256" s="57"/>
      <c r="AC256" s="238" t="s">
        <v>338</v>
      </c>
      <c r="AG256" s="67"/>
      <c r="AJ256" s="71" t="s">
        <v>70</v>
      </c>
      <c r="AK256" s="71">
        <v>1</v>
      </c>
      <c r="BB256" s="239" t="s">
        <v>1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hidden="1" customHeight="1" x14ac:dyDescent="0.25">
      <c r="A257" s="54" t="s">
        <v>339</v>
      </c>
      <c r="B257" s="54" t="s">
        <v>340</v>
      </c>
      <c r="C257" s="31">
        <v>4301071141</v>
      </c>
      <c r="D257" s="280">
        <v>4620207491980</v>
      </c>
      <c r="E257" s="281"/>
      <c r="F257" s="275">
        <v>0.7</v>
      </c>
      <c r="G257" s="32">
        <v>10</v>
      </c>
      <c r="H257" s="275">
        <v>7</v>
      </c>
      <c r="I257" s="275">
        <v>7.28</v>
      </c>
      <c r="J257" s="32">
        <v>84</v>
      </c>
      <c r="K257" s="32" t="s">
        <v>65</v>
      </c>
      <c r="L257" s="32" t="s">
        <v>66</v>
      </c>
      <c r="M257" s="33" t="s">
        <v>67</v>
      </c>
      <c r="N257" s="33"/>
      <c r="O257" s="32">
        <v>180</v>
      </c>
      <c r="P257" s="412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7" s="283"/>
      <c r="R257" s="283"/>
      <c r="S257" s="283"/>
      <c r="T257" s="284"/>
      <c r="U257" s="34"/>
      <c r="V257" s="34"/>
      <c r="W257" s="35" t="s">
        <v>68</v>
      </c>
      <c r="X257" s="276">
        <v>0</v>
      </c>
      <c r="Y257" s="277">
        <f>IFERROR(IF(X257="","",X257),"")</f>
        <v>0</v>
      </c>
      <c r="Z257" s="36">
        <f>IFERROR(IF(X257="","",X257*0.0155),"")</f>
        <v>0</v>
      </c>
      <c r="AA257" s="56"/>
      <c r="AB257" s="57"/>
      <c r="AC257" s="240" t="s">
        <v>341</v>
      </c>
      <c r="AG257" s="67"/>
      <c r="AJ257" s="71" t="s">
        <v>70</v>
      </c>
      <c r="AK257" s="71">
        <v>1</v>
      </c>
      <c r="BB257" s="241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idden="1" x14ac:dyDescent="0.2">
      <c r="A258" s="294"/>
      <c r="B258" s="289"/>
      <c r="C258" s="289"/>
      <c r="D258" s="289"/>
      <c r="E258" s="289"/>
      <c r="F258" s="289"/>
      <c r="G258" s="289"/>
      <c r="H258" s="289"/>
      <c r="I258" s="289"/>
      <c r="J258" s="289"/>
      <c r="K258" s="289"/>
      <c r="L258" s="289"/>
      <c r="M258" s="289"/>
      <c r="N258" s="289"/>
      <c r="O258" s="295"/>
      <c r="P258" s="285" t="s">
        <v>87</v>
      </c>
      <c r="Q258" s="286"/>
      <c r="R258" s="286"/>
      <c r="S258" s="286"/>
      <c r="T258" s="286"/>
      <c r="U258" s="286"/>
      <c r="V258" s="287"/>
      <c r="W258" s="37" t="s">
        <v>68</v>
      </c>
      <c r="X258" s="278">
        <f>IFERROR(SUM(X256:X257),"0")</f>
        <v>0</v>
      </c>
      <c r="Y258" s="278">
        <f>IFERROR(SUM(Y256:Y257),"0")</f>
        <v>0</v>
      </c>
      <c r="Z258" s="278">
        <f>IFERROR(IF(Z256="",0,Z256),"0")+IFERROR(IF(Z257="",0,Z257),"0")</f>
        <v>0</v>
      </c>
      <c r="AA258" s="279"/>
      <c r="AB258" s="279"/>
      <c r="AC258" s="279"/>
    </row>
    <row r="259" spans="1:68" hidden="1" x14ac:dyDescent="0.2">
      <c r="A259" s="289"/>
      <c r="B259" s="289"/>
      <c r="C259" s="289"/>
      <c r="D259" s="289"/>
      <c r="E259" s="289"/>
      <c r="F259" s="289"/>
      <c r="G259" s="289"/>
      <c r="H259" s="289"/>
      <c r="I259" s="289"/>
      <c r="J259" s="289"/>
      <c r="K259" s="289"/>
      <c r="L259" s="289"/>
      <c r="M259" s="289"/>
      <c r="N259" s="289"/>
      <c r="O259" s="295"/>
      <c r="P259" s="285" t="s">
        <v>87</v>
      </c>
      <c r="Q259" s="286"/>
      <c r="R259" s="286"/>
      <c r="S259" s="286"/>
      <c r="T259" s="286"/>
      <c r="U259" s="286"/>
      <c r="V259" s="287"/>
      <c r="W259" s="37" t="s">
        <v>88</v>
      </c>
      <c r="X259" s="278">
        <f>IFERROR(SUMPRODUCT(X256:X257*H256:H257),"0")</f>
        <v>0</v>
      </c>
      <c r="Y259" s="278">
        <f>IFERROR(SUMPRODUCT(Y256:Y257*H256:H257),"0")</f>
        <v>0</v>
      </c>
      <c r="Z259" s="37"/>
      <c r="AA259" s="279"/>
      <c r="AB259" s="279"/>
      <c r="AC259" s="279"/>
    </row>
    <row r="260" spans="1:68" ht="14.25" hidden="1" customHeight="1" x14ac:dyDescent="0.25">
      <c r="A260" s="311" t="s">
        <v>181</v>
      </c>
      <c r="B260" s="289"/>
      <c r="C260" s="289"/>
      <c r="D260" s="289"/>
      <c r="E260" s="289"/>
      <c r="F260" s="289"/>
      <c r="G260" s="289"/>
      <c r="H260" s="289"/>
      <c r="I260" s="289"/>
      <c r="J260" s="289"/>
      <c r="K260" s="289"/>
      <c r="L260" s="289"/>
      <c r="M260" s="289"/>
      <c r="N260" s="289"/>
      <c r="O260" s="289"/>
      <c r="P260" s="289"/>
      <c r="Q260" s="289"/>
      <c r="R260" s="289"/>
      <c r="S260" s="289"/>
      <c r="T260" s="289"/>
      <c r="U260" s="289"/>
      <c r="V260" s="289"/>
      <c r="W260" s="289"/>
      <c r="X260" s="289"/>
      <c r="Y260" s="289"/>
      <c r="Z260" s="289"/>
      <c r="AA260" s="272"/>
      <c r="AB260" s="272"/>
      <c r="AC260" s="272"/>
    </row>
    <row r="261" spans="1:68" ht="27" hidden="1" customHeight="1" x14ac:dyDescent="0.25">
      <c r="A261" s="54" t="s">
        <v>342</v>
      </c>
      <c r="B261" s="54" t="s">
        <v>343</v>
      </c>
      <c r="C261" s="31">
        <v>4301136116</v>
      </c>
      <c r="D261" s="280">
        <v>4620207492147</v>
      </c>
      <c r="E261" s="281"/>
      <c r="F261" s="275">
        <v>2.7</v>
      </c>
      <c r="G261" s="32">
        <v>1</v>
      </c>
      <c r="H261" s="275">
        <v>2.7</v>
      </c>
      <c r="I261" s="275">
        <v>2.8906000000000001</v>
      </c>
      <c r="J261" s="32">
        <v>126</v>
      </c>
      <c r="K261" s="32" t="s">
        <v>105</v>
      </c>
      <c r="L261" s="32" t="s">
        <v>66</v>
      </c>
      <c r="M261" s="33" t="s">
        <v>67</v>
      </c>
      <c r="N261" s="33"/>
      <c r="O261" s="32">
        <v>180</v>
      </c>
      <c r="P261" s="391" t="s">
        <v>344</v>
      </c>
      <c r="Q261" s="283"/>
      <c r="R261" s="283"/>
      <c r="S261" s="283"/>
      <c r="T261" s="284"/>
      <c r="U261" s="34"/>
      <c r="V261" s="34"/>
      <c r="W261" s="35" t="s">
        <v>68</v>
      </c>
      <c r="X261" s="276">
        <v>0</v>
      </c>
      <c r="Y261" s="277">
        <f>IFERROR(IF(X261="","",X261),"")</f>
        <v>0</v>
      </c>
      <c r="Z261" s="36">
        <f>IFERROR(IF(X261="","",X261*0.00936),"")</f>
        <v>0</v>
      </c>
      <c r="AA261" s="56"/>
      <c r="AB261" s="57"/>
      <c r="AC261" s="242" t="s">
        <v>184</v>
      </c>
      <c r="AG261" s="67"/>
      <c r="AJ261" s="71" t="s">
        <v>70</v>
      </c>
      <c r="AK261" s="71">
        <v>1</v>
      </c>
      <c r="BB261" s="243" t="s">
        <v>109</v>
      </c>
      <c r="BM261" s="67">
        <f>IFERROR(X261*I261,"0")</f>
        <v>0</v>
      </c>
      <c r="BN261" s="67">
        <f>IFERROR(Y261*I261,"0")</f>
        <v>0</v>
      </c>
      <c r="BO261" s="67">
        <f>IFERROR(X261/J261,"0")</f>
        <v>0</v>
      </c>
      <c r="BP261" s="67">
        <f>IFERROR(Y261/J261,"0")</f>
        <v>0</v>
      </c>
    </row>
    <row r="262" spans="1:68" ht="27" customHeight="1" x14ac:dyDescent="0.25">
      <c r="A262" s="54" t="s">
        <v>345</v>
      </c>
      <c r="B262" s="54" t="s">
        <v>346</v>
      </c>
      <c r="C262" s="31">
        <v>4301136112</v>
      </c>
      <c r="D262" s="280">
        <v>4620207492154</v>
      </c>
      <c r="E262" s="281"/>
      <c r="F262" s="275">
        <v>5</v>
      </c>
      <c r="G262" s="32">
        <v>1</v>
      </c>
      <c r="H262" s="275">
        <v>5</v>
      </c>
      <c r="I262" s="275">
        <v>5.2350000000000003</v>
      </c>
      <c r="J262" s="32">
        <v>84</v>
      </c>
      <c r="K262" s="32" t="s">
        <v>65</v>
      </c>
      <c r="L262" s="32" t="s">
        <v>66</v>
      </c>
      <c r="M262" s="33" t="s">
        <v>67</v>
      </c>
      <c r="N262" s="33"/>
      <c r="O262" s="32">
        <v>180</v>
      </c>
      <c r="P262" s="451" t="s">
        <v>347</v>
      </c>
      <c r="Q262" s="283"/>
      <c r="R262" s="283"/>
      <c r="S262" s="283"/>
      <c r="T262" s="284"/>
      <c r="U262" s="34"/>
      <c r="V262" s="34"/>
      <c r="W262" s="35" t="s">
        <v>68</v>
      </c>
      <c r="X262" s="276">
        <v>168</v>
      </c>
      <c r="Y262" s="277">
        <f>IFERROR(IF(X262="","",X262),"")</f>
        <v>168</v>
      </c>
      <c r="Z262" s="36">
        <f>IFERROR(IF(X262="","",X262*0.0155),"")</f>
        <v>2.6040000000000001</v>
      </c>
      <c r="AA262" s="56"/>
      <c r="AB262" s="57"/>
      <c r="AC262" s="244" t="s">
        <v>184</v>
      </c>
      <c r="AG262" s="67"/>
      <c r="AJ262" s="71" t="s">
        <v>70</v>
      </c>
      <c r="AK262" s="71">
        <v>1</v>
      </c>
      <c r="BB262" s="245" t="s">
        <v>109</v>
      </c>
      <c r="BM262" s="67">
        <f>IFERROR(X262*I262,"0")</f>
        <v>879.48</v>
      </c>
      <c r="BN262" s="67">
        <f>IFERROR(Y262*I262,"0")</f>
        <v>879.48</v>
      </c>
      <c r="BO262" s="67">
        <f>IFERROR(X262/J262,"0")</f>
        <v>2</v>
      </c>
      <c r="BP262" s="67">
        <f>IFERROR(Y262/J262,"0")</f>
        <v>2</v>
      </c>
    </row>
    <row r="263" spans="1:68" ht="27" hidden="1" customHeight="1" x14ac:dyDescent="0.25">
      <c r="A263" s="54" t="s">
        <v>348</v>
      </c>
      <c r="B263" s="54" t="s">
        <v>349</v>
      </c>
      <c r="C263" s="31">
        <v>4301136114</v>
      </c>
      <c r="D263" s="280">
        <v>4620207492086</v>
      </c>
      <c r="E263" s="281"/>
      <c r="F263" s="275">
        <v>2.2400000000000002</v>
      </c>
      <c r="G263" s="32">
        <v>1</v>
      </c>
      <c r="H263" s="275">
        <v>2.2400000000000002</v>
      </c>
      <c r="I263" s="275">
        <v>2.4319999999999999</v>
      </c>
      <c r="J263" s="32">
        <v>126</v>
      </c>
      <c r="K263" s="32" t="s">
        <v>105</v>
      </c>
      <c r="L263" s="32" t="s">
        <v>66</v>
      </c>
      <c r="M263" s="33" t="s">
        <v>67</v>
      </c>
      <c r="N263" s="33"/>
      <c r="O263" s="32">
        <v>180</v>
      </c>
      <c r="P263" s="455" t="s">
        <v>350</v>
      </c>
      <c r="Q263" s="283"/>
      <c r="R263" s="283"/>
      <c r="S263" s="283"/>
      <c r="T263" s="284"/>
      <c r="U263" s="34"/>
      <c r="V263" s="34"/>
      <c r="W263" s="35" t="s">
        <v>68</v>
      </c>
      <c r="X263" s="276">
        <v>0</v>
      </c>
      <c r="Y263" s="277">
        <f>IFERROR(IF(X263="","",X263),"")</f>
        <v>0</v>
      </c>
      <c r="Z263" s="36">
        <f>IFERROR(IF(X263="","",X263*0.00936),"")</f>
        <v>0</v>
      </c>
      <c r="AA263" s="56"/>
      <c r="AB263" s="57"/>
      <c r="AC263" s="246" t="s">
        <v>184</v>
      </c>
      <c r="AG263" s="67"/>
      <c r="AJ263" s="71" t="s">
        <v>70</v>
      </c>
      <c r="AK263" s="71">
        <v>1</v>
      </c>
      <c r="BB263" s="247" t="s">
        <v>109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x14ac:dyDescent="0.2">
      <c r="A264" s="294"/>
      <c r="B264" s="289"/>
      <c r="C264" s="289"/>
      <c r="D264" s="289"/>
      <c r="E264" s="289"/>
      <c r="F264" s="289"/>
      <c r="G264" s="289"/>
      <c r="H264" s="289"/>
      <c r="I264" s="289"/>
      <c r="J264" s="289"/>
      <c r="K264" s="289"/>
      <c r="L264" s="289"/>
      <c r="M264" s="289"/>
      <c r="N264" s="289"/>
      <c r="O264" s="295"/>
      <c r="P264" s="285" t="s">
        <v>87</v>
      </c>
      <c r="Q264" s="286"/>
      <c r="R264" s="286"/>
      <c r="S264" s="286"/>
      <c r="T264" s="286"/>
      <c r="U264" s="286"/>
      <c r="V264" s="287"/>
      <c r="W264" s="37" t="s">
        <v>68</v>
      </c>
      <c r="X264" s="278">
        <f>IFERROR(SUM(X261:X263),"0")</f>
        <v>168</v>
      </c>
      <c r="Y264" s="278">
        <f>IFERROR(SUM(Y261:Y263),"0")</f>
        <v>168</v>
      </c>
      <c r="Z264" s="278">
        <f>IFERROR(IF(Z261="",0,Z261),"0")+IFERROR(IF(Z262="",0,Z262),"0")+IFERROR(IF(Z263="",0,Z263),"0")</f>
        <v>2.6040000000000001</v>
      </c>
      <c r="AA264" s="279"/>
      <c r="AB264" s="279"/>
      <c r="AC264" s="279"/>
    </row>
    <row r="265" spans="1:68" x14ac:dyDescent="0.2">
      <c r="A265" s="289"/>
      <c r="B265" s="289"/>
      <c r="C265" s="289"/>
      <c r="D265" s="289"/>
      <c r="E265" s="289"/>
      <c r="F265" s="289"/>
      <c r="G265" s="289"/>
      <c r="H265" s="289"/>
      <c r="I265" s="289"/>
      <c r="J265" s="289"/>
      <c r="K265" s="289"/>
      <c r="L265" s="289"/>
      <c r="M265" s="289"/>
      <c r="N265" s="289"/>
      <c r="O265" s="295"/>
      <c r="P265" s="285" t="s">
        <v>87</v>
      </c>
      <c r="Q265" s="286"/>
      <c r="R265" s="286"/>
      <c r="S265" s="286"/>
      <c r="T265" s="286"/>
      <c r="U265" s="286"/>
      <c r="V265" s="287"/>
      <c r="W265" s="37" t="s">
        <v>88</v>
      </c>
      <c r="X265" s="278">
        <f>IFERROR(SUMPRODUCT(X261:X263*H261:H263),"0")</f>
        <v>840</v>
      </c>
      <c r="Y265" s="278">
        <f>IFERROR(SUMPRODUCT(Y261:Y263*H261:H263),"0")</f>
        <v>840</v>
      </c>
      <c r="Z265" s="37"/>
      <c r="AA265" s="279"/>
      <c r="AB265" s="279"/>
      <c r="AC265" s="279"/>
    </row>
    <row r="266" spans="1:68" ht="14.25" hidden="1" customHeight="1" x14ac:dyDescent="0.25">
      <c r="A266" s="311" t="s">
        <v>153</v>
      </c>
      <c r="B266" s="289"/>
      <c r="C266" s="289"/>
      <c r="D266" s="289"/>
      <c r="E266" s="289"/>
      <c r="F266" s="289"/>
      <c r="G266" s="289"/>
      <c r="H266" s="289"/>
      <c r="I266" s="289"/>
      <c r="J266" s="289"/>
      <c r="K266" s="289"/>
      <c r="L266" s="289"/>
      <c r="M266" s="289"/>
      <c r="N266" s="289"/>
      <c r="O266" s="289"/>
      <c r="P266" s="289"/>
      <c r="Q266" s="289"/>
      <c r="R266" s="289"/>
      <c r="S266" s="289"/>
      <c r="T266" s="289"/>
      <c r="U266" s="289"/>
      <c r="V266" s="289"/>
      <c r="W266" s="289"/>
      <c r="X266" s="289"/>
      <c r="Y266" s="289"/>
      <c r="Z266" s="289"/>
      <c r="AA266" s="272"/>
      <c r="AB266" s="272"/>
      <c r="AC266" s="272"/>
    </row>
    <row r="267" spans="1:68" ht="16.5" customHeight="1" x14ac:dyDescent="0.25">
      <c r="A267" s="54" t="s">
        <v>351</v>
      </c>
      <c r="B267" s="54" t="s">
        <v>352</v>
      </c>
      <c r="C267" s="31">
        <v>4301137066</v>
      </c>
      <c r="D267" s="280">
        <v>4620207492109</v>
      </c>
      <c r="E267" s="281"/>
      <c r="F267" s="275">
        <v>5.5</v>
      </c>
      <c r="G267" s="32">
        <v>1</v>
      </c>
      <c r="H267" s="275">
        <v>5.5</v>
      </c>
      <c r="I267" s="275">
        <v>5.7350000000000003</v>
      </c>
      <c r="J267" s="32">
        <v>84</v>
      </c>
      <c r="K267" s="32" t="s">
        <v>65</v>
      </c>
      <c r="L267" s="32" t="s">
        <v>66</v>
      </c>
      <c r="M267" s="33" t="s">
        <v>67</v>
      </c>
      <c r="N267" s="33"/>
      <c r="O267" s="32">
        <v>180</v>
      </c>
      <c r="P267" s="378" t="s">
        <v>353</v>
      </c>
      <c r="Q267" s="283"/>
      <c r="R267" s="283"/>
      <c r="S267" s="283"/>
      <c r="T267" s="284"/>
      <c r="U267" s="34"/>
      <c r="V267" s="34"/>
      <c r="W267" s="35" t="s">
        <v>68</v>
      </c>
      <c r="X267" s="276">
        <v>24</v>
      </c>
      <c r="Y267" s="277">
        <f t="shared" ref="Y267:Y276" si="18">IFERROR(IF(X267="","",X267),"")</f>
        <v>24</v>
      </c>
      <c r="Z267" s="36">
        <f>IFERROR(IF(X267="","",X267*0.0155),"")</f>
        <v>0.372</v>
      </c>
      <c r="AA267" s="56"/>
      <c r="AB267" s="57"/>
      <c r="AC267" s="248" t="s">
        <v>354</v>
      </c>
      <c r="AG267" s="67"/>
      <c r="AJ267" s="71" t="s">
        <v>70</v>
      </c>
      <c r="AK267" s="71">
        <v>1</v>
      </c>
      <c r="BB267" s="249" t="s">
        <v>109</v>
      </c>
      <c r="BM267" s="67">
        <f t="shared" ref="BM267:BM276" si="19">IFERROR(X267*I267,"0")</f>
        <v>137.64000000000001</v>
      </c>
      <c r="BN267" s="67">
        <f t="shared" ref="BN267:BN276" si="20">IFERROR(Y267*I267,"0")</f>
        <v>137.64000000000001</v>
      </c>
      <c r="BO267" s="67">
        <f t="shared" ref="BO267:BO276" si="21">IFERROR(X267/J267,"0")</f>
        <v>0.2857142857142857</v>
      </c>
      <c r="BP267" s="67">
        <f t="shared" ref="BP267:BP276" si="22">IFERROR(Y267/J267,"0")</f>
        <v>0.2857142857142857</v>
      </c>
    </row>
    <row r="268" spans="1:68" ht="37.5" hidden="1" customHeight="1" x14ac:dyDescent="0.25">
      <c r="A268" s="54" t="s">
        <v>355</v>
      </c>
      <c r="B268" s="54" t="s">
        <v>356</v>
      </c>
      <c r="C268" s="31">
        <v>4301137068</v>
      </c>
      <c r="D268" s="280">
        <v>4620207492161</v>
      </c>
      <c r="E268" s="281"/>
      <c r="F268" s="275">
        <v>3</v>
      </c>
      <c r="G268" s="32">
        <v>1</v>
      </c>
      <c r="H268" s="275">
        <v>3</v>
      </c>
      <c r="I268" s="275">
        <v>3.1920000000000002</v>
      </c>
      <c r="J268" s="32">
        <v>126</v>
      </c>
      <c r="K268" s="32" t="s">
        <v>105</v>
      </c>
      <c r="L268" s="32" t="s">
        <v>66</v>
      </c>
      <c r="M268" s="33" t="s">
        <v>67</v>
      </c>
      <c r="N268" s="33"/>
      <c r="O268" s="32">
        <v>180</v>
      </c>
      <c r="P268" s="336" t="s">
        <v>357</v>
      </c>
      <c r="Q268" s="283"/>
      <c r="R268" s="283"/>
      <c r="S268" s="283"/>
      <c r="T268" s="284"/>
      <c r="U268" s="34"/>
      <c r="V268" s="34"/>
      <c r="W268" s="35" t="s">
        <v>68</v>
      </c>
      <c r="X268" s="276">
        <v>0</v>
      </c>
      <c r="Y268" s="277">
        <f t="shared" si="18"/>
        <v>0</v>
      </c>
      <c r="Z268" s="36">
        <f>IFERROR(IF(X268="","",X268*0.00936),"")</f>
        <v>0</v>
      </c>
      <c r="AA268" s="56"/>
      <c r="AB268" s="57"/>
      <c r="AC268" s="250" t="s">
        <v>358</v>
      </c>
      <c r="AG268" s="67"/>
      <c r="AJ268" s="71" t="s">
        <v>70</v>
      </c>
      <c r="AK268" s="71">
        <v>1</v>
      </c>
      <c r="BB268" s="251" t="s">
        <v>109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hidden="1" customHeight="1" x14ac:dyDescent="0.25">
      <c r="A269" s="54" t="s">
        <v>359</v>
      </c>
      <c r="B269" s="54" t="s">
        <v>360</v>
      </c>
      <c r="C269" s="31">
        <v>4301137046</v>
      </c>
      <c r="D269" s="280">
        <v>4620207492093</v>
      </c>
      <c r="E269" s="281"/>
      <c r="F269" s="275">
        <v>3.7</v>
      </c>
      <c r="G269" s="32">
        <v>1</v>
      </c>
      <c r="H269" s="275">
        <v>3.7</v>
      </c>
      <c r="I269" s="275">
        <v>3.8919999999999999</v>
      </c>
      <c r="J269" s="32">
        <v>126</v>
      </c>
      <c r="K269" s="32" t="s">
        <v>105</v>
      </c>
      <c r="L269" s="32" t="s">
        <v>66</v>
      </c>
      <c r="M269" s="33" t="s">
        <v>67</v>
      </c>
      <c r="N269" s="33"/>
      <c r="O269" s="32">
        <v>180</v>
      </c>
      <c r="P269" s="422" t="s">
        <v>361</v>
      </c>
      <c r="Q269" s="283"/>
      <c r="R269" s="283"/>
      <c r="S269" s="283"/>
      <c r="T269" s="284"/>
      <c r="U269" s="34"/>
      <c r="V269" s="34"/>
      <c r="W269" s="35" t="s">
        <v>68</v>
      </c>
      <c r="X269" s="276">
        <v>0</v>
      </c>
      <c r="Y269" s="277">
        <f t="shared" si="18"/>
        <v>0</v>
      </c>
      <c r="Z269" s="36">
        <f>IFERROR(IF(X269="","",X269*0.00936),"")</f>
        <v>0</v>
      </c>
      <c r="AA269" s="56"/>
      <c r="AB269" s="57"/>
      <c r="AC269" s="252" t="s">
        <v>362</v>
      </c>
      <c r="AG269" s="67"/>
      <c r="AJ269" s="71" t="s">
        <v>70</v>
      </c>
      <c r="AK269" s="71">
        <v>1</v>
      </c>
      <c r="BB269" s="253" t="s">
        <v>109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hidden="1" customHeight="1" x14ac:dyDescent="0.25">
      <c r="A270" s="54" t="s">
        <v>363</v>
      </c>
      <c r="B270" s="54" t="s">
        <v>364</v>
      </c>
      <c r="C270" s="31">
        <v>4301137072</v>
      </c>
      <c r="D270" s="280">
        <v>4620207492222</v>
      </c>
      <c r="E270" s="281"/>
      <c r="F270" s="275">
        <v>5</v>
      </c>
      <c r="G270" s="32">
        <v>1</v>
      </c>
      <c r="H270" s="275">
        <v>5</v>
      </c>
      <c r="I270" s="275">
        <v>5.23</v>
      </c>
      <c r="J270" s="32">
        <v>84</v>
      </c>
      <c r="K270" s="32" t="s">
        <v>65</v>
      </c>
      <c r="L270" s="32" t="s">
        <v>66</v>
      </c>
      <c r="M270" s="33" t="s">
        <v>67</v>
      </c>
      <c r="N270" s="33"/>
      <c r="O270" s="32">
        <v>180</v>
      </c>
      <c r="P270" s="434" t="s">
        <v>365</v>
      </c>
      <c r="Q270" s="283"/>
      <c r="R270" s="283"/>
      <c r="S270" s="283"/>
      <c r="T270" s="284"/>
      <c r="U270" s="34"/>
      <c r="V270" s="34"/>
      <c r="W270" s="35" t="s">
        <v>68</v>
      </c>
      <c r="X270" s="276">
        <v>0</v>
      </c>
      <c r="Y270" s="277">
        <f t="shared" si="18"/>
        <v>0</v>
      </c>
      <c r="Z270" s="36">
        <f>IFERROR(IF(X270="","",X270*0.0155),"")</f>
        <v>0</v>
      </c>
      <c r="AA270" s="56"/>
      <c r="AB270" s="57"/>
      <c r="AC270" s="254" t="s">
        <v>362</v>
      </c>
      <c r="AG270" s="67"/>
      <c r="AJ270" s="71" t="s">
        <v>70</v>
      </c>
      <c r="AK270" s="71">
        <v>1</v>
      </c>
      <c r="BB270" s="255" t="s">
        <v>109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hidden="1" customHeight="1" x14ac:dyDescent="0.25">
      <c r="A271" s="54" t="s">
        <v>366</v>
      </c>
      <c r="B271" s="54" t="s">
        <v>367</v>
      </c>
      <c r="C271" s="31">
        <v>4301137074</v>
      </c>
      <c r="D271" s="280">
        <v>4620207492116</v>
      </c>
      <c r="E271" s="281"/>
      <c r="F271" s="275">
        <v>3</v>
      </c>
      <c r="G271" s="32">
        <v>1</v>
      </c>
      <c r="H271" s="275">
        <v>3</v>
      </c>
      <c r="I271" s="275">
        <v>3.1920000000000002</v>
      </c>
      <c r="J271" s="32">
        <v>126</v>
      </c>
      <c r="K271" s="32" t="s">
        <v>105</v>
      </c>
      <c r="L271" s="32" t="s">
        <v>66</v>
      </c>
      <c r="M271" s="33" t="s">
        <v>67</v>
      </c>
      <c r="N271" s="33"/>
      <c r="O271" s="32">
        <v>180</v>
      </c>
      <c r="P271" s="321" t="s">
        <v>368</v>
      </c>
      <c r="Q271" s="283"/>
      <c r="R271" s="283"/>
      <c r="S271" s="283"/>
      <c r="T271" s="284"/>
      <c r="U271" s="34"/>
      <c r="V271" s="34"/>
      <c r="W271" s="35" t="s">
        <v>68</v>
      </c>
      <c r="X271" s="276">
        <v>0</v>
      </c>
      <c r="Y271" s="277">
        <f t="shared" si="18"/>
        <v>0</v>
      </c>
      <c r="Z271" s="36">
        <f t="shared" ref="Z271:Z276" si="23">IFERROR(IF(X271="","",X271*0.00936),"")</f>
        <v>0</v>
      </c>
      <c r="AA271" s="56"/>
      <c r="AB271" s="57"/>
      <c r="AC271" s="256" t="s">
        <v>354</v>
      </c>
      <c r="AG271" s="67"/>
      <c r="AJ271" s="71" t="s">
        <v>70</v>
      </c>
      <c r="AK271" s="71">
        <v>1</v>
      </c>
      <c r="BB271" s="257" t="s">
        <v>109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37.5" hidden="1" customHeight="1" x14ac:dyDescent="0.25">
      <c r="A272" s="54" t="s">
        <v>369</v>
      </c>
      <c r="B272" s="54" t="s">
        <v>370</v>
      </c>
      <c r="C272" s="31">
        <v>4301137070</v>
      </c>
      <c r="D272" s="280">
        <v>4620207492123</v>
      </c>
      <c r="E272" s="281"/>
      <c r="F272" s="275">
        <v>3.7</v>
      </c>
      <c r="G272" s="32">
        <v>1</v>
      </c>
      <c r="H272" s="275">
        <v>3.7</v>
      </c>
      <c r="I272" s="275">
        <v>3.8919999999999999</v>
      </c>
      <c r="J272" s="32">
        <v>126</v>
      </c>
      <c r="K272" s="32" t="s">
        <v>105</v>
      </c>
      <c r="L272" s="32" t="s">
        <v>66</v>
      </c>
      <c r="M272" s="33" t="s">
        <v>67</v>
      </c>
      <c r="N272" s="33"/>
      <c r="O272" s="32">
        <v>180</v>
      </c>
      <c r="P272" s="370" t="s">
        <v>371</v>
      </c>
      <c r="Q272" s="283"/>
      <c r="R272" s="283"/>
      <c r="S272" s="283"/>
      <c r="T272" s="284"/>
      <c r="U272" s="34"/>
      <c r="V272" s="34"/>
      <c r="W272" s="35" t="s">
        <v>68</v>
      </c>
      <c r="X272" s="276">
        <v>0</v>
      </c>
      <c r="Y272" s="277">
        <f t="shared" si="18"/>
        <v>0</v>
      </c>
      <c r="Z272" s="36">
        <f t="shared" si="23"/>
        <v>0</v>
      </c>
      <c r="AA272" s="56"/>
      <c r="AB272" s="57"/>
      <c r="AC272" s="258" t="s">
        <v>358</v>
      </c>
      <c r="AG272" s="67"/>
      <c r="AJ272" s="71" t="s">
        <v>70</v>
      </c>
      <c r="AK272" s="71">
        <v>1</v>
      </c>
      <c r="BB272" s="259" t="s">
        <v>109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hidden="1" customHeight="1" x14ac:dyDescent="0.25">
      <c r="A273" s="54" t="s">
        <v>372</v>
      </c>
      <c r="B273" s="54" t="s">
        <v>373</v>
      </c>
      <c r="C273" s="31">
        <v>4301137078</v>
      </c>
      <c r="D273" s="280">
        <v>4620207492130</v>
      </c>
      <c r="E273" s="281"/>
      <c r="F273" s="275">
        <v>3.7</v>
      </c>
      <c r="G273" s="32">
        <v>1</v>
      </c>
      <c r="H273" s="275">
        <v>3.7</v>
      </c>
      <c r="I273" s="275">
        <v>3.8919999999999999</v>
      </c>
      <c r="J273" s="32">
        <v>126</v>
      </c>
      <c r="K273" s="32" t="s">
        <v>105</v>
      </c>
      <c r="L273" s="32" t="s">
        <v>66</v>
      </c>
      <c r="M273" s="33" t="s">
        <v>67</v>
      </c>
      <c r="N273" s="33"/>
      <c r="O273" s="32">
        <v>180</v>
      </c>
      <c r="P273" s="334" t="s">
        <v>374</v>
      </c>
      <c r="Q273" s="283"/>
      <c r="R273" s="283"/>
      <c r="S273" s="283"/>
      <c r="T273" s="284"/>
      <c r="U273" s="34"/>
      <c r="V273" s="34"/>
      <c r="W273" s="35" t="s">
        <v>68</v>
      </c>
      <c r="X273" s="276">
        <v>0</v>
      </c>
      <c r="Y273" s="277">
        <f t="shared" si="18"/>
        <v>0</v>
      </c>
      <c r="Z273" s="36">
        <f t="shared" si="23"/>
        <v>0</v>
      </c>
      <c r="AA273" s="56"/>
      <c r="AB273" s="57"/>
      <c r="AC273" s="260" t="s">
        <v>358</v>
      </c>
      <c r="AG273" s="67"/>
      <c r="AJ273" s="71" t="s">
        <v>70</v>
      </c>
      <c r="AK273" s="71">
        <v>1</v>
      </c>
      <c r="BB273" s="261" t="s">
        <v>109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hidden="1" customHeight="1" x14ac:dyDescent="0.25">
      <c r="A274" s="54" t="s">
        <v>375</v>
      </c>
      <c r="B274" s="54" t="s">
        <v>376</v>
      </c>
      <c r="C274" s="31">
        <v>4301137092</v>
      </c>
      <c r="D274" s="280">
        <v>4620207491942</v>
      </c>
      <c r="E274" s="281"/>
      <c r="F274" s="275">
        <v>0.3</v>
      </c>
      <c r="G274" s="32">
        <v>9</v>
      </c>
      <c r="H274" s="275">
        <v>2.7</v>
      </c>
      <c r="I274" s="275">
        <v>2.88</v>
      </c>
      <c r="J274" s="32">
        <v>126</v>
      </c>
      <c r="K274" s="32" t="s">
        <v>105</v>
      </c>
      <c r="L274" s="32" t="s">
        <v>66</v>
      </c>
      <c r="M274" s="33" t="s">
        <v>67</v>
      </c>
      <c r="N274" s="33"/>
      <c r="O274" s="32">
        <v>180</v>
      </c>
      <c r="P274" s="409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74" s="283"/>
      <c r="R274" s="283"/>
      <c r="S274" s="283"/>
      <c r="T274" s="284"/>
      <c r="U274" s="34"/>
      <c r="V274" s="34"/>
      <c r="W274" s="35" t="s">
        <v>68</v>
      </c>
      <c r="X274" s="276">
        <v>0</v>
      </c>
      <c r="Y274" s="277">
        <f t="shared" si="18"/>
        <v>0</v>
      </c>
      <c r="Z274" s="36">
        <f t="shared" si="23"/>
        <v>0</v>
      </c>
      <c r="AA274" s="56"/>
      <c r="AB274" s="57"/>
      <c r="AC274" s="262" t="s">
        <v>358</v>
      </c>
      <c r="AG274" s="67"/>
      <c r="AJ274" s="71" t="s">
        <v>70</v>
      </c>
      <c r="AK274" s="71">
        <v>1</v>
      </c>
      <c r="BB274" s="263" t="s">
        <v>109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377</v>
      </c>
      <c r="B275" s="54" t="s">
        <v>378</v>
      </c>
      <c r="C275" s="31">
        <v>4301137014</v>
      </c>
      <c r="D275" s="280">
        <v>4620207491911</v>
      </c>
      <c r="E275" s="281"/>
      <c r="F275" s="275">
        <v>0.3</v>
      </c>
      <c r="G275" s="32">
        <v>9</v>
      </c>
      <c r="H275" s="275">
        <v>2.7</v>
      </c>
      <c r="I275" s="275">
        <v>2.988</v>
      </c>
      <c r="J275" s="32">
        <v>126</v>
      </c>
      <c r="K275" s="32" t="s">
        <v>105</v>
      </c>
      <c r="L275" s="32" t="s">
        <v>66</v>
      </c>
      <c r="M275" s="33" t="s">
        <v>67</v>
      </c>
      <c r="N275" s="33"/>
      <c r="O275" s="32">
        <v>180</v>
      </c>
      <c r="P275" s="306" t="s">
        <v>379</v>
      </c>
      <c r="Q275" s="283"/>
      <c r="R275" s="283"/>
      <c r="S275" s="283"/>
      <c r="T275" s="284"/>
      <c r="U275" s="34"/>
      <c r="V275" s="34"/>
      <c r="W275" s="35" t="s">
        <v>68</v>
      </c>
      <c r="X275" s="276">
        <v>0</v>
      </c>
      <c r="Y275" s="277">
        <f t="shared" si="18"/>
        <v>0</v>
      </c>
      <c r="Z275" s="36">
        <f t="shared" si="23"/>
        <v>0</v>
      </c>
      <c r="AA275" s="56"/>
      <c r="AB275" s="57"/>
      <c r="AC275" s="264" t="s">
        <v>362</v>
      </c>
      <c r="AG275" s="67"/>
      <c r="AJ275" s="71" t="s">
        <v>70</v>
      </c>
      <c r="AK275" s="71">
        <v>1</v>
      </c>
      <c r="BB275" s="265" t="s">
        <v>109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380</v>
      </c>
      <c r="B276" s="54" t="s">
        <v>381</v>
      </c>
      <c r="C276" s="31">
        <v>4301137012</v>
      </c>
      <c r="D276" s="280">
        <v>4620207491935</v>
      </c>
      <c r="E276" s="281"/>
      <c r="F276" s="275">
        <v>0.3</v>
      </c>
      <c r="G276" s="32">
        <v>9</v>
      </c>
      <c r="H276" s="275">
        <v>2.7</v>
      </c>
      <c r="I276" s="275">
        <v>2.9249999999999998</v>
      </c>
      <c r="J276" s="32">
        <v>126</v>
      </c>
      <c r="K276" s="32" t="s">
        <v>105</v>
      </c>
      <c r="L276" s="32" t="s">
        <v>66</v>
      </c>
      <c r="M276" s="33" t="s">
        <v>67</v>
      </c>
      <c r="N276" s="33"/>
      <c r="O276" s="32">
        <v>180</v>
      </c>
      <c r="P276" s="433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6" s="283"/>
      <c r="R276" s="283"/>
      <c r="S276" s="283"/>
      <c r="T276" s="284"/>
      <c r="U276" s="34"/>
      <c r="V276" s="34"/>
      <c r="W276" s="35" t="s">
        <v>68</v>
      </c>
      <c r="X276" s="276">
        <v>0</v>
      </c>
      <c r="Y276" s="277">
        <f t="shared" si="18"/>
        <v>0</v>
      </c>
      <c r="Z276" s="36">
        <f t="shared" si="23"/>
        <v>0</v>
      </c>
      <c r="AA276" s="56"/>
      <c r="AB276" s="57"/>
      <c r="AC276" s="266" t="s">
        <v>354</v>
      </c>
      <c r="AG276" s="67"/>
      <c r="AJ276" s="71" t="s">
        <v>70</v>
      </c>
      <c r="AK276" s="71">
        <v>1</v>
      </c>
      <c r="BB276" s="267" t="s">
        <v>109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x14ac:dyDescent="0.2">
      <c r="A277" s="294"/>
      <c r="B277" s="289"/>
      <c r="C277" s="289"/>
      <c r="D277" s="289"/>
      <c r="E277" s="289"/>
      <c r="F277" s="289"/>
      <c r="G277" s="289"/>
      <c r="H277" s="289"/>
      <c r="I277" s="289"/>
      <c r="J277" s="289"/>
      <c r="K277" s="289"/>
      <c r="L277" s="289"/>
      <c r="M277" s="289"/>
      <c r="N277" s="289"/>
      <c r="O277" s="295"/>
      <c r="P277" s="285" t="s">
        <v>87</v>
      </c>
      <c r="Q277" s="286"/>
      <c r="R277" s="286"/>
      <c r="S277" s="286"/>
      <c r="T277" s="286"/>
      <c r="U277" s="286"/>
      <c r="V277" s="287"/>
      <c r="W277" s="37" t="s">
        <v>68</v>
      </c>
      <c r="X277" s="278">
        <f>IFERROR(SUM(X267:X276),"0")</f>
        <v>24</v>
      </c>
      <c r="Y277" s="278">
        <f>IFERROR(SUM(Y267:Y276),"0")</f>
        <v>24</v>
      </c>
      <c r="Z277" s="278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0.372</v>
      </c>
      <c r="AA277" s="279"/>
      <c r="AB277" s="279"/>
      <c r="AC277" s="279"/>
    </row>
    <row r="278" spans="1:68" x14ac:dyDescent="0.2">
      <c r="A278" s="289"/>
      <c r="B278" s="289"/>
      <c r="C278" s="289"/>
      <c r="D278" s="289"/>
      <c r="E278" s="289"/>
      <c r="F278" s="289"/>
      <c r="G278" s="289"/>
      <c r="H278" s="289"/>
      <c r="I278" s="289"/>
      <c r="J278" s="289"/>
      <c r="K278" s="289"/>
      <c r="L278" s="289"/>
      <c r="M278" s="289"/>
      <c r="N278" s="289"/>
      <c r="O278" s="295"/>
      <c r="P278" s="285" t="s">
        <v>87</v>
      </c>
      <c r="Q278" s="286"/>
      <c r="R278" s="286"/>
      <c r="S278" s="286"/>
      <c r="T278" s="286"/>
      <c r="U278" s="286"/>
      <c r="V278" s="287"/>
      <c r="W278" s="37" t="s">
        <v>88</v>
      </c>
      <c r="X278" s="278">
        <f>IFERROR(SUMPRODUCT(X267:X276*H267:H276),"0")</f>
        <v>132</v>
      </c>
      <c r="Y278" s="278">
        <f>IFERROR(SUMPRODUCT(Y267:Y276*H267:H276),"0")</f>
        <v>132</v>
      </c>
      <c r="Z278" s="37"/>
      <c r="AA278" s="279"/>
      <c r="AB278" s="279"/>
      <c r="AC278" s="279"/>
    </row>
    <row r="279" spans="1:68" ht="15" customHeight="1" x14ac:dyDescent="0.2">
      <c r="A279" s="380"/>
      <c r="B279" s="289"/>
      <c r="C279" s="289"/>
      <c r="D279" s="289"/>
      <c r="E279" s="289"/>
      <c r="F279" s="289"/>
      <c r="G279" s="289"/>
      <c r="H279" s="289"/>
      <c r="I279" s="289"/>
      <c r="J279" s="289"/>
      <c r="K279" s="289"/>
      <c r="L279" s="289"/>
      <c r="M279" s="289"/>
      <c r="N279" s="289"/>
      <c r="O279" s="375"/>
      <c r="P279" s="326" t="s">
        <v>382</v>
      </c>
      <c r="Q279" s="327"/>
      <c r="R279" s="327"/>
      <c r="S279" s="327"/>
      <c r="T279" s="327"/>
      <c r="U279" s="327"/>
      <c r="V279" s="328"/>
      <c r="W279" s="37" t="s">
        <v>88</v>
      </c>
      <c r="X279" s="278">
        <f>IFERROR(X31+X35+X41+X48+X54+X62+X71+X77+X82+X88+X98+X104+X115+X119+X123+X128+X135+X141+X147+X153+X159+X164+X169+X174+X180+X184+X190+X195+X204+X210+X215+X221+X226+X232+X238+X242+X248+X252+X259+X265+X278,"0")</f>
        <v>7117.6800000000012</v>
      </c>
      <c r="Y279" s="278">
        <f>IFERROR(Y31+Y35+Y41+Y48+Y54+Y62+Y71+Y77+Y82+Y88+Y98+Y104+Y115+Y119+Y123+Y128+Y135+Y141+Y147+Y153+Y159+Y164+Y169+Y174+Y180+Y184+Y190+Y195+Y204+Y210+Y215+Y221+Y226+Y232+Y238+Y242+Y248+Y252+Y259+Y265+Y278,"0")</f>
        <v>7117.6800000000012</v>
      </c>
      <c r="Z279" s="37"/>
      <c r="AA279" s="279"/>
      <c r="AB279" s="279"/>
      <c r="AC279" s="279"/>
    </row>
    <row r="280" spans="1:68" x14ac:dyDescent="0.2">
      <c r="A280" s="289"/>
      <c r="B280" s="289"/>
      <c r="C280" s="289"/>
      <c r="D280" s="289"/>
      <c r="E280" s="289"/>
      <c r="F280" s="289"/>
      <c r="G280" s="289"/>
      <c r="H280" s="289"/>
      <c r="I280" s="289"/>
      <c r="J280" s="289"/>
      <c r="K280" s="289"/>
      <c r="L280" s="289"/>
      <c r="M280" s="289"/>
      <c r="N280" s="289"/>
      <c r="O280" s="375"/>
      <c r="P280" s="326" t="s">
        <v>383</v>
      </c>
      <c r="Q280" s="327"/>
      <c r="R280" s="327"/>
      <c r="S280" s="327"/>
      <c r="T280" s="327"/>
      <c r="U280" s="327"/>
      <c r="V280" s="328"/>
      <c r="W280" s="37" t="s">
        <v>88</v>
      </c>
      <c r="X280" s="278">
        <f>IFERROR(SUM(BM22:BM276),"0")</f>
        <v>7750.0196000000005</v>
      </c>
      <c r="Y280" s="278">
        <f>IFERROR(SUM(BN22:BN276),"0")</f>
        <v>7750.0196000000005</v>
      </c>
      <c r="Z280" s="37"/>
      <c r="AA280" s="279"/>
      <c r="AB280" s="279"/>
      <c r="AC280" s="279"/>
    </row>
    <row r="281" spans="1:68" x14ac:dyDescent="0.2">
      <c r="A281" s="289"/>
      <c r="B281" s="289"/>
      <c r="C281" s="289"/>
      <c r="D281" s="289"/>
      <c r="E281" s="289"/>
      <c r="F281" s="289"/>
      <c r="G281" s="289"/>
      <c r="H281" s="289"/>
      <c r="I281" s="289"/>
      <c r="J281" s="289"/>
      <c r="K281" s="289"/>
      <c r="L281" s="289"/>
      <c r="M281" s="289"/>
      <c r="N281" s="289"/>
      <c r="O281" s="375"/>
      <c r="P281" s="326" t="s">
        <v>384</v>
      </c>
      <c r="Q281" s="327"/>
      <c r="R281" s="327"/>
      <c r="S281" s="327"/>
      <c r="T281" s="327"/>
      <c r="U281" s="327"/>
      <c r="V281" s="328"/>
      <c r="W281" s="37" t="s">
        <v>385</v>
      </c>
      <c r="X281" s="38">
        <f>ROUNDUP(SUM(BO22:BO276),0)</f>
        <v>20</v>
      </c>
      <c r="Y281" s="38">
        <f>ROUNDUP(SUM(BP22:BP276),0)</f>
        <v>20</v>
      </c>
      <c r="Z281" s="37"/>
      <c r="AA281" s="279"/>
      <c r="AB281" s="279"/>
      <c r="AC281" s="279"/>
    </row>
    <row r="282" spans="1:68" x14ac:dyDescent="0.2">
      <c r="A282" s="289"/>
      <c r="B282" s="289"/>
      <c r="C282" s="289"/>
      <c r="D282" s="289"/>
      <c r="E282" s="289"/>
      <c r="F282" s="289"/>
      <c r="G282" s="289"/>
      <c r="H282" s="289"/>
      <c r="I282" s="289"/>
      <c r="J282" s="289"/>
      <c r="K282" s="289"/>
      <c r="L282" s="289"/>
      <c r="M282" s="289"/>
      <c r="N282" s="289"/>
      <c r="O282" s="375"/>
      <c r="P282" s="326" t="s">
        <v>386</v>
      </c>
      <c r="Q282" s="327"/>
      <c r="R282" s="327"/>
      <c r="S282" s="327"/>
      <c r="T282" s="327"/>
      <c r="U282" s="327"/>
      <c r="V282" s="328"/>
      <c r="W282" s="37" t="s">
        <v>88</v>
      </c>
      <c r="X282" s="278">
        <f>GrossWeightTotal+PalletQtyTotal*25</f>
        <v>8250.0195999999996</v>
      </c>
      <c r="Y282" s="278">
        <f>GrossWeightTotalR+PalletQtyTotalR*25</f>
        <v>8250.0195999999996</v>
      </c>
      <c r="Z282" s="37"/>
      <c r="AA282" s="279"/>
      <c r="AB282" s="279"/>
      <c r="AC282" s="279"/>
    </row>
    <row r="283" spans="1:68" x14ac:dyDescent="0.2">
      <c r="A283" s="289"/>
      <c r="B283" s="289"/>
      <c r="C283" s="289"/>
      <c r="D283" s="289"/>
      <c r="E283" s="289"/>
      <c r="F283" s="289"/>
      <c r="G283" s="289"/>
      <c r="H283" s="289"/>
      <c r="I283" s="289"/>
      <c r="J283" s="289"/>
      <c r="K283" s="289"/>
      <c r="L283" s="289"/>
      <c r="M283" s="289"/>
      <c r="N283" s="289"/>
      <c r="O283" s="375"/>
      <c r="P283" s="326" t="s">
        <v>387</v>
      </c>
      <c r="Q283" s="327"/>
      <c r="R283" s="327"/>
      <c r="S283" s="327"/>
      <c r="T283" s="327"/>
      <c r="U283" s="327"/>
      <c r="V283" s="328"/>
      <c r="W283" s="37" t="s">
        <v>385</v>
      </c>
      <c r="X283" s="278">
        <f>IFERROR(X30+X34+X40+X47+X53+X61+X70+X76+X81+X87+X97+X103+X114+X118+X122+X127+X134+X140+X146+X152+X158+X163+X168+X173+X179+X183+X189+X194+X203+X209+X214+X220+X225+X231+X237+X241+X247+X251+X258+X264+X277,"0")</f>
        <v>1678</v>
      </c>
      <c r="Y283" s="278">
        <f>IFERROR(Y30+Y34+Y40+Y47+Y53+Y61+Y70+Y76+Y81+Y87+Y97+Y103+Y114+Y118+Y122+Y127+Y134+Y140+Y146+Y152+Y158+Y163+Y168+Y173+Y179+Y183+Y189+Y194+Y203+Y209+Y214+Y220+Y225+Y231+Y237+Y241+Y247+Y251+Y258+Y264+Y277,"0")</f>
        <v>1678</v>
      </c>
      <c r="Z283" s="37"/>
      <c r="AA283" s="279"/>
      <c r="AB283" s="279"/>
      <c r="AC283" s="279"/>
    </row>
    <row r="284" spans="1:68" ht="14.25" hidden="1" customHeight="1" x14ac:dyDescent="0.2">
      <c r="A284" s="289"/>
      <c r="B284" s="289"/>
      <c r="C284" s="289"/>
      <c r="D284" s="289"/>
      <c r="E284" s="289"/>
      <c r="F284" s="289"/>
      <c r="G284" s="289"/>
      <c r="H284" s="289"/>
      <c r="I284" s="289"/>
      <c r="J284" s="289"/>
      <c r="K284" s="289"/>
      <c r="L284" s="289"/>
      <c r="M284" s="289"/>
      <c r="N284" s="289"/>
      <c r="O284" s="375"/>
      <c r="P284" s="326" t="s">
        <v>388</v>
      </c>
      <c r="Q284" s="327"/>
      <c r="R284" s="327"/>
      <c r="S284" s="327"/>
      <c r="T284" s="327"/>
      <c r="U284" s="327"/>
      <c r="V284" s="328"/>
      <c r="W284" s="39" t="s">
        <v>389</v>
      </c>
      <c r="X284" s="37"/>
      <c r="Y284" s="37"/>
      <c r="Z284" s="37">
        <f>IFERROR(Z30+Z34+Z40+Z47+Z53+Z61+Z70+Z76+Z81+Z87+Z97+Z103+Z114+Z118+Z122+Z127+Z134+Z140+Z146+Z152+Z158+Z163+Z168+Z173+Z179+Z183+Z189+Z194+Z203+Z209+Z214+Z220+Z225+Z231+Z237+Z241+Z247+Z251+Z258+Z264+Z277,"0")</f>
        <v>24.755799999999997</v>
      </c>
      <c r="AA284" s="279"/>
      <c r="AB284" s="279"/>
      <c r="AC284" s="279"/>
    </row>
    <row r="285" spans="1:68" ht="13.5" customHeight="1" thickBot="1" x14ac:dyDescent="0.25"/>
    <row r="286" spans="1:68" ht="27" customHeight="1" thickTop="1" thickBot="1" x14ac:dyDescent="0.25">
      <c r="A286" s="40" t="s">
        <v>390</v>
      </c>
      <c r="B286" s="299" t="s">
        <v>61</v>
      </c>
      <c r="C286" s="386"/>
      <c r="D286" s="299" t="s">
        <v>100</v>
      </c>
      <c r="E286" s="385"/>
      <c r="F286" s="385"/>
      <c r="G286" s="385"/>
      <c r="H286" s="385"/>
      <c r="I286" s="385"/>
      <c r="J286" s="385"/>
      <c r="K286" s="385"/>
      <c r="L286" s="385"/>
      <c r="M286" s="385"/>
      <c r="N286" s="385"/>
      <c r="O286" s="385"/>
      <c r="P286" s="385"/>
      <c r="Q286" s="385"/>
      <c r="R286" s="385"/>
      <c r="S286" s="385"/>
      <c r="T286" s="385"/>
      <c r="U286" s="386"/>
      <c r="V286" s="299" t="s">
        <v>262</v>
      </c>
      <c r="W286" s="385"/>
      <c r="X286" s="386"/>
      <c r="Y286" s="273" t="s">
        <v>280</v>
      </c>
      <c r="Z286" s="299" t="s">
        <v>294</v>
      </c>
      <c r="AA286" s="385"/>
      <c r="AB286" s="386"/>
      <c r="AC286" s="273" t="s">
        <v>316</v>
      </c>
      <c r="AD286" s="273" t="s">
        <v>321</v>
      </c>
      <c r="AE286" s="273" t="s">
        <v>329</v>
      </c>
      <c r="AF286" s="273" t="s">
        <v>263</v>
      </c>
    </row>
    <row r="287" spans="1:68" ht="14.25" customHeight="1" thickTop="1" x14ac:dyDescent="0.2">
      <c r="A287" s="309" t="s">
        <v>391</v>
      </c>
      <c r="B287" s="299" t="s">
        <v>61</v>
      </c>
      <c r="C287" s="299" t="s">
        <v>94</v>
      </c>
      <c r="D287" s="299" t="s">
        <v>101</v>
      </c>
      <c r="E287" s="299" t="s">
        <v>112</v>
      </c>
      <c r="F287" s="299" t="s">
        <v>119</v>
      </c>
      <c r="G287" s="299" t="s">
        <v>130</v>
      </c>
      <c r="H287" s="299" t="s">
        <v>145</v>
      </c>
      <c r="I287" s="299" t="s">
        <v>152</v>
      </c>
      <c r="J287" s="299" t="s">
        <v>157</v>
      </c>
      <c r="K287" s="299" t="s">
        <v>165</v>
      </c>
      <c r="L287" s="299" t="s">
        <v>180</v>
      </c>
      <c r="M287" s="299" t="s">
        <v>187</v>
      </c>
      <c r="N287" s="274"/>
      <c r="O287" s="299" t="s">
        <v>213</v>
      </c>
      <c r="P287" s="299" t="s">
        <v>234</v>
      </c>
      <c r="Q287" s="299" t="s">
        <v>240</v>
      </c>
      <c r="R287" s="299" t="s">
        <v>246</v>
      </c>
      <c r="S287" s="299" t="s">
        <v>252</v>
      </c>
      <c r="T287" s="299" t="s">
        <v>255</v>
      </c>
      <c r="U287" s="299" t="s">
        <v>259</v>
      </c>
      <c r="V287" s="299" t="s">
        <v>263</v>
      </c>
      <c r="W287" s="299" t="s">
        <v>270</v>
      </c>
      <c r="X287" s="299" t="s">
        <v>277</v>
      </c>
      <c r="Y287" s="299" t="s">
        <v>281</v>
      </c>
      <c r="Z287" s="299" t="s">
        <v>295</v>
      </c>
      <c r="AA287" s="299" t="s">
        <v>305</v>
      </c>
      <c r="AB287" s="299" t="s">
        <v>312</v>
      </c>
      <c r="AC287" s="299" t="s">
        <v>317</v>
      </c>
      <c r="AD287" s="299" t="s">
        <v>322</v>
      </c>
      <c r="AE287" s="299" t="s">
        <v>329</v>
      </c>
      <c r="AF287" s="299" t="s">
        <v>263</v>
      </c>
    </row>
    <row r="288" spans="1:68" ht="13.5" customHeight="1" thickBot="1" x14ac:dyDescent="0.25">
      <c r="A288" s="310"/>
      <c r="B288" s="300"/>
      <c r="C288" s="300"/>
      <c r="D288" s="300"/>
      <c r="E288" s="300"/>
      <c r="F288" s="300"/>
      <c r="G288" s="300"/>
      <c r="H288" s="300"/>
      <c r="I288" s="300"/>
      <c r="J288" s="300"/>
      <c r="K288" s="300"/>
      <c r="L288" s="300"/>
      <c r="M288" s="300"/>
      <c r="N288" s="274"/>
      <c r="O288" s="300"/>
      <c r="P288" s="300"/>
      <c r="Q288" s="300"/>
      <c r="R288" s="300"/>
      <c r="S288" s="300"/>
      <c r="T288" s="300"/>
      <c r="U288" s="300"/>
      <c r="V288" s="300"/>
      <c r="W288" s="300"/>
      <c r="X288" s="300"/>
      <c r="Y288" s="300"/>
      <c r="Z288" s="300"/>
      <c r="AA288" s="300"/>
      <c r="AB288" s="300"/>
      <c r="AC288" s="300"/>
      <c r="AD288" s="300"/>
      <c r="AE288" s="300"/>
      <c r="AF288" s="300"/>
    </row>
    <row r="289" spans="1:32" ht="18" customHeight="1" thickTop="1" thickBot="1" x14ac:dyDescent="0.25">
      <c r="A289" s="40" t="s">
        <v>392</v>
      </c>
      <c r="B289" s="46">
        <f>IFERROR(X22*H22,"0")+IFERROR(X23*H23,"0")+IFERROR(X24*H24,"0")+IFERROR(X25*H25,"0")+IFERROR(X26*H26,"0")+IFERROR(X27*H27,"0")+IFERROR(X28*H28,"0")+IFERROR(X29*H29,"0")+IFERROR(X33*H33,"0")</f>
        <v>307.20000000000005</v>
      </c>
      <c r="C289" s="46">
        <f>IFERROR(X38*H38,"0")+IFERROR(X39*H39,"0")</f>
        <v>0</v>
      </c>
      <c r="D289" s="46">
        <f>IFERROR(X45*H45,"0")+IFERROR(X46*H46,"0")</f>
        <v>189</v>
      </c>
      <c r="E289" s="46">
        <f>IFERROR(X51*H51,"0")+IFERROR(X52*H52,"0")</f>
        <v>403.19999999999993</v>
      </c>
      <c r="F289" s="46">
        <f>IFERROR(X57*H57,"0")+IFERROR(X58*H58,"0")+IFERROR(X59*H59,"0")+IFERROR(X60*H60,"0")</f>
        <v>588</v>
      </c>
      <c r="G289" s="46">
        <f>IFERROR(X65*H65,"0")+IFERROR(X66*H66,"0")+IFERROR(X67*H67,"0")+IFERROR(X68*H68,"0")+IFERROR(X69*H69,"0")</f>
        <v>67.2</v>
      </c>
      <c r="H289" s="46">
        <f>IFERROR(X74*H74,"0")+IFERROR(X75*H75,"0")</f>
        <v>0</v>
      </c>
      <c r="I289" s="46">
        <f>IFERROR(X80*H80,"0")</f>
        <v>0</v>
      </c>
      <c r="J289" s="46">
        <f>IFERROR(X85*H85,"0")+IFERROR(X86*H86,"0")</f>
        <v>0</v>
      </c>
      <c r="K289" s="46">
        <f>IFERROR(X91*H91,"0")+IFERROR(X92*H92,"0")+IFERROR(X93*H93,"0")+IFERROR(X94*H94,"0")+IFERROR(X95*H95,"0")+IFERROR(X96*H96,"0")</f>
        <v>443.52</v>
      </c>
      <c r="L289" s="46">
        <f>IFERROR(X101*H101,"0")+IFERROR(X102*H102,"0")</f>
        <v>0</v>
      </c>
      <c r="M289" s="46">
        <f>IFERROR(X107*H107,"0")+IFERROR(X108*H108,"0")+IFERROR(X109*H109,"0")+IFERROR(X110*H110,"0")+IFERROR(X111*H111,"0")+IFERROR(X112*H112,"0")+IFERROR(X113*H113,"0")+IFERROR(X117*H117,"0")+IFERROR(X121*H121,"0")</f>
        <v>1483.2</v>
      </c>
      <c r="N289" s="274"/>
      <c r="O289" s="46">
        <f>IFERROR(X126*H126,"0")+IFERROR(X130*H130,"0")+IFERROR(X131*H131,"0")+IFERROR(X132*H132,"0")+IFERROR(X133*H133,"0")+IFERROR(X137*H137,"0")+IFERROR(X138*H138,"0")+IFERROR(X139*H139,"0")</f>
        <v>93.240000000000009</v>
      </c>
      <c r="P289" s="46">
        <f>IFERROR(X144*H144,"0")+IFERROR(X145*H145,"0")</f>
        <v>168</v>
      </c>
      <c r="Q289" s="46">
        <f>IFERROR(X150*H150,"0")+IFERROR(X151*H151,"0")</f>
        <v>168</v>
      </c>
      <c r="R289" s="46">
        <f>IFERROR(X156*H156,"0")+IFERROR(X157*H157,"0")</f>
        <v>134.4</v>
      </c>
      <c r="S289" s="46">
        <f>IFERROR(X162*H162,"0")</f>
        <v>0</v>
      </c>
      <c r="T289" s="46">
        <f>IFERROR(X167*H167,"0")</f>
        <v>0</v>
      </c>
      <c r="U289" s="46">
        <f>IFERROR(X172*H172,"0")</f>
        <v>94.08</v>
      </c>
      <c r="V289" s="46">
        <f>IFERROR(X178*H178,"0")+IFERROR(X182*H182,"0")</f>
        <v>72</v>
      </c>
      <c r="W289" s="46">
        <f>IFERROR(X187*H187,"0")+IFERROR(X188*H188,"0")</f>
        <v>300</v>
      </c>
      <c r="X289" s="46">
        <f>IFERROR(X193*H193,"0")</f>
        <v>840</v>
      </c>
      <c r="Y289" s="46">
        <f>IFERROR(X199*H199,"0")+IFERROR(X200*H200,"0")+IFERROR(X201*H201,"0")+IFERROR(X202*H202,"0")</f>
        <v>336</v>
      </c>
      <c r="Z289" s="46">
        <f>IFERROR(X208*H208,"0")+IFERROR(X212*H212,"0")+IFERROR(X213*H213,"0")</f>
        <v>38.64</v>
      </c>
      <c r="AA289" s="46">
        <f>IFERROR(X218*H218,"0")+IFERROR(X219*H219,"0")</f>
        <v>0</v>
      </c>
      <c r="AB289" s="46">
        <f>IFERROR(X224*H224,"0")</f>
        <v>420</v>
      </c>
      <c r="AC289" s="46">
        <f>IFERROR(X230*H230,"0")</f>
        <v>0</v>
      </c>
      <c r="AD289" s="46">
        <f>IFERROR(X236*H236,"0")+IFERROR(X240*H240,"0")</f>
        <v>0</v>
      </c>
      <c r="AE289" s="46">
        <f>IFERROR(X246*H246,"0")+IFERROR(X250*H250,"0")</f>
        <v>0</v>
      </c>
      <c r="AF289" s="46">
        <f>IFERROR(X256*H256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972</v>
      </c>
    </row>
    <row r="290" spans="1:32" ht="13.5" customHeight="1" thickTop="1" x14ac:dyDescent="0.2">
      <c r="C290" s="274"/>
    </row>
    <row r="291" spans="1:32" ht="19.5" customHeight="1" x14ac:dyDescent="0.2">
      <c r="A291" s="58" t="s">
        <v>393</v>
      </c>
      <c r="B291" s="58" t="s">
        <v>394</v>
      </c>
      <c r="C291" s="58" t="s">
        <v>395</v>
      </c>
    </row>
    <row r="292" spans="1:32" x14ac:dyDescent="0.2">
      <c r="A292" s="59">
        <f>SUMPRODUCT(--(BB:BB="ЗПФ"),--(W:W="кор"),H:H,Y:Y)+SUMPRODUCT(--(BB:BB="ЗПФ"),--(W:W="кг"),Y:Y)</f>
        <v>4341.6000000000004</v>
      </c>
      <c r="B292" s="60">
        <f>SUMPRODUCT(--(BB:BB="ПГП"),--(W:W="кор"),H:H,Y:Y)+SUMPRODUCT(--(BB:BB="ПГП"),--(W:W="кг"),Y:Y)</f>
        <v>2776.08</v>
      </c>
      <c r="C292" s="60">
        <f>SUMPRODUCT(--(BB:BB="КИЗ"),--(W:W="кор"),H:H,Y:Y)+SUMPRODUCT(--(BB:BB="КИЗ"),--(W:W="кг"),Y:Y)</f>
        <v>0</v>
      </c>
    </row>
  </sheetData>
  <sheetProtection algorithmName="SHA-512" hashValue="7GcTc/maGiOe0X/IXk/18Otaas31YIZgqkteP/o6WxxLsqOyFUvBmBjP+dVnifJTxWAbp+cI0TdxWAo5aUQRpQ==" saltValue="v481lc66nlgukvQNM1TuHw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83,20"/>
        <filter val="1 678,00"/>
        <filter val="112,00"/>
        <filter val="12,00"/>
        <filter val="126,00"/>
        <filter val="132,00"/>
        <filter val="134,40"/>
        <filter val="14,00"/>
        <filter val="140,00"/>
        <filter val="168,00"/>
        <filter val="189,00"/>
        <filter val="20"/>
        <filter val="216,00"/>
        <filter val="24,00"/>
        <filter val="28,00"/>
        <filter val="300,00"/>
        <filter val="307,20"/>
        <filter val="336,00"/>
        <filter val="38,64"/>
        <filter val="403,20"/>
        <filter val="42,00"/>
        <filter val="420,00"/>
        <filter val="443,52"/>
        <filter val="48,00"/>
        <filter val="56,00"/>
        <filter val="588,00"/>
        <filter val="60,00"/>
        <filter val="67,20"/>
        <filter val="7 117,68"/>
        <filter val="7 750,02"/>
        <filter val="70,00"/>
        <filter val="72,00"/>
        <filter val="8 250,02"/>
        <filter val="84,00"/>
        <filter val="840,00"/>
        <filter val="93,24"/>
        <filter val="94,08"/>
      </filters>
    </filterColumn>
    <filterColumn colId="29" showButton="0"/>
    <filterColumn colId="30" showButton="0"/>
  </autoFilter>
  <mergeCells count="507">
    <mergeCell ref="P202:T202"/>
    <mergeCell ref="X17:X18"/>
    <mergeCell ref="A163:O164"/>
    <mergeCell ref="D250:E250"/>
    <mergeCell ref="P58:T58"/>
    <mergeCell ref="B286:C286"/>
    <mergeCell ref="J287:J288"/>
    <mergeCell ref="L287:L288"/>
    <mergeCell ref="P283:V283"/>
    <mergeCell ref="D271:E271"/>
    <mergeCell ref="V12:W12"/>
    <mergeCell ref="D262:E262"/>
    <mergeCell ref="P122:V122"/>
    <mergeCell ref="A245:Z245"/>
    <mergeCell ref="P25:T25"/>
    <mergeCell ref="P85:T85"/>
    <mergeCell ref="P60:T60"/>
    <mergeCell ref="D95:E95"/>
    <mergeCell ref="U17:V17"/>
    <mergeCell ref="Y17:Y18"/>
    <mergeCell ref="D57:E57"/>
    <mergeCell ref="P163:V163"/>
    <mergeCell ref="D268:E268"/>
    <mergeCell ref="P151:T151"/>
    <mergeCell ref="P76:V76"/>
    <mergeCell ref="A255:Z255"/>
    <mergeCell ref="P126:T126"/>
    <mergeCell ref="A217:Z217"/>
    <mergeCell ref="P218:T218"/>
    <mergeCell ref="P140:V140"/>
    <mergeCell ref="AD17:AF18"/>
    <mergeCell ref="D101:E101"/>
    <mergeCell ref="F5:G5"/>
    <mergeCell ref="B287:B288"/>
    <mergeCell ref="D287:D288"/>
    <mergeCell ref="P169:V169"/>
    <mergeCell ref="P67:T67"/>
    <mergeCell ref="P119:V119"/>
    <mergeCell ref="A223:Z223"/>
    <mergeCell ref="V11:W11"/>
    <mergeCell ref="P57:T57"/>
    <mergeCell ref="P75:T75"/>
    <mergeCell ref="A254:Z254"/>
    <mergeCell ref="P121:T121"/>
    <mergeCell ref="D29:E29"/>
    <mergeCell ref="D23:E23"/>
    <mergeCell ref="P195:V195"/>
    <mergeCell ref="A134:O135"/>
    <mergeCell ref="A194:O195"/>
    <mergeCell ref="A125:Z125"/>
    <mergeCell ref="A20:Z20"/>
    <mergeCell ref="P110:T110"/>
    <mergeCell ref="D218:E218"/>
    <mergeCell ref="A258:O259"/>
    <mergeCell ref="P2:W3"/>
    <mergeCell ref="P133:T133"/>
    <mergeCell ref="A43:Z43"/>
    <mergeCell ref="A170:Z170"/>
    <mergeCell ref="D10:E10"/>
    <mergeCell ref="F10:G10"/>
    <mergeCell ref="D270:E270"/>
    <mergeCell ref="S287:S288"/>
    <mergeCell ref="U287:U288"/>
    <mergeCell ref="A249:Z249"/>
    <mergeCell ref="P53:V53"/>
    <mergeCell ref="A176:Z176"/>
    <mergeCell ref="A64:Z64"/>
    <mergeCell ref="A191:Z191"/>
    <mergeCell ref="P262:T262"/>
    <mergeCell ref="D276:E276"/>
    <mergeCell ref="N17:N18"/>
    <mergeCell ref="Q5:R5"/>
    <mergeCell ref="P199:T199"/>
    <mergeCell ref="M287:M288"/>
    <mergeCell ref="F17:F18"/>
    <mergeCell ref="D107:E107"/>
    <mergeCell ref="P65:T65"/>
    <mergeCell ref="P263:T263"/>
    <mergeCell ref="V286:X286"/>
    <mergeCell ref="A233:Z233"/>
    <mergeCell ref="A168:O169"/>
    <mergeCell ref="M17:M18"/>
    <mergeCell ref="O17:O18"/>
    <mergeCell ref="P258:V258"/>
    <mergeCell ref="P174:V174"/>
    <mergeCell ref="A175:Z175"/>
    <mergeCell ref="A235:Z235"/>
    <mergeCell ref="P102:T102"/>
    <mergeCell ref="D286:U286"/>
    <mergeCell ref="P189:V189"/>
    <mergeCell ref="A185:Z185"/>
    <mergeCell ref="D33:E33"/>
    <mergeCell ref="P281:V281"/>
    <mergeCell ref="A106:Z106"/>
    <mergeCell ref="P200:T200"/>
    <mergeCell ref="A251:O252"/>
    <mergeCell ref="A118:O119"/>
    <mergeCell ref="A189:O190"/>
    <mergeCell ref="D102:E102"/>
    <mergeCell ref="P81:V81"/>
    <mergeCell ref="D25:E25"/>
    <mergeCell ref="D133:E133"/>
    <mergeCell ref="E287:E288"/>
    <mergeCell ref="D202:E202"/>
    <mergeCell ref="D58:E58"/>
    <mergeCell ref="P112:T112"/>
    <mergeCell ref="A116:Z116"/>
    <mergeCell ref="P70:V70"/>
    <mergeCell ref="P103:V103"/>
    <mergeCell ref="A155:Z155"/>
    <mergeCell ref="P134:V134"/>
    <mergeCell ref="P97:V97"/>
    <mergeCell ref="P201:T201"/>
    <mergeCell ref="P139:T139"/>
    <mergeCell ref="X287:X288"/>
    <mergeCell ref="Z287:Z288"/>
    <mergeCell ref="A222:Z222"/>
    <mergeCell ref="A127:O128"/>
    <mergeCell ref="P178:T178"/>
    <mergeCell ref="P276:T276"/>
    <mergeCell ref="D257:E257"/>
    <mergeCell ref="P270:T270"/>
    <mergeCell ref="D86:E86"/>
    <mergeCell ref="D213:E213"/>
    <mergeCell ref="D151:E151"/>
    <mergeCell ref="P284:V284"/>
    <mergeCell ref="H5:M5"/>
    <mergeCell ref="A56:Z56"/>
    <mergeCell ref="P31:V31"/>
    <mergeCell ref="P158:V158"/>
    <mergeCell ref="A154:Z154"/>
    <mergeCell ref="D212:E212"/>
    <mergeCell ref="D6:M6"/>
    <mergeCell ref="P162:T162"/>
    <mergeCell ref="P33:T33"/>
    <mergeCell ref="P93:T93"/>
    <mergeCell ref="D85:E85"/>
    <mergeCell ref="G17:G18"/>
    <mergeCell ref="A81:O82"/>
    <mergeCell ref="P184:V184"/>
    <mergeCell ref="A152:O153"/>
    <mergeCell ref="A143:Z143"/>
    <mergeCell ref="D80:E80"/>
    <mergeCell ref="P188:T188"/>
    <mergeCell ref="A207:Z207"/>
    <mergeCell ref="P123:V123"/>
    <mergeCell ref="P59:T59"/>
    <mergeCell ref="P130:T130"/>
    <mergeCell ref="P46:T46"/>
    <mergeCell ref="A114:O115"/>
    <mergeCell ref="P274:T274"/>
    <mergeCell ref="P193:T193"/>
    <mergeCell ref="D65:E65"/>
    <mergeCell ref="P22:T22"/>
    <mergeCell ref="P257:T257"/>
    <mergeCell ref="P54:V54"/>
    <mergeCell ref="P80:T80"/>
    <mergeCell ref="AE287:AE288"/>
    <mergeCell ref="Z17:Z18"/>
    <mergeCell ref="P173:V173"/>
    <mergeCell ref="AB17:AB18"/>
    <mergeCell ref="Y287:Y288"/>
    <mergeCell ref="P265:V265"/>
    <mergeCell ref="A90:Z90"/>
    <mergeCell ref="P237:V237"/>
    <mergeCell ref="D256:E256"/>
    <mergeCell ref="P269:T269"/>
    <mergeCell ref="A231:O232"/>
    <mergeCell ref="P242:V242"/>
    <mergeCell ref="A241:O242"/>
    <mergeCell ref="P111:T111"/>
    <mergeCell ref="A227:Z227"/>
    <mergeCell ref="D200:E200"/>
    <mergeCell ref="C287:C288"/>
    <mergeCell ref="AA17:AA18"/>
    <mergeCell ref="H10:M10"/>
    <mergeCell ref="AC17:AC18"/>
    <mergeCell ref="P108:T108"/>
    <mergeCell ref="P209:V209"/>
    <mergeCell ref="A72:Z72"/>
    <mergeCell ref="P147:V147"/>
    <mergeCell ref="P45:T45"/>
    <mergeCell ref="P256:T256"/>
    <mergeCell ref="D199:E199"/>
    <mergeCell ref="P38:T38"/>
    <mergeCell ref="P109:T109"/>
    <mergeCell ref="Q13:R13"/>
    <mergeCell ref="P47:V47"/>
    <mergeCell ref="D22:E22"/>
    <mergeCell ref="D150:E150"/>
    <mergeCell ref="P107:T107"/>
    <mergeCell ref="P101:T101"/>
    <mergeCell ref="P194:V194"/>
    <mergeCell ref="A103:O104"/>
    <mergeCell ref="P210:V210"/>
    <mergeCell ref="A206:Z206"/>
    <mergeCell ref="A10:C10"/>
    <mergeCell ref="A136:Z136"/>
    <mergeCell ref="AF287:AF288"/>
    <mergeCell ref="D193:E193"/>
    <mergeCell ref="P220:V220"/>
    <mergeCell ref="D51:E51"/>
    <mergeCell ref="Q287:Q288"/>
    <mergeCell ref="P221:V221"/>
    <mergeCell ref="D138:E138"/>
    <mergeCell ref="P215:V215"/>
    <mergeCell ref="A211:Z211"/>
    <mergeCell ref="A186:Z186"/>
    <mergeCell ref="P152:V152"/>
    <mergeCell ref="D267:E267"/>
    <mergeCell ref="P96:T96"/>
    <mergeCell ref="A220:O221"/>
    <mergeCell ref="P261:T261"/>
    <mergeCell ref="D269:E269"/>
    <mergeCell ref="P104:V104"/>
    <mergeCell ref="P287:P288"/>
    <mergeCell ref="D75:E75"/>
    <mergeCell ref="P247:V247"/>
    <mergeCell ref="P241:V241"/>
    <mergeCell ref="P91:T91"/>
    <mergeCell ref="D273:E273"/>
    <mergeCell ref="P156:T156"/>
    <mergeCell ref="D275:E275"/>
    <mergeCell ref="A79:Z79"/>
    <mergeCell ref="T6:U9"/>
    <mergeCell ref="A279:O284"/>
    <mergeCell ref="A30:O31"/>
    <mergeCell ref="Q10:R10"/>
    <mergeCell ref="A37:Z37"/>
    <mergeCell ref="D137:E137"/>
    <mergeCell ref="W287:W288"/>
    <mergeCell ref="O287:O288"/>
    <mergeCell ref="D74:E74"/>
    <mergeCell ref="D130:E130"/>
    <mergeCell ref="D201:E201"/>
    <mergeCell ref="D68:E68"/>
    <mergeCell ref="D188:E188"/>
    <mergeCell ref="P224:T224"/>
    <mergeCell ref="P24:T24"/>
    <mergeCell ref="Z286:AB286"/>
    <mergeCell ref="D132:E132"/>
    <mergeCell ref="D59:E59"/>
    <mergeCell ref="A63:Z63"/>
    <mergeCell ref="D178:E178"/>
    <mergeCell ref="P225:V225"/>
    <mergeCell ref="D172:E172"/>
    <mergeCell ref="T5:U5"/>
    <mergeCell ref="V5:W5"/>
    <mergeCell ref="D246:E246"/>
    <mergeCell ref="D46:E46"/>
    <mergeCell ref="D111:E111"/>
    <mergeCell ref="A34:O35"/>
    <mergeCell ref="A142:Z142"/>
    <mergeCell ref="Q8:R8"/>
    <mergeCell ref="P69:T69"/>
    <mergeCell ref="D219:E219"/>
    <mergeCell ref="P51:T51"/>
    <mergeCell ref="P26:T26"/>
    <mergeCell ref="P71:V71"/>
    <mergeCell ref="A13:M13"/>
    <mergeCell ref="A196:Z196"/>
    <mergeCell ref="P231:V231"/>
    <mergeCell ref="A15:M15"/>
    <mergeCell ref="A61:O62"/>
    <mergeCell ref="A198:Z198"/>
    <mergeCell ref="J9:M9"/>
    <mergeCell ref="D112:E112"/>
    <mergeCell ref="P30:V30"/>
    <mergeCell ref="H17:H18"/>
    <mergeCell ref="P27:T27"/>
    <mergeCell ref="A5:C5"/>
    <mergeCell ref="P135:V135"/>
    <mergeCell ref="P128:V128"/>
    <mergeCell ref="A17:A18"/>
    <mergeCell ref="K17:K18"/>
    <mergeCell ref="C17:C18"/>
    <mergeCell ref="D230:E230"/>
    <mergeCell ref="P66:T66"/>
    <mergeCell ref="P137:T137"/>
    <mergeCell ref="D9:E9"/>
    <mergeCell ref="A183:O184"/>
    <mergeCell ref="F9:G9"/>
    <mergeCell ref="D167:E167"/>
    <mergeCell ref="P68:T68"/>
    <mergeCell ref="D38:E38"/>
    <mergeCell ref="P204:V204"/>
    <mergeCell ref="P82:V82"/>
    <mergeCell ref="P132:T132"/>
    <mergeCell ref="A122:O123"/>
    <mergeCell ref="A44:Z44"/>
    <mergeCell ref="P146:V146"/>
    <mergeCell ref="D96:E96"/>
    <mergeCell ref="D52:E52"/>
    <mergeCell ref="A40:O41"/>
    <mergeCell ref="A6:C6"/>
    <mergeCell ref="D113:E113"/>
    <mergeCell ref="AA287:AA288"/>
    <mergeCell ref="P167:T167"/>
    <mergeCell ref="AC287:AC288"/>
    <mergeCell ref="A161:Z161"/>
    <mergeCell ref="D26:E26"/>
    <mergeCell ref="P117:T117"/>
    <mergeCell ref="P182:T182"/>
    <mergeCell ref="A203:O204"/>
    <mergeCell ref="Q12:R12"/>
    <mergeCell ref="D261:E261"/>
    <mergeCell ref="P183:V183"/>
    <mergeCell ref="P246:T246"/>
    <mergeCell ref="P62:V62"/>
    <mergeCell ref="P127:V127"/>
    <mergeCell ref="R287:R288"/>
    <mergeCell ref="P238:V238"/>
    <mergeCell ref="A247:O248"/>
    <mergeCell ref="G287:G288"/>
    <mergeCell ref="I287:I288"/>
    <mergeCell ref="D27:E27"/>
    <mergeCell ref="P208:T208"/>
    <mergeCell ref="P15:T16"/>
    <mergeCell ref="F287:F288"/>
    <mergeCell ref="H287:H288"/>
    <mergeCell ref="P114:V114"/>
    <mergeCell ref="P203:V203"/>
    <mergeCell ref="A120:Z120"/>
    <mergeCell ref="P34:V34"/>
    <mergeCell ref="A239:Z239"/>
    <mergeCell ref="P214:V214"/>
    <mergeCell ref="Q9:R9"/>
    <mergeCell ref="A32:Z32"/>
    <mergeCell ref="P278:V278"/>
    <mergeCell ref="D24:E24"/>
    <mergeCell ref="Q11:R11"/>
    <mergeCell ref="A177:Z177"/>
    <mergeCell ref="P219:T219"/>
    <mergeCell ref="D91:E91"/>
    <mergeCell ref="D162:E162"/>
    <mergeCell ref="P23:T23"/>
    <mergeCell ref="P272:T272"/>
    <mergeCell ref="D156:E156"/>
    <mergeCell ref="A146:O147"/>
    <mergeCell ref="A277:O278"/>
    <mergeCell ref="D93:E93"/>
    <mergeCell ref="A42:Z42"/>
    <mergeCell ref="D1:F1"/>
    <mergeCell ref="P282:V282"/>
    <mergeCell ref="A234:Z234"/>
    <mergeCell ref="J17:J18"/>
    <mergeCell ref="P61:V61"/>
    <mergeCell ref="L17:L18"/>
    <mergeCell ref="D240:E240"/>
    <mergeCell ref="A244:Z244"/>
    <mergeCell ref="P48:V48"/>
    <mergeCell ref="A100:Z100"/>
    <mergeCell ref="A171:Z171"/>
    <mergeCell ref="A165:Z165"/>
    <mergeCell ref="P277:V277"/>
    <mergeCell ref="P113:T113"/>
    <mergeCell ref="A229:Z229"/>
    <mergeCell ref="P17:T18"/>
    <mergeCell ref="A148:Z148"/>
    <mergeCell ref="A53:O54"/>
    <mergeCell ref="P250:T250"/>
    <mergeCell ref="A166:Z166"/>
    <mergeCell ref="P131:T131"/>
    <mergeCell ref="P187:T187"/>
    <mergeCell ref="D108:E108"/>
    <mergeCell ref="P52:T52"/>
    <mergeCell ref="P273:T273"/>
    <mergeCell ref="D145:E145"/>
    <mergeCell ref="D272:E272"/>
    <mergeCell ref="A225:O226"/>
    <mergeCell ref="P39:T39"/>
    <mergeCell ref="A89:Z89"/>
    <mergeCell ref="D274:E274"/>
    <mergeCell ref="A105:Z105"/>
    <mergeCell ref="D224:E224"/>
    <mergeCell ref="P268:T268"/>
    <mergeCell ref="P230:T230"/>
    <mergeCell ref="P190:V190"/>
    <mergeCell ref="D157:E157"/>
    <mergeCell ref="A253:Z253"/>
    <mergeCell ref="P74:T74"/>
    <mergeCell ref="D182:E182"/>
    <mergeCell ref="D109:E109"/>
    <mergeCell ref="P138:T138"/>
    <mergeCell ref="P267:T267"/>
    <mergeCell ref="P41:V41"/>
    <mergeCell ref="P252:V252"/>
    <mergeCell ref="D39:E39"/>
    <mergeCell ref="A160:Z160"/>
    <mergeCell ref="P212:T212"/>
    <mergeCell ref="H1:Q1"/>
    <mergeCell ref="P280:V280"/>
    <mergeCell ref="A243:Z243"/>
    <mergeCell ref="A99:Z99"/>
    <mergeCell ref="P40:V40"/>
    <mergeCell ref="A237:O238"/>
    <mergeCell ref="D28:E28"/>
    <mergeCell ref="D236:E236"/>
    <mergeCell ref="A179:O180"/>
    <mergeCell ref="D117:E117"/>
    <mergeCell ref="D92:E92"/>
    <mergeCell ref="D67:E67"/>
    <mergeCell ref="A214:O215"/>
    <mergeCell ref="D5:E5"/>
    <mergeCell ref="D94:E94"/>
    <mergeCell ref="P98:V98"/>
    <mergeCell ref="D69:E69"/>
    <mergeCell ref="A47:O48"/>
    <mergeCell ref="P240:T240"/>
    <mergeCell ref="P264:V264"/>
    <mergeCell ref="P226:V226"/>
    <mergeCell ref="P164:V164"/>
    <mergeCell ref="A216:Z216"/>
    <mergeCell ref="P35:V35"/>
    <mergeCell ref="AB287:AB288"/>
    <mergeCell ref="A50:Z50"/>
    <mergeCell ref="A264:O265"/>
    <mergeCell ref="T287:T288"/>
    <mergeCell ref="AD287:AD288"/>
    <mergeCell ref="V287:V288"/>
    <mergeCell ref="W17:W18"/>
    <mergeCell ref="D110:E110"/>
    <mergeCell ref="D7:M7"/>
    <mergeCell ref="P236:T236"/>
    <mergeCell ref="P92:T92"/>
    <mergeCell ref="D144:E144"/>
    <mergeCell ref="A209:O210"/>
    <mergeCell ref="P29:T29"/>
    <mergeCell ref="A97:O98"/>
    <mergeCell ref="P271:T271"/>
    <mergeCell ref="P94:T94"/>
    <mergeCell ref="D208:E208"/>
    <mergeCell ref="D8:M8"/>
    <mergeCell ref="P279:V279"/>
    <mergeCell ref="P180:V180"/>
    <mergeCell ref="D139:E139"/>
    <mergeCell ref="P251:V251"/>
    <mergeCell ref="P118:V118"/>
    <mergeCell ref="K287:K288"/>
    <mergeCell ref="P172:T172"/>
    <mergeCell ref="A158:O159"/>
    <mergeCell ref="P150:T150"/>
    <mergeCell ref="P28:T28"/>
    <mergeCell ref="R1:T1"/>
    <mergeCell ref="P115:V115"/>
    <mergeCell ref="P77:V77"/>
    <mergeCell ref="A76:O77"/>
    <mergeCell ref="P179:V179"/>
    <mergeCell ref="P141:V141"/>
    <mergeCell ref="A140:O141"/>
    <mergeCell ref="P275:T275"/>
    <mergeCell ref="P168:V168"/>
    <mergeCell ref="B17:B18"/>
    <mergeCell ref="A287:A288"/>
    <mergeCell ref="P248:V248"/>
    <mergeCell ref="A73:Z73"/>
    <mergeCell ref="A266:Z266"/>
    <mergeCell ref="D131:E131"/>
    <mergeCell ref="A260:Z260"/>
    <mergeCell ref="A197:Z197"/>
    <mergeCell ref="V10:W10"/>
    <mergeCell ref="A173:O174"/>
    <mergeCell ref="P259:V259"/>
    <mergeCell ref="P88:V88"/>
    <mergeCell ref="A78:Z78"/>
    <mergeCell ref="P153:V153"/>
    <mergeCell ref="A205:Z205"/>
    <mergeCell ref="D263:E263"/>
    <mergeCell ref="A70:O71"/>
    <mergeCell ref="P86:T86"/>
    <mergeCell ref="P157:T157"/>
    <mergeCell ref="P213:T213"/>
    <mergeCell ref="A87:O88"/>
    <mergeCell ref="A124:Z124"/>
    <mergeCell ref="P145:T145"/>
    <mergeCell ref="D126:E126"/>
    <mergeCell ref="P232:V232"/>
    <mergeCell ref="A84:Z84"/>
    <mergeCell ref="P159:V159"/>
    <mergeCell ref="A149:Z149"/>
    <mergeCell ref="A228:Z228"/>
    <mergeCell ref="P95:T95"/>
    <mergeCell ref="A192:Z192"/>
    <mergeCell ref="A129:Z129"/>
    <mergeCell ref="D121:E121"/>
    <mergeCell ref="A181:Z181"/>
    <mergeCell ref="D60:E60"/>
    <mergeCell ref="D187:E187"/>
    <mergeCell ref="P144:T144"/>
    <mergeCell ref="P87:V87"/>
    <mergeCell ref="A83:Z83"/>
    <mergeCell ref="H9:I9"/>
    <mergeCell ref="D45:E45"/>
    <mergeCell ref="A49:Z49"/>
    <mergeCell ref="A36:Z36"/>
    <mergeCell ref="A55:Z55"/>
    <mergeCell ref="D66:E66"/>
    <mergeCell ref="I17:I18"/>
    <mergeCell ref="A12:M12"/>
    <mergeCell ref="A19:Z19"/>
    <mergeCell ref="A14:M14"/>
    <mergeCell ref="V6:W9"/>
    <mergeCell ref="A9:C9"/>
    <mergeCell ref="Q6:R6"/>
    <mergeCell ref="A8:C8"/>
    <mergeCell ref="A21:Z21"/>
    <mergeCell ref="D17:E1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3 X38:X39 X65:X69 X74 X80 X92:X96 X101:X102 X108 X111:X113 X117 X121 X126 X130:X133 X137:X139 X144:X145 X150:X151 X156:X157 X162 X172 X178 X182 X187 X193 X202 X212 X218:X219 X230 X236 X240 X246 X250 X256:X257 X261:X263 X267:X276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5:X46 X51:X52 X57:X60 X75 X85:X86 X91 X107 X109:X110 X167 X188 X199:X201 X208 X213 X224" xr:uid="{00000000-0002-0000-0000-000012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396</v>
      </c>
      <c r="H1" s="52"/>
    </row>
    <row r="3" spans="2:8" x14ac:dyDescent="0.2">
      <c r="B3" s="47" t="s">
        <v>397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398</v>
      </c>
      <c r="C6" s="47" t="s">
        <v>399</v>
      </c>
      <c r="D6" s="47" t="s">
        <v>400</v>
      </c>
      <c r="E6" s="47"/>
    </row>
    <row r="7" spans="2:8" x14ac:dyDescent="0.2">
      <c r="B7" s="47" t="s">
        <v>401</v>
      </c>
      <c r="C7" s="47" t="s">
        <v>402</v>
      </c>
      <c r="D7" s="47" t="s">
        <v>403</v>
      </c>
      <c r="E7" s="47"/>
    </row>
    <row r="8" spans="2:8" x14ac:dyDescent="0.2">
      <c r="B8" s="47" t="s">
        <v>404</v>
      </c>
      <c r="C8" s="47" t="s">
        <v>405</v>
      </c>
      <c r="D8" s="47" t="s">
        <v>406</v>
      </c>
      <c r="E8" s="47"/>
    </row>
    <row r="9" spans="2:8" x14ac:dyDescent="0.2">
      <c r="B9" s="47" t="s">
        <v>407</v>
      </c>
      <c r="C9" s="47" t="s">
        <v>408</v>
      </c>
      <c r="D9" s="47" t="s">
        <v>409</v>
      </c>
      <c r="E9" s="47"/>
    </row>
    <row r="10" spans="2:8" x14ac:dyDescent="0.2">
      <c r="B10" s="47" t="s">
        <v>410</v>
      </c>
      <c r="C10" s="47" t="s">
        <v>411</v>
      </c>
      <c r="D10" s="47" t="s">
        <v>412</v>
      </c>
      <c r="E10" s="47"/>
    </row>
    <row r="11" spans="2:8" x14ac:dyDescent="0.2">
      <c r="B11" s="47" t="s">
        <v>413</v>
      </c>
      <c r="C11" s="47" t="s">
        <v>414</v>
      </c>
      <c r="D11" s="47" t="s">
        <v>415</v>
      </c>
      <c r="E11" s="47"/>
    </row>
    <row r="13" spans="2:8" x14ac:dyDescent="0.2">
      <c r="B13" s="47" t="s">
        <v>416</v>
      </c>
      <c r="C13" s="47" t="s">
        <v>399</v>
      </c>
      <c r="D13" s="47"/>
      <c r="E13" s="47"/>
    </row>
    <row r="15" spans="2:8" x14ac:dyDescent="0.2">
      <c r="B15" s="47" t="s">
        <v>417</v>
      </c>
      <c r="C15" s="47" t="s">
        <v>402</v>
      </c>
      <c r="D15" s="47"/>
      <c r="E15" s="47"/>
    </row>
    <row r="17" spans="2:5" x14ac:dyDescent="0.2">
      <c r="B17" s="47" t="s">
        <v>418</v>
      </c>
      <c r="C17" s="47" t="s">
        <v>405</v>
      </c>
      <c r="D17" s="47"/>
      <c r="E17" s="47"/>
    </row>
    <row r="19" spans="2:5" x14ac:dyDescent="0.2">
      <c r="B19" s="47" t="s">
        <v>419</v>
      </c>
      <c r="C19" s="47" t="s">
        <v>408</v>
      </c>
      <c r="D19" s="47"/>
      <c r="E19" s="47"/>
    </row>
    <row r="21" spans="2:5" x14ac:dyDescent="0.2">
      <c r="B21" s="47" t="s">
        <v>420</v>
      </c>
      <c r="C21" s="47" t="s">
        <v>411</v>
      </c>
      <c r="D21" s="47"/>
      <c r="E21" s="47"/>
    </row>
    <row r="23" spans="2:5" x14ac:dyDescent="0.2">
      <c r="B23" s="47" t="s">
        <v>421</v>
      </c>
      <c r="C23" s="47" t="s">
        <v>414</v>
      </c>
      <c r="D23" s="47"/>
      <c r="E23" s="47"/>
    </row>
    <row r="25" spans="2:5" x14ac:dyDescent="0.2">
      <c r="B25" s="47" t="s">
        <v>422</v>
      </c>
      <c r="C25" s="47"/>
      <c r="D25" s="47"/>
      <c r="E25" s="47"/>
    </row>
    <row r="26" spans="2:5" x14ac:dyDescent="0.2">
      <c r="B26" s="47" t="s">
        <v>423</v>
      </c>
      <c r="C26" s="47"/>
      <c r="D26" s="47"/>
      <c r="E26" s="47"/>
    </row>
    <row r="27" spans="2:5" x14ac:dyDescent="0.2">
      <c r="B27" s="47" t="s">
        <v>424</v>
      </c>
      <c r="C27" s="47"/>
      <c r="D27" s="47"/>
      <c r="E27" s="47"/>
    </row>
    <row r="28" spans="2:5" x14ac:dyDescent="0.2">
      <c r="B28" s="47" t="s">
        <v>425</v>
      </c>
      <c r="C28" s="47"/>
      <c r="D28" s="47"/>
      <c r="E28" s="47"/>
    </row>
    <row r="29" spans="2:5" x14ac:dyDescent="0.2">
      <c r="B29" s="47" t="s">
        <v>426</v>
      </c>
      <c r="C29" s="47"/>
      <c r="D29" s="47"/>
      <c r="E29" s="47"/>
    </row>
    <row r="30" spans="2:5" x14ac:dyDescent="0.2">
      <c r="B30" s="47" t="s">
        <v>427</v>
      </c>
      <c r="C30" s="47"/>
      <c r="D30" s="47"/>
      <c r="E30" s="47"/>
    </row>
    <row r="31" spans="2:5" x14ac:dyDescent="0.2">
      <c r="B31" s="47" t="s">
        <v>428</v>
      </c>
      <c r="C31" s="47"/>
      <c r="D31" s="47"/>
      <c r="E31" s="47"/>
    </row>
    <row r="32" spans="2:5" x14ac:dyDescent="0.2">
      <c r="B32" s="47" t="s">
        <v>429</v>
      </c>
      <c r="C32" s="47"/>
      <c r="D32" s="47"/>
      <c r="E32" s="47"/>
    </row>
    <row r="33" spans="2:5" x14ac:dyDescent="0.2">
      <c r="B33" s="47" t="s">
        <v>430</v>
      </c>
      <c r="C33" s="47"/>
      <c r="D33" s="47"/>
      <c r="E33" s="47"/>
    </row>
    <row r="34" spans="2:5" x14ac:dyDescent="0.2">
      <c r="B34" s="47" t="s">
        <v>431</v>
      </c>
      <c r="C34" s="47"/>
      <c r="D34" s="47"/>
      <c r="E34" s="47"/>
    </row>
    <row r="35" spans="2:5" x14ac:dyDescent="0.2">
      <c r="B35" s="47" t="s">
        <v>432</v>
      </c>
      <c r="C35" s="47"/>
      <c r="D35" s="47"/>
      <c r="E35" s="47"/>
    </row>
  </sheetData>
  <sheetProtection algorithmName="SHA-512" hashValue="xrC5jYwF2cDvCe13trtLNjGDWRkUc5G7f2JgBrxcDSgQAvenAyjoPZQn6+P3O+DzSTAcmcPBPXxtNBL6KM6lhA==" saltValue="o0qM+5V9d06ye3SrF0rM6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443</vt:i4>
      </vt:variant>
    </vt:vector>
  </HeadingPairs>
  <TitlesOfParts>
    <vt:vector size="44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2026-10-23T11:46:37Z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