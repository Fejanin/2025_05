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240F2774-3C5E-4022-9C34-4D6A94611A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Sheet!$A$3:$AL$72</definedName>
  </definedNames>
  <calcPr calcId="191029"/>
</workbook>
</file>

<file path=xl/calcChain.xml><?xml version="1.0" encoding="utf-8"?>
<calcChain xmlns="http://schemas.openxmlformats.org/spreadsheetml/2006/main">
  <c r="Q72" i="1" l="1"/>
  <c r="AH72" i="1" s="1"/>
  <c r="P72" i="1"/>
  <c r="T72" i="1" s="1"/>
  <c r="Q71" i="1"/>
  <c r="AF71" i="1" s="1"/>
  <c r="P71" i="1"/>
  <c r="T71" i="1" s="1"/>
  <c r="AH71" i="1" l="1"/>
  <c r="AL72" i="1"/>
  <c r="R72" i="1"/>
  <c r="S72" i="1" s="1"/>
  <c r="AI72" i="1"/>
  <c r="AL71" i="1"/>
  <c r="AF72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29" i="1"/>
  <c r="K28" i="1"/>
  <c r="K27" i="1"/>
  <c r="K26" i="1"/>
  <c r="K24" i="1"/>
  <c r="K23" i="1"/>
  <c r="K22" i="1"/>
  <c r="K21" i="1"/>
  <c r="K20" i="1"/>
  <c r="K19" i="1"/>
  <c r="K18" i="1"/>
  <c r="K16" i="1"/>
  <c r="K15" i="1"/>
  <c r="K13" i="1"/>
  <c r="K11" i="1"/>
  <c r="K10" i="1"/>
  <c r="K9" i="1"/>
  <c r="AI71" i="1" l="1"/>
  <c r="R71" i="1"/>
  <c r="S71" i="1" s="1"/>
  <c r="P70" i="1"/>
  <c r="L70" i="1"/>
  <c r="P69" i="1"/>
  <c r="L69" i="1"/>
  <c r="P68" i="1"/>
  <c r="L68" i="1"/>
  <c r="E67" i="1"/>
  <c r="P67" i="1" s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L31" i="1"/>
  <c r="P30" i="1"/>
  <c r="S30" i="1" s="1"/>
  <c r="L30" i="1"/>
  <c r="AH29" i="1"/>
  <c r="AI29" i="1" s="1"/>
  <c r="P29" i="1"/>
  <c r="AF29" i="1" s="1"/>
  <c r="L29" i="1"/>
  <c r="P28" i="1"/>
  <c r="L28" i="1"/>
  <c r="P27" i="1"/>
  <c r="L27" i="1"/>
  <c r="P26" i="1"/>
  <c r="L26" i="1"/>
  <c r="P25" i="1"/>
  <c r="S25" i="1" s="1"/>
  <c r="L25" i="1"/>
  <c r="F24" i="1"/>
  <c r="E24" i="1"/>
  <c r="P24" i="1" s="1"/>
  <c r="P23" i="1"/>
  <c r="L23" i="1"/>
  <c r="P22" i="1"/>
  <c r="L22" i="1"/>
  <c r="P21" i="1"/>
  <c r="L21" i="1"/>
  <c r="P20" i="1"/>
  <c r="L20" i="1"/>
  <c r="P19" i="1"/>
  <c r="L19" i="1"/>
  <c r="F18" i="1"/>
  <c r="E18" i="1"/>
  <c r="P18" i="1" s="1"/>
  <c r="P17" i="1"/>
  <c r="T17" i="1" s="1"/>
  <c r="L17" i="1"/>
  <c r="P16" i="1"/>
  <c r="L16" i="1"/>
  <c r="F15" i="1"/>
  <c r="E15" i="1"/>
  <c r="P15" i="1" s="1"/>
  <c r="P14" i="1"/>
  <c r="L14" i="1"/>
  <c r="F13" i="1"/>
  <c r="E13" i="1"/>
  <c r="L13" i="1" s="1"/>
  <c r="P12" i="1"/>
  <c r="L12" i="1"/>
  <c r="P11" i="1"/>
  <c r="L11" i="1"/>
  <c r="P10" i="1"/>
  <c r="L10" i="1"/>
  <c r="P9" i="1"/>
  <c r="L9" i="1"/>
  <c r="P8" i="1"/>
  <c r="T8" i="1" s="1"/>
  <c r="L8" i="1"/>
  <c r="P7" i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1" i="1" l="1"/>
  <c r="Q36" i="1"/>
  <c r="Q41" i="1"/>
  <c r="Q43" i="1"/>
  <c r="Q48" i="1"/>
  <c r="Q59" i="1"/>
  <c r="Q9" i="1"/>
  <c r="AF9" i="1" s="1"/>
  <c r="Q10" i="1"/>
  <c r="AH10" i="1" s="1"/>
  <c r="Q19" i="1"/>
  <c r="Q23" i="1"/>
  <c r="Q67" i="1"/>
  <c r="AF10" i="1"/>
  <c r="E5" i="1"/>
  <c r="T9" i="1"/>
  <c r="Q24" i="1"/>
  <c r="AF24" i="1" s="1"/>
  <c r="T29" i="1"/>
  <c r="S12" i="1"/>
  <c r="T12" i="1"/>
  <c r="T14" i="1"/>
  <c r="S14" i="1"/>
  <c r="T18" i="1"/>
  <c r="T7" i="1"/>
  <c r="S7" i="1"/>
  <c r="T11" i="1"/>
  <c r="Q11" i="1"/>
  <c r="T16" i="1"/>
  <c r="Q16" i="1"/>
  <c r="Q20" i="1"/>
  <c r="T20" i="1"/>
  <c r="T23" i="1"/>
  <c r="T28" i="1"/>
  <c r="T33" i="1"/>
  <c r="Q33" i="1"/>
  <c r="T36" i="1"/>
  <c r="T37" i="1"/>
  <c r="Q37" i="1"/>
  <c r="T38" i="1"/>
  <c r="Q38" i="1"/>
  <c r="T41" i="1"/>
  <c r="T44" i="1"/>
  <c r="Q44" i="1"/>
  <c r="T45" i="1"/>
  <c r="T46" i="1"/>
  <c r="Q46" i="1"/>
  <c r="T49" i="1"/>
  <c r="T52" i="1"/>
  <c r="Q52" i="1"/>
  <c r="T53" i="1"/>
  <c r="Q53" i="1"/>
  <c r="T54" i="1"/>
  <c r="Q54" i="1"/>
  <c r="T57" i="1"/>
  <c r="Q57" i="1"/>
  <c r="T60" i="1"/>
  <c r="T61" i="1"/>
  <c r="T62" i="1"/>
  <c r="T65" i="1"/>
  <c r="Q65" i="1"/>
  <c r="T68" i="1"/>
  <c r="Q68" i="1"/>
  <c r="T69" i="1"/>
  <c r="Q69" i="1"/>
  <c r="T22" i="1"/>
  <c r="Q22" i="1"/>
  <c r="T26" i="1"/>
  <c r="Q26" i="1"/>
  <c r="T31" i="1"/>
  <c r="T39" i="1"/>
  <c r="Q39" i="1"/>
  <c r="T47" i="1"/>
  <c r="T55" i="1"/>
  <c r="T63" i="1"/>
  <c r="Q63" i="1"/>
  <c r="T67" i="1"/>
  <c r="T70" i="1"/>
  <c r="Q15" i="1"/>
  <c r="T19" i="1"/>
  <c r="T21" i="1"/>
  <c r="Q21" i="1"/>
  <c r="T27" i="1"/>
  <c r="Q27" i="1"/>
  <c r="T32" i="1"/>
  <c r="Q32" i="1"/>
  <c r="T34" i="1"/>
  <c r="Q34" i="1"/>
  <c r="T35" i="1"/>
  <c r="T40" i="1"/>
  <c r="Q40" i="1"/>
  <c r="T42" i="1"/>
  <c r="Q42" i="1"/>
  <c r="T43" i="1"/>
  <c r="T48" i="1"/>
  <c r="T50" i="1"/>
  <c r="Q50" i="1"/>
  <c r="T51" i="1"/>
  <c r="T56" i="1"/>
  <c r="Q56" i="1"/>
  <c r="T58" i="1"/>
  <c r="T59" i="1"/>
  <c r="T64" i="1"/>
  <c r="Q64" i="1"/>
  <c r="T66" i="1"/>
  <c r="Q66" i="1"/>
  <c r="S6" i="1"/>
  <c r="S8" i="1"/>
  <c r="P13" i="1"/>
  <c r="T15" i="1"/>
  <c r="S17" i="1"/>
  <c r="T24" i="1"/>
  <c r="T30" i="1"/>
  <c r="L67" i="1"/>
  <c r="F5" i="1"/>
  <c r="L15" i="1"/>
  <c r="L18" i="1"/>
  <c r="T10" i="1"/>
  <c r="L24" i="1"/>
  <c r="T25" i="1"/>
  <c r="R29" i="1"/>
  <c r="S29" i="1" s="1"/>
  <c r="AL29" i="1"/>
  <c r="P5" i="1" l="1"/>
  <c r="AH9" i="1"/>
  <c r="AL9" i="1" s="1"/>
  <c r="AH24" i="1"/>
  <c r="AL24" i="1" s="1"/>
  <c r="AI9" i="1"/>
  <c r="AH66" i="1"/>
  <c r="AF66" i="1"/>
  <c r="AF64" i="1"/>
  <c r="AH64" i="1"/>
  <c r="AF59" i="1"/>
  <c r="AH59" i="1"/>
  <c r="AH58" i="1"/>
  <c r="AF58" i="1"/>
  <c r="AF56" i="1"/>
  <c r="AH56" i="1"/>
  <c r="AF51" i="1"/>
  <c r="AH51" i="1"/>
  <c r="AH50" i="1"/>
  <c r="AF50" i="1"/>
  <c r="AF48" i="1"/>
  <c r="AH48" i="1"/>
  <c r="AF43" i="1"/>
  <c r="AH43" i="1"/>
  <c r="AH42" i="1"/>
  <c r="AF42" i="1"/>
  <c r="AF40" i="1"/>
  <c r="AH40" i="1"/>
  <c r="AF35" i="1"/>
  <c r="AH35" i="1"/>
  <c r="AH34" i="1"/>
  <c r="AF34" i="1"/>
  <c r="AF32" i="1"/>
  <c r="AH32" i="1"/>
  <c r="AF27" i="1"/>
  <c r="AH27" i="1"/>
  <c r="AF21" i="1"/>
  <c r="AH21" i="1"/>
  <c r="AF19" i="1"/>
  <c r="AH19" i="1"/>
  <c r="AF15" i="1"/>
  <c r="AH15" i="1"/>
  <c r="AH20" i="1"/>
  <c r="AF20" i="1"/>
  <c r="AL10" i="1"/>
  <c r="R10" i="1"/>
  <c r="S10" i="1" s="1"/>
  <c r="AI10" i="1"/>
  <c r="T13" i="1"/>
  <c r="Q13" i="1"/>
  <c r="AH70" i="1"/>
  <c r="AF70" i="1"/>
  <c r="AF67" i="1"/>
  <c r="AH67" i="1"/>
  <c r="AH63" i="1"/>
  <c r="AF63" i="1"/>
  <c r="AH55" i="1"/>
  <c r="AF55" i="1"/>
  <c r="AH47" i="1"/>
  <c r="AF47" i="1"/>
  <c r="AH39" i="1"/>
  <c r="AF39" i="1"/>
  <c r="AH31" i="1"/>
  <c r="AF31" i="1"/>
  <c r="AH26" i="1"/>
  <c r="AF26" i="1"/>
  <c r="AF22" i="1"/>
  <c r="AH22" i="1"/>
  <c r="AF69" i="1"/>
  <c r="AH69" i="1"/>
  <c r="AH68" i="1"/>
  <c r="AF68" i="1"/>
  <c r="AH65" i="1"/>
  <c r="AF65" i="1"/>
  <c r="AF62" i="1"/>
  <c r="AH62" i="1"/>
  <c r="AH61" i="1"/>
  <c r="AF61" i="1"/>
  <c r="AH60" i="1"/>
  <c r="AF60" i="1"/>
  <c r="AH57" i="1"/>
  <c r="AF57" i="1"/>
  <c r="AF54" i="1"/>
  <c r="AH54" i="1"/>
  <c r="AH53" i="1"/>
  <c r="AF53" i="1"/>
  <c r="AH52" i="1"/>
  <c r="AF52" i="1"/>
  <c r="AH49" i="1"/>
  <c r="AF49" i="1"/>
  <c r="AF46" i="1"/>
  <c r="AH46" i="1"/>
  <c r="AH45" i="1"/>
  <c r="AF45" i="1"/>
  <c r="AH44" i="1"/>
  <c r="AF44" i="1"/>
  <c r="AH41" i="1"/>
  <c r="AF41" i="1"/>
  <c r="AF38" i="1"/>
  <c r="AH38" i="1"/>
  <c r="AH37" i="1"/>
  <c r="AF37" i="1"/>
  <c r="AH36" i="1"/>
  <c r="AF36" i="1"/>
  <c r="AH33" i="1"/>
  <c r="AF33" i="1"/>
  <c r="AH28" i="1"/>
  <c r="AF28" i="1"/>
  <c r="AH23" i="1"/>
  <c r="AF23" i="1"/>
  <c r="AH16" i="1"/>
  <c r="AF16" i="1"/>
  <c r="AF11" i="1"/>
  <c r="AH11" i="1"/>
  <c r="AH18" i="1"/>
  <c r="AF18" i="1"/>
  <c r="L5" i="1"/>
  <c r="AI24" i="1" l="1"/>
  <c r="R24" i="1"/>
  <c r="S24" i="1" s="1"/>
  <c r="R9" i="1"/>
  <c r="S9" i="1" s="1"/>
  <c r="AI18" i="1"/>
  <c r="AL18" i="1"/>
  <c r="R18" i="1"/>
  <c r="S18" i="1" s="1"/>
  <c r="AI11" i="1"/>
  <c r="AL11" i="1"/>
  <c r="R11" i="1"/>
  <c r="AI38" i="1"/>
  <c r="R38" i="1"/>
  <c r="S38" i="1" s="1"/>
  <c r="AL38" i="1"/>
  <c r="AI46" i="1"/>
  <c r="R46" i="1"/>
  <c r="S46" i="1" s="1"/>
  <c r="AL46" i="1"/>
  <c r="AI54" i="1"/>
  <c r="R54" i="1"/>
  <c r="S54" i="1" s="1"/>
  <c r="AL54" i="1"/>
  <c r="AI62" i="1"/>
  <c r="R62" i="1"/>
  <c r="S62" i="1" s="1"/>
  <c r="AL62" i="1"/>
  <c r="AI69" i="1"/>
  <c r="AL69" i="1"/>
  <c r="R69" i="1"/>
  <c r="S69" i="1" s="1"/>
  <c r="AI22" i="1"/>
  <c r="AL22" i="1"/>
  <c r="R22" i="1"/>
  <c r="S22" i="1" s="1"/>
  <c r="AI67" i="1"/>
  <c r="R67" i="1"/>
  <c r="S67" i="1" s="1"/>
  <c r="AL67" i="1"/>
  <c r="AF13" i="1"/>
  <c r="AF5" i="1" s="1"/>
  <c r="AH13" i="1"/>
  <c r="AH5" i="1" s="1"/>
  <c r="AI15" i="1"/>
  <c r="R15" i="1"/>
  <c r="S15" i="1" s="1"/>
  <c r="AL15" i="1"/>
  <c r="AL19" i="1"/>
  <c r="R19" i="1"/>
  <c r="S19" i="1" s="1"/>
  <c r="AI19" i="1"/>
  <c r="AL21" i="1"/>
  <c r="R21" i="1"/>
  <c r="S21" i="1" s="1"/>
  <c r="AI21" i="1"/>
  <c r="AI27" i="1"/>
  <c r="R27" i="1"/>
  <c r="S27" i="1" s="1"/>
  <c r="AL27" i="1"/>
  <c r="AI32" i="1"/>
  <c r="R32" i="1"/>
  <c r="S32" i="1" s="1"/>
  <c r="AL32" i="1"/>
  <c r="AL35" i="1"/>
  <c r="R35" i="1"/>
  <c r="S35" i="1" s="1"/>
  <c r="AI35" i="1"/>
  <c r="AI40" i="1"/>
  <c r="R40" i="1"/>
  <c r="S40" i="1" s="1"/>
  <c r="AL40" i="1"/>
  <c r="AL43" i="1"/>
  <c r="R43" i="1"/>
  <c r="S43" i="1" s="1"/>
  <c r="AI43" i="1"/>
  <c r="AI48" i="1"/>
  <c r="R48" i="1"/>
  <c r="S48" i="1" s="1"/>
  <c r="AL48" i="1"/>
  <c r="AL51" i="1"/>
  <c r="R51" i="1"/>
  <c r="S51" i="1" s="1"/>
  <c r="AI51" i="1"/>
  <c r="AI56" i="1"/>
  <c r="R56" i="1"/>
  <c r="S56" i="1" s="1"/>
  <c r="AL56" i="1"/>
  <c r="AL59" i="1"/>
  <c r="R59" i="1"/>
  <c r="S59" i="1" s="1"/>
  <c r="AI59" i="1"/>
  <c r="AI64" i="1"/>
  <c r="R64" i="1"/>
  <c r="S64" i="1" s="1"/>
  <c r="AL64" i="1"/>
  <c r="Q5" i="1"/>
  <c r="AL16" i="1"/>
  <c r="R16" i="1"/>
  <c r="S16" i="1" s="1"/>
  <c r="AI16" i="1"/>
  <c r="AL23" i="1"/>
  <c r="R23" i="1"/>
  <c r="S23" i="1" s="1"/>
  <c r="AI23" i="1"/>
  <c r="AL28" i="1"/>
  <c r="R28" i="1"/>
  <c r="S28" i="1" s="1"/>
  <c r="AI28" i="1"/>
  <c r="AL33" i="1"/>
  <c r="R33" i="1"/>
  <c r="S33" i="1" s="1"/>
  <c r="AI33" i="1"/>
  <c r="AI36" i="1"/>
  <c r="R36" i="1"/>
  <c r="S36" i="1" s="1"/>
  <c r="AL36" i="1"/>
  <c r="AL37" i="1"/>
  <c r="R37" i="1"/>
  <c r="S37" i="1" s="1"/>
  <c r="AI37" i="1"/>
  <c r="AL41" i="1"/>
  <c r="R41" i="1"/>
  <c r="S41" i="1" s="1"/>
  <c r="AI41" i="1"/>
  <c r="AI44" i="1"/>
  <c r="R44" i="1"/>
  <c r="S44" i="1" s="1"/>
  <c r="AL44" i="1"/>
  <c r="AL45" i="1"/>
  <c r="R45" i="1"/>
  <c r="S45" i="1" s="1"/>
  <c r="AI45" i="1"/>
  <c r="AL49" i="1"/>
  <c r="R49" i="1"/>
  <c r="S49" i="1" s="1"/>
  <c r="AI49" i="1"/>
  <c r="AI52" i="1"/>
  <c r="R52" i="1"/>
  <c r="S52" i="1" s="1"/>
  <c r="AL52" i="1"/>
  <c r="AL53" i="1"/>
  <c r="R53" i="1"/>
  <c r="S53" i="1" s="1"/>
  <c r="AI53" i="1"/>
  <c r="AL57" i="1"/>
  <c r="R57" i="1"/>
  <c r="S57" i="1" s="1"/>
  <c r="AI57" i="1"/>
  <c r="AI60" i="1"/>
  <c r="R60" i="1"/>
  <c r="S60" i="1" s="1"/>
  <c r="AL60" i="1"/>
  <c r="AL61" i="1"/>
  <c r="R61" i="1"/>
  <c r="S61" i="1" s="1"/>
  <c r="AI61" i="1"/>
  <c r="AL65" i="1"/>
  <c r="R65" i="1"/>
  <c r="S65" i="1" s="1"/>
  <c r="AI65" i="1"/>
  <c r="AL68" i="1"/>
  <c r="R68" i="1"/>
  <c r="S68" i="1" s="1"/>
  <c r="AI68" i="1"/>
  <c r="AL26" i="1"/>
  <c r="R26" i="1"/>
  <c r="S26" i="1" s="1"/>
  <c r="AI26" i="1"/>
  <c r="AL31" i="1"/>
  <c r="R31" i="1"/>
  <c r="S31" i="1" s="1"/>
  <c r="AI31" i="1"/>
  <c r="AL39" i="1"/>
  <c r="R39" i="1"/>
  <c r="S39" i="1" s="1"/>
  <c r="AI39" i="1"/>
  <c r="AL47" i="1"/>
  <c r="R47" i="1"/>
  <c r="S47" i="1" s="1"/>
  <c r="AI47" i="1"/>
  <c r="AL55" i="1"/>
  <c r="R55" i="1"/>
  <c r="S55" i="1" s="1"/>
  <c r="AI55" i="1"/>
  <c r="AL63" i="1"/>
  <c r="R63" i="1"/>
  <c r="S63" i="1" s="1"/>
  <c r="AI63" i="1"/>
  <c r="AL70" i="1"/>
  <c r="R70" i="1"/>
  <c r="S70" i="1" s="1"/>
  <c r="AI70" i="1"/>
  <c r="AI20" i="1"/>
  <c r="R20" i="1"/>
  <c r="S20" i="1" s="1"/>
  <c r="AL20" i="1"/>
  <c r="AI34" i="1"/>
  <c r="AL34" i="1"/>
  <c r="R34" i="1"/>
  <c r="S34" i="1" s="1"/>
  <c r="AI42" i="1"/>
  <c r="AL42" i="1"/>
  <c r="R42" i="1"/>
  <c r="S42" i="1" s="1"/>
  <c r="AI50" i="1"/>
  <c r="AL50" i="1"/>
  <c r="R50" i="1"/>
  <c r="S50" i="1" s="1"/>
  <c r="AI58" i="1"/>
  <c r="AL58" i="1"/>
  <c r="R58" i="1"/>
  <c r="S58" i="1" s="1"/>
  <c r="AI66" i="1"/>
  <c r="AL66" i="1"/>
  <c r="R66" i="1"/>
  <c r="S66" i="1" s="1"/>
  <c r="S11" i="1" l="1"/>
  <c r="AL13" i="1"/>
  <c r="AL5" i="1" s="1"/>
  <c r="R13" i="1"/>
  <c r="S13" i="1" s="1"/>
  <c r="AI13" i="1"/>
  <c r="AI5" i="1" s="1"/>
  <c r="R5" i="1" l="1"/>
</calcChain>
</file>

<file path=xl/sharedStrings.xml><?xml version="1.0" encoding="utf-8"?>
<sst xmlns="http://schemas.openxmlformats.org/spreadsheetml/2006/main" count="264" uniqueCount="175">
  <si>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</si>
  <si>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</si>
  <si>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</si>
  <si>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</si>
  <si>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</si>
  <si>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</si>
  <si>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</si>
  <si>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</si>
  <si>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</si>
  <si>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</si>
  <si>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</si>
  <si>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</si>
  <si>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</si>
  <si>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</si>
  <si>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</si>
  <si>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</si>
  <si>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</si>
  <si>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</si>
  <si>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</si>
  <si>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</si>
  <si>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</si>
  <si>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</si>
  <si>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</si>
  <si>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</si>
  <si>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</si>
  <si>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</si>
  <si>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</si>
  <si>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</si>
  <si>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</si>
  <si>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</si>
  <si>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</si>
  <si>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</si>
  <si>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</si>
  <si>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</si>
  <si>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</si>
  <si>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</si>
  <si>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</si>
  <si>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</si>
  <si>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</si>
  <si>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</si>
  <si>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04,06,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</si>
  <si>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</si>
  <si>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</si>
  <si>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</si>
  <si>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</si>
  <si>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</si>
  <si>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</si>
  <si>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</si>
  <si>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</si>
  <si>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</si>
  <si>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</si>
  <si>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</si>
  <si>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</si>
  <si>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</si>
  <si>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</si>
  <si>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</si>
  <si>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</si>
  <si>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</si>
  <si>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</si>
  <si>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</si>
  <si>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</si>
  <si>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</si>
  <si>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</si>
  <si>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</si>
  <si>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</si>
  <si>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</si>
  <si>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</si>
  <si>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</si>
  <si>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</si>
  <si>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</si>
  <si>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</si>
  <si>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</si>
  <si>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</si>
  <si>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</si>
  <si>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</si>
  <si>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</si>
  <si>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</si>
  <si>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</si>
  <si>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</si>
  <si>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</si>
  <si>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</si>
  <si>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</si>
  <si>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</si>
  <si>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</si>
  <si>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</si>
  <si>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</si>
  <si>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</si>
  <si>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</si>
  <si>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</si>
  <si>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не в матрице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</si>
  <si>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</si>
  <si>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</si>
  <si>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</si>
  <si>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</si>
  <si>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</si>
  <si>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</si>
  <si>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</si>
  <si>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</si>
  <si>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</si>
  <si>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</si>
  <si>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</si>
  <si>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</si>
  <si>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</si>
  <si>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</si>
  <si>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</si>
  <si>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</si>
  <si>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</si>
  <si>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</si>
  <si>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</si>
  <si>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</si>
  <si>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нужно увеличить продажи!!!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</si>
  <si>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</si>
  <si>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</si>
  <si>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</si>
  <si>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</si>
  <si>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</si>
  <si>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</si>
  <si>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</si>
  <si>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</si>
  <si>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</si>
  <si>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</si>
  <si>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</si>
  <si>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</si>
  <si>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</si>
  <si>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</si>
  <si>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</si>
  <si>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</si>
  <si>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</si>
  <si>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</si>
  <si>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</si>
  <si>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</si>
  <si>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</si>
  <si>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</si>
  <si>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</si>
  <si>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</si>
  <si>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</si>
  <si>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</si>
  <si>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</si>
  <si>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</si>
  <si>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</si>
  <si>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</si>
  <si>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</si>
  <si>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</si>
  <si>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</si>
  <si>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</si>
  <si>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</si>
  <si>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</si>
  <si>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</si>
  <si>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</si>
  <si>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</si>
  <si>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</si>
  <si>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</si>
  <si>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</si>
  <si>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</si>
  <si>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</si>
  <si>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</si>
  <si>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</si>
  <si>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</si>
  <si>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</si>
  <si>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</si>
  <si>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</si>
  <si>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</si>
  <si>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</si>
  <si>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</si>
  <si>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</si>
  <si>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</si>
  <si>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</si>
  <si>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</si>
  <si>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</si>
  <si>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</si>
  <si>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</si>
  <si>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SU004031 Чебупицца со вкусом Утка по-пекински ТМ Горячая штучка ТС Чебупицца ф/в 0,23 кг.</t>
  </si>
  <si>
    <t>матрица</t>
  </si>
  <si>
    <t>SU004097 Чебупели со вкусом Фо Бо ТМ Горячая штучка ф/в 0,22 кг УМК МГ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</si>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</sst>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0" fontId="0" fillId="0" borderId="1" xfId="0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88;&#1072;&#1089;&#1095;&#1077;&#1090;&#1099;%20&#1055;&#1054;&#1050;&#1054;&#1052;%20&#1047;&#1055;&#1060;\&#1051;&#1091;&#1075;&#1072;&#1085;&#1089;&#1082;\&#1079;&#1072;&#1082;&#1072;&#1079;&#1072;&#1085;&#1086;-&#1086;&#1090;&#1075;&#1088;&#1091;&#1078;&#1077;&#1085;&#1086;%20&#1051;&#1091;&#1075;&#1072;&#1085;&#1089;&#1082;%2007,08,26-13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07.08.2026 - 13.08.2026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Луганск Заморозка</v>
          </cell>
          <cell r="E6">
            <v>23170.7</v>
          </cell>
        </row>
        <row r="7">
          <cell r="A7" t="str">
            <v>Владимирский стандарт ООО</v>
          </cell>
          <cell r="E7">
            <v>5.4</v>
          </cell>
        </row>
        <row r="8">
          <cell r="A8" t="str">
            <v>Владимирский стандарт(заморозка) ООО</v>
          </cell>
          <cell r="E8">
            <v>5.4</v>
          </cell>
        </row>
        <row r="9">
          <cell r="A9" t="str">
            <v>Готовые замороженные продукты\Готовые замороженные чебуреки с мясом  ВлСТ</v>
          </cell>
          <cell r="E9">
            <v>5.4</v>
          </cell>
        </row>
        <row r="10">
          <cell r="A10" t="str">
            <v>Останкино ООО</v>
          </cell>
          <cell r="E10">
            <v>86</v>
          </cell>
        </row>
        <row r="11">
          <cell r="A11" t="str">
            <v>Останкино Заморозка</v>
          </cell>
          <cell r="E11">
            <v>86</v>
          </cell>
        </row>
        <row r="12">
          <cell r="A12" t="str">
            <v>6148 БЛИНЧ.КРУГЛЫЕ С ВЕТЧ.И СЫР. ПМ 1/300 зам. ОСТАНКИНО</v>
          </cell>
          <cell r="E12">
            <v>60</v>
          </cell>
        </row>
        <row r="13">
          <cell r="A13" t="str">
            <v>6149 БЛИНЧ.КРУГЛЫЕ С ПЕЧЕНЬЮ ПМ 1/300 зам. ОСТАНКИНО</v>
          </cell>
          <cell r="E13">
            <v>12</v>
          </cell>
        </row>
        <row r="14">
          <cell r="A14" t="str">
            <v>7216 СОЧНЫЕ СО СЛ.МАСЛ.ПМ пельм пл.0.7кг зам. ОСТАНКИНО</v>
          </cell>
          <cell r="E14">
            <v>14</v>
          </cell>
        </row>
        <row r="15">
          <cell r="A15" t="str">
            <v>ПОКОМ Логистический Партнер</v>
          </cell>
          <cell r="E15">
            <v>23079.3</v>
          </cell>
        </row>
        <row r="16">
          <cell r="A16" t="str">
            <v>Заморозка Зареченские Логистический партнер (кг)</v>
          </cell>
          <cell r="E16">
            <v>1989.3</v>
          </cell>
        </row>
        <row r="17">
          <cell r="A17" t="str">
            <v>Мини-сосиски в тесте 5кг ВЕС ТМ Зареченские  ПОКОМ</v>
          </cell>
          <cell r="E17">
            <v>145.1</v>
          </cell>
        </row>
        <row r="18">
          <cell r="A18" t="str">
            <v>Мини-сосиски в тесте ТМ Зареченские . ВЕС  Поком</v>
          </cell>
          <cell r="E18">
            <v>10</v>
          </cell>
        </row>
        <row r="19">
          <cell r="A19" t="str">
            <v>Мини-шарики с курочкой и сыром ТМ Зареченские ВЕС ПОКОМ</v>
          </cell>
          <cell r="E19">
            <v>165.1</v>
          </cell>
        </row>
        <row r="20">
          <cell r="A20" t="str">
            <v>Наггетсы Хрустящие ТМ Зареченские ТС Зареченские продукты. Поком</v>
          </cell>
          <cell r="E20">
            <v>395</v>
          </cell>
        </row>
        <row r="21">
          <cell r="A21" t="str">
            <v>Пирожки с мясом 3,7кг ВЕС ТМ Зареченские  ПОКОМ</v>
          </cell>
          <cell r="E21">
            <v>310.60000000000002</v>
          </cell>
        </row>
        <row r="22">
          <cell r="A22" t="str">
            <v>Чебуреки Мясные вес 2,7 кг ТМ Зареченские ТС Зареченские продукты   Поком</v>
          </cell>
          <cell r="E22">
            <v>264.39999999999998</v>
          </cell>
        </row>
        <row r="23">
          <cell r="A23" t="str">
            <v>Чебуреки сочные ТМ Зареченские ТС Зареченские продукты.  Поком</v>
          </cell>
          <cell r="E23">
            <v>699.1</v>
          </cell>
        </row>
        <row r="24">
          <cell r="A24" t="str">
            <v>Заморозка Зареченские Логистический партнер (шт)</v>
          </cell>
          <cell r="E24">
            <v>149</v>
          </cell>
        </row>
        <row r="25">
          <cell r="A25" t="str">
            <v>Пельмени Домашние со сливочным маслом ТМ Зареченские  продукты флоу-пак сфера 0,7 кг.  Поком</v>
          </cell>
          <cell r="E25">
            <v>149</v>
          </cell>
        </row>
        <row r="26">
          <cell r="A26" t="str">
            <v>ПОКОМ Логистический Партнер Заморозка</v>
          </cell>
          <cell r="E26">
            <v>20941</v>
          </cell>
        </row>
        <row r="27">
          <cell r="A27" t="str">
            <v>БОНУС_Готовые чебупели сочные с мясом ТМ Горячая штучка флоу-пак 0,24 кг  ПОКОМ</v>
          </cell>
          <cell r="E27">
            <v>179</v>
          </cell>
        </row>
        <row r="28">
          <cell r="A28" t="str">
            <v>БОНУС_Чебупицца курочка по-итальянски Горячая штучка 0,25 кг зам  ПОКОМ</v>
          </cell>
          <cell r="E28">
            <v>7</v>
          </cell>
        </row>
        <row r="29">
          <cell r="A29" t="str">
            <v>Бульмени хрустящие с мясом ТМ Горячая штучка ТС Бульмени ГШ сфера 0,22 кг  Поком</v>
          </cell>
          <cell r="E29">
            <v>109</v>
          </cell>
        </row>
        <row r="30">
          <cell r="A30" t="str">
            <v>Готовые бельмеши сочные с мясом ТМ Горячая штучка 0,3кг зам  ПОКОМ</v>
          </cell>
          <cell r="E30">
            <v>109</v>
          </cell>
        </row>
        <row r="31">
          <cell r="A31" t="str">
            <v>Готовые чебуманы с говядиной ТМ горячая штучка 0,28 кг.  Поком</v>
          </cell>
          <cell r="E31">
            <v>769</v>
          </cell>
        </row>
        <row r="32">
          <cell r="A32" t="str">
            <v>Готовые чебупели острые с мясом Горячая штучка 0,3 кг зам  ПОКОМ</v>
          </cell>
          <cell r="E32">
            <v>5</v>
          </cell>
        </row>
        <row r="33">
          <cell r="A33" t="str">
            <v>Готовые чебупели острые с мясом ТМ Горячая штучка флоу-пак 0,24 кг  Поком</v>
          </cell>
          <cell r="E33">
            <v>383</v>
          </cell>
        </row>
        <row r="34">
          <cell r="A34" t="str">
            <v>Готовые чебупели с ветчиной и сыром Горячая штучка 0,3кг зам  ПОКОМ</v>
          </cell>
          <cell r="E34">
            <v>5</v>
          </cell>
        </row>
        <row r="35">
          <cell r="A35" t="str">
            <v>Готовые чебупели с ветчиной и сыром ТМ Горячая штучка флоу-пак 0,24 кг.  ПОКОМ</v>
          </cell>
          <cell r="E35">
            <v>1378</v>
          </cell>
        </row>
        <row r="36">
          <cell r="A36" t="str">
            <v>Готовые чебупели с мясом ТМ Горячая штучка 0,24 кг  ПОКОМ</v>
          </cell>
          <cell r="E36">
            <v>476</v>
          </cell>
        </row>
        <row r="37">
          <cell r="A37" t="str">
            <v>Готовые чебупели сочные с мясом ТМ Горячая штучка флоу-пак 0,24 кг  ПОКОМ</v>
          </cell>
          <cell r="E37">
            <v>937</v>
          </cell>
        </row>
        <row r="38">
          <cell r="A38" t="str">
            <v>Готовые чебупели сочные с мясом ТМ Горячая штучка флоу-пак 0,48 кг XXL  Поком</v>
          </cell>
          <cell r="E38">
            <v>94</v>
          </cell>
        </row>
        <row r="39">
          <cell r="A39" t="str">
            <v>Готовые чебуреки с мясом ТМ Горячая штучка 0,09 кг флоу-пак ПОКОМ</v>
          </cell>
          <cell r="E39">
            <v>599</v>
          </cell>
        </row>
        <row r="40">
          <cell r="A40" t="str">
            <v>Готовые чебуреки со свининой и говядиной ТМ Горячая штучка ТС Базовый ассортимент 0,36 кг  ПОКОМ</v>
          </cell>
          <cell r="E40">
            <v>569</v>
          </cell>
        </row>
        <row r="41">
          <cell r="A41" t="str">
            <v>Круггетсы с сырным соусом ТМ Горячая штучка ТС Круггетсы флоу-пак 0,2 кг  ПОКОМ</v>
          </cell>
          <cell r="E41">
            <v>283</v>
          </cell>
        </row>
        <row r="42">
          <cell r="A42" t="str">
            <v>Круггетсы сочные ТМ Горячая штучка ТС Круггетсы 0,25 кг зам  ПОКОМ</v>
          </cell>
          <cell r="E42">
            <v>24</v>
          </cell>
        </row>
        <row r="43">
          <cell r="A43" t="str">
            <v>Круггетсы сочные ТМ Горячая штучка ТС Круггетсы флоу-пак  0,2 кг.  ПОКОМ</v>
          </cell>
          <cell r="E43">
            <v>436</v>
          </cell>
        </row>
        <row r="44">
          <cell r="A44" t="str">
            <v>Мини-чебуреки с мясом ТМ Зареченские ТС Зареченские продукты ПОКОМ</v>
          </cell>
          <cell r="E44">
            <v>141</v>
          </cell>
        </row>
        <row r="45">
          <cell r="A45" t="str">
            <v>Наггетсы из печи 0,25кг ТМ Вязанка замор.  ПОКОМ</v>
          </cell>
          <cell r="E45">
            <v>411</v>
          </cell>
        </row>
        <row r="46">
          <cell r="A46" t="str">
            <v>Наггетсы Нагетосы Сочная курочка со сметаной и зеленью ТМ Горячая штучка флоу-пак 0,25 кг  Поком</v>
          </cell>
          <cell r="E46">
            <v>629</v>
          </cell>
        </row>
        <row r="47">
          <cell r="A47" t="str">
            <v>Наггетсы Нагетосы Сочная курочка ТМ Горячая штучка 0,25 кг зам  ПОКОМ</v>
          </cell>
          <cell r="E47">
            <v>306</v>
          </cell>
        </row>
        <row r="48">
          <cell r="A48" t="str">
            <v>Наггетсы с индейкой 0,25кг ТМ Вязанка ТС Из печи Сливушки ПОКОМ</v>
          </cell>
          <cell r="E48">
            <v>764</v>
          </cell>
        </row>
        <row r="49">
          <cell r="A49" t="str">
            <v>Наггетсы с куриным филе и сыром ТМ Вязанка ТС Из печи Сливушки 0,25 кг.  Поком</v>
          </cell>
          <cell r="E49">
            <v>249</v>
          </cell>
        </row>
        <row r="50">
          <cell r="A50" t="str">
            <v>Наггетсы Хрустящие 0,3кг ТМ Зареченские  ПОКОМ</v>
          </cell>
          <cell r="E50">
            <v>2</v>
          </cell>
        </row>
        <row r="51">
          <cell r="A51" t="str">
            <v>Наггетсы Хрустящие ТМ Стародворье с сочной курочкой 0,23 кг  ПОКОМ</v>
          </cell>
          <cell r="E51">
            <v>307</v>
          </cell>
        </row>
        <row r="52">
          <cell r="A52" t="str">
            <v>Пекерсы с индейкой в сливочном соусе ТМ Горячая штучка 0,25 кг зам  ПОКОМ</v>
          </cell>
          <cell r="E52">
            <v>68</v>
          </cell>
        </row>
        <row r="53">
          <cell r="A53" t="str">
            <v>Пельмени Grandmeni с говядиной и свининой ТМ Горячаяштучка флоу-па классическая форма 0,7 кг.  Поком</v>
          </cell>
          <cell r="E53">
            <v>151</v>
          </cell>
        </row>
        <row r="54">
          <cell r="A54" t="str">
            <v>Пельмени Grandmeni с говядиной ТМ Горячаяштучка флоу-пак сфера 0,7 кг.  Поком</v>
          </cell>
          <cell r="E54">
            <v>154</v>
          </cell>
        </row>
        <row r="55">
          <cell r="A55" t="str">
            <v>Пельмени Grandmeni со сливочным маслом  ТМ Горячая штучка флоу-пак сфера 0,7 кг.  Поком</v>
          </cell>
          <cell r="E55">
            <v>129</v>
          </cell>
        </row>
        <row r="56">
          <cell r="A56" t="str">
            <v>Пельмени Бигбули #МЕГАВКУСИЩЕ с сочной грудинкой  ТМ Горячая штучка  флоу-пак сфера 0,7 кг.  Поком</v>
          </cell>
          <cell r="E56">
            <v>205</v>
          </cell>
        </row>
        <row r="57">
          <cell r="A57" t="str">
            <v>Пельмени Бигбули с мясом ТМ Горячая штучка БУЛЬМЕНИ ТС Бигбули ГШ  флоу-пак сфера 0,7.   Поком</v>
          </cell>
          <cell r="E57">
            <v>104</v>
          </cell>
        </row>
        <row r="58">
          <cell r="A58" t="str">
            <v>Пельмени Бигбули со сливочным маслом  ТС Бигбули ГШ#МЕГАМАСЛИЩЕ флоу-пак сфера 0,7.  Поком</v>
          </cell>
          <cell r="E58">
            <v>235</v>
          </cell>
        </row>
        <row r="59">
          <cell r="A59" t="str">
            <v>Пельмени Бигбули со сливочным маслом ТМ Горячая штучка  флоу-пак сфера 0,4.  Поком</v>
          </cell>
          <cell r="E59">
            <v>1</v>
          </cell>
        </row>
        <row r="60">
          <cell r="A60" t="str">
            <v>Пельмени Бульмени мини с мясом и оливковым маслом  ТС Бульмени ГШ флоу-пак сфера 0,7кг  Поком</v>
          </cell>
          <cell r="E60">
            <v>69</v>
          </cell>
        </row>
        <row r="61">
          <cell r="A61" t="str">
            <v>Пельмени Бульмени с говядиной и свининой Наваристые Горячая штучка ВЕС  ПОКОМ</v>
          </cell>
          <cell r="E61">
            <v>493</v>
          </cell>
        </row>
        <row r="62">
          <cell r="A62" t="str">
            <v>Пельмени Бульмени с говядиной и свининой ТМ Горячая штучка  флоу-пак сфера 0,4 кг  Поком</v>
          </cell>
          <cell r="E62">
            <v>80</v>
          </cell>
        </row>
        <row r="63">
          <cell r="A63" t="str">
            <v>Пельмени Бульмени с говядиной и свининой ТМ Горячая штучка БУЛЬМЕНИ  флоу-пак сфера 0,7 кг.  Поком</v>
          </cell>
          <cell r="E63">
            <v>346</v>
          </cell>
        </row>
        <row r="64">
          <cell r="A64" t="str">
            <v>Пельмени Бульмени со сливочным маслом ТМ Горячая штучка  флоу-пак сфера 0,4 кг .  Поком</v>
          </cell>
          <cell r="E64">
            <v>206</v>
          </cell>
        </row>
        <row r="65">
          <cell r="A65" t="str">
            <v>Пельмени Бульмени со сливочным маслом ТМ Горячая штучка флоу-пак сфера 0,7 кг .  Поком</v>
          </cell>
          <cell r="E65">
            <v>561</v>
          </cell>
        </row>
        <row r="66">
          <cell r="A66" t="str">
            <v>Пельмени Медвежье ушко Премиум Мясные ТМ Медвежье ушко классическая форма флоу-пак 0,8 кг. ПОКОМ</v>
          </cell>
          <cell r="E66">
            <v>182</v>
          </cell>
        </row>
        <row r="67">
          <cell r="A67" t="str">
            <v>Пельмени Мясные с говядиной ТМ Стародворье сфера флоу-пак 1 кг  ПОКОМ</v>
          </cell>
          <cell r="E67">
            <v>623</v>
          </cell>
        </row>
        <row r="68">
          <cell r="A68" t="str">
            <v>Пельмени Отборные из свинины и говядины 0,9 кг ТМ Стародворье ТС Медвежье ушко  ПОКОМ</v>
          </cell>
          <cell r="E68">
            <v>196</v>
          </cell>
        </row>
        <row r="69">
          <cell r="A69" t="str">
            <v>Пельмени Отборные с говядиной 0,9 кг НОВА ТМ Стародворье ТС Медвежье ушко  ПОКОМ</v>
          </cell>
          <cell r="E69">
            <v>114</v>
          </cell>
        </row>
        <row r="70">
          <cell r="A70" t="str">
            <v>Пельмени С говядиной и свининой, ВЕС, ТМ Славница сфера пуговки  ПОКОМ</v>
          </cell>
          <cell r="E70">
            <v>315</v>
          </cell>
        </row>
        <row r="71">
          <cell r="A71" t="str">
            <v>Хот-догстер ТМ Горячая штучка ТС Хот-Догстер флоу-пак 0,09 кг.  Поком</v>
          </cell>
          <cell r="E71">
            <v>294</v>
          </cell>
        </row>
        <row r="72">
          <cell r="A72" t="str">
            <v>Хотстеры Васаби-чили ТМ Горячая штучка ТС Хотстеры 0,23кг жареные ПОКОМ</v>
          </cell>
          <cell r="E72">
            <v>198</v>
          </cell>
        </row>
        <row r="73">
          <cell r="A73" t="str">
            <v>Хотстеры с сыром ТМ Горячая штучка ТС Хотстеры 0,25кг.  Поком</v>
          </cell>
          <cell r="E73">
            <v>357</v>
          </cell>
        </row>
        <row r="74">
          <cell r="A74" t="str">
            <v>Хотстеры ТМ Горячая штучка ТС Хотстеры 0,25 кг зам  ПОКОМ</v>
          </cell>
          <cell r="E74">
            <v>699</v>
          </cell>
        </row>
        <row r="75">
          <cell r="A75" t="str">
            <v>Хрустипай апельсин имбирь ТМ Горячая штучка 0,18 кг  ПОКОМ</v>
          </cell>
          <cell r="E75">
            <v>9</v>
          </cell>
        </row>
        <row r="76">
          <cell r="A76" t="str">
            <v>Хрустипай манго маракуйя ТМ Горячая штучка 0,18 кг  ПОКОМ</v>
          </cell>
          <cell r="E76">
            <v>17</v>
          </cell>
        </row>
        <row r="77">
          <cell r="A77" t="str">
            <v>Хрустипай манго чили ТМ Горячая штучка 0,18кг с начинкой ПОКОМ</v>
          </cell>
          <cell r="E77">
            <v>7</v>
          </cell>
        </row>
        <row r="78">
          <cell r="A78" t="str">
            <v>Хрустящие крылышки острые к пиву ТМ Горячая штучка 0,3кг зам  ПОКОМ</v>
          </cell>
          <cell r="E78">
            <v>552</v>
          </cell>
        </row>
        <row r="79">
          <cell r="A79" t="str">
            <v>Хрустящие крылышки ТМ Горячая штучка 0,3 кг зам  ПОКОМ</v>
          </cell>
          <cell r="E79">
            <v>913</v>
          </cell>
        </row>
        <row r="80">
          <cell r="A80" t="str">
            <v>Чебупели Курочка гриль Базовый ассортимент Фикс.вес 0,3 Пакет Горячая штучка  Поком</v>
          </cell>
          <cell r="E80">
            <v>201</v>
          </cell>
        </row>
        <row r="81">
          <cell r="A81" t="str">
            <v>Чебупицца курочка по-итальянски Горячая штучка 0,25 кг зам  ПОКОМ</v>
          </cell>
          <cell r="E81">
            <v>1749</v>
          </cell>
        </row>
        <row r="82">
          <cell r="A82" t="str">
            <v>Чебупицца Пепперони ТМ Горячая штучка ТС Чебупицца 0.25кг зам  ПОКОМ</v>
          </cell>
          <cell r="E82">
            <v>2138</v>
          </cell>
        </row>
        <row r="83">
          <cell r="A83" t="str">
            <v>Чебупицца со вкусом Том ям ТМ Горячая штучка ТС Чебупицца 0,23кг жареные ПОКОМ</v>
          </cell>
          <cell r="E83">
            <v>404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4.5703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7" width="3" customWidth="1"/>
  </cols>
  <sheetData>
    <row r="1" spans="1:47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</row>
    <row r="2" spans="1:47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>
        <v>3500</v>
      </c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</row>
    <row r="4" spans="1:47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 t="s">
        <v>174</v>
      </c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</row>
    <row r="5" spans="1:47" x14ac:dyDescent="0.25">
      <c r="A5" s="5"/>
      <c r="B5" s="5"/>
      <c r="C5" s="5"/>
      <c r="D5" s="5"/>
      <c r="E5" s="3">
        <f>SUM(E6:E499)</f>
        <v>22610.13</v>
      </c>
      <c r="F5" s="3">
        <f>SUM(F6:F499)</f>
        <v>24877.1</v>
      </c>
      <c r="G5" s="7"/>
      <c r="H5" s="5"/>
      <c r="I5" s="5"/>
      <c r="J5" s="5"/>
      <c r="K5" s="3">
        <f t="shared" ref="K5:R5" si="0">SUM(K6:K499)</f>
        <v>22904.300000000003</v>
      </c>
      <c r="L5" s="3">
        <f t="shared" si="0"/>
        <v>-294.17000000000007</v>
      </c>
      <c r="M5" s="3">
        <f t="shared" si="0"/>
        <v>0</v>
      </c>
      <c r="N5" s="3">
        <f t="shared" si="0"/>
        <v>0</v>
      </c>
      <c r="O5" s="3">
        <f t="shared" si="0"/>
        <v>28567</v>
      </c>
      <c r="P5" s="3">
        <f t="shared" si="0"/>
        <v>4522.0260000000007</v>
      </c>
      <c r="Q5" s="3">
        <f t="shared" si="0"/>
        <v>12819.524000000001</v>
      </c>
      <c r="R5" s="3">
        <f t="shared" si="0"/>
        <v>13353.4</v>
      </c>
      <c r="S5" s="5"/>
      <c r="T5" s="5"/>
      <c r="U5" s="3">
        <f t="shared" ref="U5:AD5" si="1">SUM(U6:U499)</f>
        <v>4398.62</v>
      </c>
      <c r="V5" s="3">
        <f t="shared" si="1"/>
        <v>4789.0800000000008</v>
      </c>
      <c r="W5" s="3">
        <f t="shared" si="1"/>
        <v>4526.159999999998</v>
      </c>
      <c r="X5" s="3">
        <f t="shared" si="1"/>
        <v>4414.1399999999994</v>
      </c>
      <c r="Y5" s="3">
        <f t="shared" si="1"/>
        <v>3976.7</v>
      </c>
      <c r="Z5" s="3">
        <f t="shared" si="1"/>
        <v>3592.1799999999994</v>
      </c>
      <c r="AA5" s="3">
        <f t="shared" si="1"/>
        <v>4219.12</v>
      </c>
      <c r="AB5" s="3">
        <f t="shared" si="1"/>
        <v>4458.16</v>
      </c>
      <c r="AC5" s="3">
        <f t="shared" si="1"/>
        <v>3668.64</v>
      </c>
      <c r="AD5" s="3">
        <f t="shared" si="1"/>
        <v>4013.6</v>
      </c>
      <c r="AE5" s="5"/>
      <c r="AF5" s="3">
        <f>SUM(AF6:AF499)</f>
        <v>4639.5139999999992</v>
      </c>
      <c r="AG5" s="7"/>
      <c r="AH5" s="11">
        <f>SUM(AH6:AH499)</f>
        <v>1430</v>
      </c>
      <c r="AI5" s="3">
        <f>SUM(AI6:AI499)</f>
        <v>4938.2399999999989</v>
      </c>
      <c r="AJ5" s="5"/>
      <c r="AK5" s="5"/>
      <c r="AL5" s="11">
        <f>SUM(AL6:AL499)</f>
        <v>16.449206349206353</v>
      </c>
      <c r="AM5" s="5"/>
      <c r="AN5" s="5"/>
      <c r="AO5" s="5"/>
      <c r="AP5" s="5"/>
      <c r="AQ5" s="5"/>
      <c r="AR5" s="5"/>
      <c r="AS5" s="5"/>
      <c r="AT5" s="5"/>
      <c r="AU5" s="5"/>
    </row>
    <row r="6" spans="1:47" x14ac:dyDescent="0.25">
      <c r="A6" s="13" t="s">
        <v>41</v>
      </c>
      <c r="B6" s="13" t="s">
        <v>42</v>
      </c>
      <c r="C6" s="13">
        <v>104</v>
      </c>
      <c r="D6" s="13">
        <v>400</v>
      </c>
      <c r="E6" s="17">
        <v>178</v>
      </c>
      <c r="F6" s="17">
        <v>326</v>
      </c>
      <c r="G6" s="14">
        <v>0</v>
      </c>
      <c r="H6" s="13"/>
      <c r="I6" s="13" t="s">
        <v>43</v>
      </c>
      <c r="J6" s="13" t="s">
        <v>44</v>
      </c>
      <c r="K6" s="13">
        <v>4</v>
      </c>
      <c r="L6" s="13">
        <f t="shared" ref="L6:L37" si="2">E6-K6</f>
        <v>174</v>
      </c>
      <c r="M6" s="13"/>
      <c r="N6" s="13"/>
      <c r="O6" s="13"/>
      <c r="P6" s="13">
        <f t="shared" ref="P6:P37" si="3">E6/5</f>
        <v>35.6</v>
      </c>
      <c r="Q6" s="15"/>
      <c r="R6" s="15"/>
      <c r="S6" s="13">
        <f t="shared" ref="S6:S37" si="4">(F6+O6+R6)/P6</f>
        <v>9.1573033707865168</v>
      </c>
      <c r="T6" s="13">
        <f t="shared" ref="T6:T37" si="5">(F6+O6)/P6</f>
        <v>9.1573033707865168</v>
      </c>
      <c r="U6" s="13">
        <v>60.4</v>
      </c>
      <c r="V6" s="13">
        <v>64</v>
      </c>
      <c r="W6" s="13">
        <v>60.6</v>
      </c>
      <c r="X6" s="13">
        <v>69.8</v>
      </c>
      <c r="Y6" s="13">
        <v>55.4</v>
      </c>
      <c r="Z6" s="13">
        <v>49.4</v>
      </c>
      <c r="AA6" s="13">
        <v>50</v>
      </c>
      <c r="AB6" s="13">
        <v>69.400000000000006</v>
      </c>
      <c r="AC6" s="13">
        <v>54</v>
      </c>
      <c r="AD6" s="13">
        <v>52</v>
      </c>
      <c r="AE6" s="13"/>
      <c r="AF6" s="13"/>
      <c r="AG6" s="14"/>
      <c r="AH6" s="16"/>
      <c r="AI6" s="13"/>
      <c r="AJ6" s="13"/>
      <c r="AK6" s="13"/>
      <c r="AL6" s="16"/>
      <c r="AM6" s="5"/>
      <c r="AN6" s="5"/>
      <c r="AO6" s="5"/>
      <c r="AP6" s="5"/>
      <c r="AQ6" s="5"/>
      <c r="AR6" s="5"/>
      <c r="AS6" s="5"/>
      <c r="AT6" s="5"/>
      <c r="AU6" s="5"/>
    </row>
    <row r="7" spans="1:47" x14ac:dyDescent="0.25">
      <c r="A7" s="13" t="s">
        <v>45</v>
      </c>
      <c r="B7" s="13" t="s">
        <v>42</v>
      </c>
      <c r="C7" s="13">
        <v>101</v>
      </c>
      <c r="D7" s="13">
        <v>7</v>
      </c>
      <c r="E7" s="13"/>
      <c r="F7" s="13"/>
      <c r="G7" s="14">
        <v>0</v>
      </c>
      <c r="H7" s="13"/>
      <c r="I7" s="13" t="s">
        <v>43</v>
      </c>
      <c r="J7" s="13" t="s">
        <v>46</v>
      </c>
      <c r="K7" s="13">
        <v>31</v>
      </c>
      <c r="L7" s="13">
        <f t="shared" si="2"/>
        <v>-31</v>
      </c>
      <c r="M7" s="13"/>
      <c r="N7" s="13"/>
      <c r="O7" s="13"/>
      <c r="P7" s="13">
        <f t="shared" si="3"/>
        <v>0</v>
      </c>
      <c r="Q7" s="15"/>
      <c r="R7" s="15"/>
      <c r="S7" s="13" t="e">
        <f t="shared" si="4"/>
        <v>#DIV/0!</v>
      </c>
      <c r="T7" s="13" t="e">
        <f t="shared" si="5"/>
        <v>#DIV/0!</v>
      </c>
      <c r="U7" s="13">
        <v>17</v>
      </c>
      <c r="V7" s="13">
        <v>20.2</v>
      </c>
      <c r="W7" s="13">
        <v>20.399999999999999</v>
      </c>
      <c r="X7" s="13">
        <v>20.8</v>
      </c>
      <c r="Y7" s="13">
        <v>16.600000000000001</v>
      </c>
      <c r="Z7" s="13">
        <v>15.4</v>
      </c>
      <c r="AA7" s="13">
        <v>17</v>
      </c>
      <c r="AB7" s="13">
        <v>25.2</v>
      </c>
      <c r="AC7" s="13">
        <v>18.399999999999999</v>
      </c>
      <c r="AD7" s="13">
        <v>17.2</v>
      </c>
      <c r="AE7" s="13"/>
      <c r="AF7" s="13"/>
      <c r="AG7" s="14"/>
      <c r="AH7" s="16"/>
      <c r="AI7" s="13"/>
      <c r="AJ7" s="13"/>
      <c r="AK7" s="13"/>
      <c r="AL7" s="16"/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25">
      <c r="A8" s="13" t="s">
        <v>47</v>
      </c>
      <c r="B8" s="13" t="s">
        <v>42</v>
      </c>
      <c r="C8" s="13">
        <v>112</v>
      </c>
      <c r="D8" s="13">
        <v>7</v>
      </c>
      <c r="E8" s="17">
        <v>1</v>
      </c>
      <c r="F8" s="13"/>
      <c r="G8" s="14">
        <v>0</v>
      </c>
      <c r="H8" s="13"/>
      <c r="I8" s="13" t="s">
        <v>43</v>
      </c>
      <c r="J8" s="13" t="s">
        <v>48</v>
      </c>
      <c r="K8" s="13">
        <v>1</v>
      </c>
      <c r="L8" s="13">
        <f t="shared" si="2"/>
        <v>0</v>
      </c>
      <c r="M8" s="13"/>
      <c r="N8" s="13"/>
      <c r="O8" s="13"/>
      <c r="P8" s="13">
        <f t="shared" si="3"/>
        <v>0.2</v>
      </c>
      <c r="Q8" s="15"/>
      <c r="R8" s="15"/>
      <c r="S8" s="13">
        <f t="shared" si="4"/>
        <v>0</v>
      </c>
      <c r="T8" s="13">
        <f t="shared" si="5"/>
        <v>0</v>
      </c>
      <c r="U8" s="13">
        <v>22.8</v>
      </c>
      <c r="V8" s="13">
        <v>25</v>
      </c>
      <c r="W8" s="13">
        <v>21.2</v>
      </c>
      <c r="X8" s="13">
        <v>21</v>
      </c>
      <c r="Y8" s="13">
        <v>31</v>
      </c>
      <c r="Z8" s="13">
        <v>22.2</v>
      </c>
      <c r="AA8" s="13">
        <v>21.6</v>
      </c>
      <c r="AB8" s="13">
        <v>12.6</v>
      </c>
      <c r="AC8" s="13">
        <v>8.1999999999999993</v>
      </c>
      <c r="AD8" s="13">
        <v>5.6</v>
      </c>
      <c r="AE8" s="13"/>
      <c r="AF8" s="13"/>
      <c r="AG8" s="14"/>
      <c r="AH8" s="16"/>
      <c r="AI8" s="13"/>
      <c r="AJ8" s="13"/>
      <c r="AK8" s="13"/>
      <c r="AL8" s="16"/>
      <c r="AM8" s="5"/>
      <c r="AN8" s="5"/>
      <c r="AO8" s="5"/>
      <c r="AP8" s="5"/>
      <c r="AQ8" s="5"/>
      <c r="AR8" s="5"/>
      <c r="AS8" s="5"/>
      <c r="AT8" s="5"/>
      <c r="AU8" s="5"/>
    </row>
    <row r="9" spans="1:47" x14ac:dyDescent="0.25">
      <c r="A9" s="5" t="s">
        <v>49</v>
      </c>
      <c r="B9" s="5" t="s">
        <v>42</v>
      </c>
      <c r="C9" s="5">
        <v>202</v>
      </c>
      <c r="D9" s="5"/>
      <c r="E9" s="5">
        <v>109</v>
      </c>
      <c r="F9" s="5">
        <v>93</v>
      </c>
      <c r="G9" s="7">
        <v>0.22</v>
      </c>
      <c r="H9" s="5">
        <v>180</v>
      </c>
      <c r="I9" s="5" t="s">
        <v>50</v>
      </c>
      <c r="J9" s="5"/>
      <c r="K9" s="5">
        <f>VLOOKUP(A9,[1]TDSheet!$A:$E,5,0)</f>
        <v>109</v>
      </c>
      <c r="L9" s="5">
        <f t="shared" si="2"/>
        <v>0</v>
      </c>
      <c r="M9" s="5"/>
      <c r="N9" s="5"/>
      <c r="O9" s="5">
        <v>0</v>
      </c>
      <c r="P9" s="5">
        <f t="shared" si="3"/>
        <v>21.8</v>
      </c>
      <c r="Q9" s="4">
        <f>14*P9-O9-F9</f>
        <v>212.2</v>
      </c>
      <c r="R9" s="4">
        <f>AG9*AH9</f>
        <v>168</v>
      </c>
      <c r="S9" s="5">
        <f t="shared" si="4"/>
        <v>11.972477064220183</v>
      </c>
      <c r="T9" s="5">
        <f t="shared" si="5"/>
        <v>4.2660550458715596</v>
      </c>
      <c r="U9" s="5">
        <v>6.8</v>
      </c>
      <c r="V9" s="5">
        <v>2.6</v>
      </c>
      <c r="W9" s="5">
        <v>9.4</v>
      </c>
      <c r="X9" s="5">
        <v>5.8</v>
      </c>
      <c r="Y9" s="5">
        <v>1.4</v>
      </c>
      <c r="Z9" s="5">
        <v>1</v>
      </c>
      <c r="AA9" s="5">
        <v>5.2</v>
      </c>
      <c r="AB9" s="5">
        <v>6.4</v>
      </c>
      <c r="AC9" s="5">
        <v>4.5999999999999996</v>
      </c>
      <c r="AD9" s="5">
        <v>4.8</v>
      </c>
      <c r="AE9" s="5"/>
      <c r="AF9" s="5">
        <f>G9*Q9</f>
        <v>46.683999999999997</v>
      </c>
      <c r="AG9" s="7">
        <v>12</v>
      </c>
      <c r="AH9" s="9">
        <f>MROUND(Q9, AG9*AJ9)/AG9</f>
        <v>14</v>
      </c>
      <c r="AI9" s="5">
        <f>AH9*AG9*G9</f>
        <v>36.96</v>
      </c>
      <c r="AJ9" s="5">
        <v>14</v>
      </c>
      <c r="AK9" s="5">
        <v>70</v>
      </c>
      <c r="AL9" s="9">
        <f>AH9/AK9</f>
        <v>0.2</v>
      </c>
      <c r="AM9" s="5"/>
      <c r="AN9" s="5"/>
      <c r="AO9" s="5"/>
      <c r="AP9" s="5"/>
      <c r="AQ9" s="5"/>
      <c r="AR9" s="5"/>
      <c r="AS9" s="5"/>
      <c r="AT9" s="5"/>
      <c r="AU9" s="5"/>
    </row>
    <row r="10" spans="1:47" x14ac:dyDescent="0.25">
      <c r="A10" s="5" t="s">
        <v>51</v>
      </c>
      <c r="B10" s="5" t="s">
        <v>42</v>
      </c>
      <c r="C10" s="5">
        <v>367</v>
      </c>
      <c r="D10" s="5"/>
      <c r="E10" s="5">
        <v>109</v>
      </c>
      <c r="F10" s="5">
        <v>258</v>
      </c>
      <c r="G10" s="7">
        <v>0.3</v>
      </c>
      <c r="H10" s="5">
        <v>180</v>
      </c>
      <c r="I10" s="5" t="s">
        <v>52</v>
      </c>
      <c r="J10" s="5"/>
      <c r="K10" s="5">
        <f>VLOOKUP(A10,[1]TDSheet!$A:$E,5,0)</f>
        <v>109</v>
      </c>
      <c r="L10" s="5">
        <f t="shared" si="2"/>
        <v>0</v>
      </c>
      <c r="M10" s="5"/>
      <c r="N10" s="5"/>
      <c r="O10" s="5">
        <v>0</v>
      </c>
      <c r="P10" s="5">
        <f t="shared" si="3"/>
        <v>21.8</v>
      </c>
      <c r="Q10" s="4">
        <f>16*P10-O10-F10</f>
        <v>90.800000000000011</v>
      </c>
      <c r="R10" s="4">
        <f>AG10*AH10</f>
        <v>168</v>
      </c>
      <c r="S10" s="5">
        <f t="shared" si="4"/>
        <v>19.541284403669724</v>
      </c>
      <c r="T10" s="5">
        <f t="shared" si="5"/>
        <v>11.834862385321101</v>
      </c>
      <c r="U10" s="5">
        <v>15.2</v>
      </c>
      <c r="V10" s="5">
        <v>28.2</v>
      </c>
      <c r="W10" s="5">
        <v>29.8</v>
      </c>
      <c r="X10" s="5">
        <v>22.2</v>
      </c>
      <c r="Y10" s="5">
        <v>13.2</v>
      </c>
      <c r="Z10" s="5">
        <v>18.399999999999999</v>
      </c>
      <c r="AA10" s="5">
        <v>22.4</v>
      </c>
      <c r="AB10" s="5">
        <v>23</v>
      </c>
      <c r="AC10" s="5">
        <v>10.199999999999999</v>
      </c>
      <c r="AD10" s="5">
        <v>14.8</v>
      </c>
      <c r="AE10" s="5"/>
      <c r="AF10" s="5">
        <f>G10*Q10</f>
        <v>27.240000000000002</v>
      </c>
      <c r="AG10" s="7">
        <v>12</v>
      </c>
      <c r="AH10" s="9">
        <f>MROUND(Q10, AG10*AJ10)/AG10</f>
        <v>14</v>
      </c>
      <c r="AI10" s="5">
        <f>AH10*AG10*G10</f>
        <v>50.4</v>
      </c>
      <c r="AJ10" s="5">
        <v>14</v>
      </c>
      <c r="AK10" s="5">
        <v>70</v>
      </c>
      <c r="AL10" s="9">
        <f>AH10/AK10</f>
        <v>0.2</v>
      </c>
      <c r="AM10" s="5"/>
      <c r="AN10" s="5"/>
      <c r="AO10" s="5"/>
      <c r="AP10" s="5"/>
      <c r="AQ10" s="5"/>
      <c r="AR10" s="5"/>
      <c r="AS10" s="5"/>
      <c r="AT10" s="5"/>
      <c r="AU10" s="5"/>
    </row>
    <row r="11" spans="1:47" x14ac:dyDescent="0.25">
      <c r="A11" s="5" t="s">
        <v>53</v>
      </c>
      <c r="B11" s="5" t="s">
        <v>42</v>
      </c>
      <c r="C11" s="5">
        <v>1722</v>
      </c>
      <c r="D11" s="5">
        <v>2</v>
      </c>
      <c r="E11" s="5">
        <v>762</v>
      </c>
      <c r="F11" s="5">
        <v>959</v>
      </c>
      <c r="G11" s="7">
        <v>0.28000000000000003</v>
      </c>
      <c r="H11" s="5">
        <v>180</v>
      </c>
      <c r="I11" s="5" t="s">
        <v>54</v>
      </c>
      <c r="J11" s="5"/>
      <c r="K11" s="5">
        <f>VLOOKUP(A11,[1]TDSheet!$A:$E,5,0)</f>
        <v>769</v>
      </c>
      <c r="L11" s="5">
        <f t="shared" si="2"/>
        <v>-7</v>
      </c>
      <c r="M11" s="5"/>
      <c r="N11" s="5"/>
      <c r="O11" s="5">
        <v>252</v>
      </c>
      <c r="P11" s="5">
        <f t="shared" si="3"/>
        <v>152.4</v>
      </c>
      <c r="Q11" s="4">
        <f t="shared" ref="Q11" si="6">14*P11-O11-F11</f>
        <v>922.59999999999991</v>
      </c>
      <c r="R11" s="4">
        <f>AG11*AH11</f>
        <v>924</v>
      </c>
      <c r="S11" s="5">
        <f t="shared" si="4"/>
        <v>14.009186351706036</v>
      </c>
      <c r="T11" s="5">
        <f t="shared" si="5"/>
        <v>7.9461942257217846</v>
      </c>
      <c r="U11" s="5">
        <v>108.6</v>
      </c>
      <c r="V11" s="5">
        <v>161.4</v>
      </c>
      <c r="W11" s="5">
        <v>128.4</v>
      </c>
      <c r="X11" s="5">
        <v>110.4</v>
      </c>
      <c r="Y11" s="5">
        <v>110.8</v>
      </c>
      <c r="Z11" s="5">
        <v>134</v>
      </c>
      <c r="AA11" s="5">
        <v>119</v>
      </c>
      <c r="AB11" s="5">
        <v>172.6</v>
      </c>
      <c r="AC11" s="5">
        <v>118</v>
      </c>
      <c r="AD11" s="5">
        <v>143</v>
      </c>
      <c r="AE11" s="5"/>
      <c r="AF11" s="5">
        <f>G11*Q11</f>
        <v>258.32799999999997</v>
      </c>
      <c r="AG11" s="7">
        <v>6</v>
      </c>
      <c r="AH11" s="9">
        <f>MROUND(Q11, AG11*AJ11)/AG11</f>
        <v>154</v>
      </c>
      <c r="AI11" s="5">
        <f>AH11*AG11*G11</f>
        <v>258.72000000000003</v>
      </c>
      <c r="AJ11" s="5">
        <v>14</v>
      </c>
      <c r="AK11" s="5">
        <v>140</v>
      </c>
      <c r="AL11" s="9">
        <f>AH11/AK11</f>
        <v>1.1000000000000001</v>
      </c>
      <c r="AM11" s="5"/>
      <c r="AN11" s="5"/>
      <c r="AO11" s="5"/>
      <c r="AP11" s="5"/>
      <c r="AQ11" s="5"/>
      <c r="AR11" s="5"/>
      <c r="AS11" s="5"/>
      <c r="AT11" s="5"/>
      <c r="AU11" s="5"/>
    </row>
    <row r="12" spans="1:47" x14ac:dyDescent="0.25">
      <c r="A12" s="13" t="s">
        <v>55</v>
      </c>
      <c r="B12" s="13" t="s">
        <v>42</v>
      </c>
      <c r="C12" s="13"/>
      <c r="D12" s="13"/>
      <c r="E12" s="17">
        <v>5</v>
      </c>
      <c r="F12" s="17">
        <v>-5</v>
      </c>
      <c r="G12" s="14">
        <v>0</v>
      </c>
      <c r="H12" s="13"/>
      <c r="I12" s="13" t="s">
        <v>56</v>
      </c>
      <c r="J12" s="13" t="s">
        <v>57</v>
      </c>
      <c r="K12" s="13">
        <v>5</v>
      </c>
      <c r="L12" s="13">
        <f t="shared" si="2"/>
        <v>0</v>
      </c>
      <c r="M12" s="13"/>
      <c r="N12" s="13"/>
      <c r="O12" s="13"/>
      <c r="P12" s="13">
        <f t="shared" si="3"/>
        <v>1</v>
      </c>
      <c r="Q12" s="15"/>
      <c r="R12" s="15"/>
      <c r="S12" s="13">
        <f t="shared" si="4"/>
        <v>-5</v>
      </c>
      <c r="T12" s="13">
        <f t="shared" si="5"/>
        <v>-5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5"/>
      <c r="AN12" s="5"/>
      <c r="AO12" s="5"/>
      <c r="AP12" s="5"/>
      <c r="AQ12" s="5"/>
      <c r="AR12" s="5"/>
      <c r="AS12" s="5"/>
      <c r="AT12" s="5"/>
      <c r="AU12" s="5"/>
    </row>
    <row r="13" spans="1:47" x14ac:dyDescent="0.25">
      <c r="A13" s="5" t="s">
        <v>57</v>
      </c>
      <c r="B13" s="5" t="s">
        <v>42</v>
      </c>
      <c r="C13" s="5">
        <v>970</v>
      </c>
      <c r="D13" s="5">
        <v>1</v>
      </c>
      <c r="E13" s="17">
        <f>377+E12</f>
        <v>382</v>
      </c>
      <c r="F13" s="17">
        <f>593+F12</f>
        <v>588</v>
      </c>
      <c r="G13" s="7">
        <v>0.24</v>
      </c>
      <c r="H13" s="5">
        <v>180</v>
      </c>
      <c r="I13" s="5" t="s">
        <v>58</v>
      </c>
      <c r="J13" s="5"/>
      <c r="K13" s="5">
        <f>VLOOKUP(A13,[1]TDSheet!$A:$E,5,0)</f>
        <v>383</v>
      </c>
      <c r="L13" s="5">
        <f t="shared" si="2"/>
        <v>-1</v>
      </c>
      <c r="M13" s="5"/>
      <c r="N13" s="5"/>
      <c r="O13" s="5">
        <v>336</v>
      </c>
      <c r="P13" s="5">
        <f t="shared" si="3"/>
        <v>76.400000000000006</v>
      </c>
      <c r="Q13" s="4">
        <f>14*P13-O13-F13</f>
        <v>145.60000000000014</v>
      </c>
      <c r="R13" s="4">
        <f>AG13*AH13</f>
        <v>168</v>
      </c>
      <c r="S13" s="5">
        <f t="shared" si="4"/>
        <v>14.293193717277486</v>
      </c>
      <c r="T13" s="5">
        <f t="shared" si="5"/>
        <v>12.094240837696335</v>
      </c>
      <c r="U13" s="5">
        <v>68.8</v>
      </c>
      <c r="V13" s="5">
        <v>88.6</v>
      </c>
      <c r="W13" s="5">
        <v>93.6</v>
      </c>
      <c r="X13" s="5">
        <v>72.8</v>
      </c>
      <c r="Y13" s="5">
        <v>53</v>
      </c>
      <c r="Z13" s="5">
        <v>71.599999999999994</v>
      </c>
      <c r="AA13" s="5">
        <v>87.2</v>
      </c>
      <c r="AB13" s="5">
        <v>87</v>
      </c>
      <c r="AC13" s="5">
        <v>75</v>
      </c>
      <c r="AD13" s="5">
        <v>115.2</v>
      </c>
      <c r="AE13" s="5"/>
      <c r="AF13" s="5">
        <f>G13*Q13</f>
        <v>34.944000000000031</v>
      </c>
      <c r="AG13" s="7">
        <v>12</v>
      </c>
      <c r="AH13" s="9">
        <f>MROUND(Q13, AG13*AJ13)/AG13</f>
        <v>14</v>
      </c>
      <c r="AI13" s="5">
        <f>AH13*AG13*G13</f>
        <v>40.32</v>
      </c>
      <c r="AJ13" s="5">
        <v>14</v>
      </c>
      <c r="AK13" s="5">
        <v>70</v>
      </c>
      <c r="AL13" s="9">
        <f>AH13/AK13</f>
        <v>0.2</v>
      </c>
      <c r="AM13" s="5"/>
      <c r="AN13" s="5"/>
      <c r="AO13" s="5"/>
      <c r="AP13" s="5"/>
      <c r="AQ13" s="5"/>
      <c r="AR13" s="5"/>
      <c r="AS13" s="5"/>
      <c r="AT13" s="5"/>
      <c r="AU13" s="5"/>
    </row>
    <row r="14" spans="1:47" x14ac:dyDescent="0.25">
      <c r="A14" s="13" t="s">
        <v>59</v>
      </c>
      <c r="B14" s="13" t="s">
        <v>42</v>
      </c>
      <c r="C14" s="13">
        <v>-1</v>
      </c>
      <c r="D14" s="13"/>
      <c r="E14" s="17">
        <v>5</v>
      </c>
      <c r="F14" s="17">
        <v>-6</v>
      </c>
      <c r="G14" s="14">
        <v>0</v>
      </c>
      <c r="H14" s="13"/>
      <c r="I14" s="13" t="s">
        <v>56</v>
      </c>
      <c r="J14" s="13" t="s">
        <v>60</v>
      </c>
      <c r="K14" s="13">
        <v>5</v>
      </c>
      <c r="L14" s="13">
        <f t="shared" si="2"/>
        <v>0</v>
      </c>
      <c r="M14" s="13"/>
      <c r="N14" s="13"/>
      <c r="O14" s="13"/>
      <c r="P14" s="13">
        <f t="shared" si="3"/>
        <v>1</v>
      </c>
      <c r="Q14" s="15"/>
      <c r="R14" s="15"/>
      <c r="S14" s="13">
        <f t="shared" si="4"/>
        <v>-6</v>
      </c>
      <c r="T14" s="13">
        <f t="shared" si="5"/>
        <v>-6</v>
      </c>
      <c r="U14" s="13">
        <v>0</v>
      </c>
      <c r="V14" s="13">
        <v>0.2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5"/>
      <c r="AN14" s="5"/>
      <c r="AO14" s="5"/>
      <c r="AP14" s="5"/>
      <c r="AQ14" s="5"/>
      <c r="AR14" s="5"/>
      <c r="AS14" s="5"/>
      <c r="AT14" s="5"/>
      <c r="AU14" s="5"/>
    </row>
    <row r="15" spans="1:47" x14ac:dyDescent="0.25">
      <c r="A15" s="5" t="s">
        <v>60</v>
      </c>
      <c r="B15" s="5" t="s">
        <v>42</v>
      </c>
      <c r="C15" s="5">
        <v>1941</v>
      </c>
      <c r="D15" s="5"/>
      <c r="E15" s="17">
        <f>1337+E14</f>
        <v>1342</v>
      </c>
      <c r="F15" s="17">
        <f>604+F14</f>
        <v>598</v>
      </c>
      <c r="G15" s="7">
        <v>0.24</v>
      </c>
      <c r="H15" s="5">
        <v>180</v>
      </c>
      <c r="I15" s="5" t="s">
        <v>61</v>
      </c>
      <c r="J15" s="5"/>
      <c r="K15" s="5">
        <f>VLOOKUP(A15,[1]TDSheet!$A:$E,5,0)</f>
        <v>1378</v>
      </c>
      <c r="L15" s="5">
        <f t="shared" si="2"/>
        <v>-36</v>
      </c>
      <c r="M15" s="5"/>
      <c r="N15" s="5"/>
      <c r="O15" s="5">
        <v>2352</v>
      </c>
      <c r="P15" s="5">
        <f t="shared" si="3"/>
        <v>268.39999999999998</v>
      </c>
      <c r="Q15" s="4">
        <f t="shared" ref="Q15:Q16" si="7">14*P15-O15-F15</f>
        <v>807.59999999999945</v>
      </c>
      <c r="R15" s="4">
        <f>AG15*AH15</f>
        <v>840</v>
      </c>
      <c r="S15" s="5">
        <f t="shared" si="4"/>
        <v>14.120715350223549</v>
      </c>
      <c r="T15" s="5">
        <f t="shared" si="5"/>
        <v>10.991058122205665</v>
      </c>
      <c r="U15" s="5">
        <v>235.8</v>
      </c>
      <c r="V15" s="5">
        <v>219.2</v>
      </c>
      <c r="W15" s="5">
        <v>180.2</v>
      </c>
      <c r="X15" s="5">
        <v>150.80000000000001</v>
      </c>
      <c r="Y15" s="5">
        <v>171.4</v>
      </c>
      <c r="Z15" s="5">
        <v>62.2</v>
      </c>
      <c r="AA15" s="5">
        <v>187</v>
      </c>
      <c r="AB15" s="5">
        <v>186.6</v>
      </c>
      <c r="AC15" s="5">
        <v>97.8</v>
      </c>
      <c r="AD15" s="5">
        <v>195.2</v>
      </c>
      <c r="AE15" s="5"/>
      <c r="AF15" s="5">
        <f>G15*Q15</f>
        <v>193.82399999999987</v>
      </c>
      <c r="AG15" s="7">
        <v>12</v>
      </c>
      <c r="AH15" s="9">
        <f>MROUND(Q15, AG15*AJ15)/AG15</f>
        <v>70</v>
      </c>
      <c r="AI15" s="5">
        <f>AH15*AG15*G15</f>
        <v>201.6</v>
      </c>
      <c r="AJ15" s="5">
        <v>14</v>
      </c>
      <c r="AK15" s="5">
        <v>70</v>
      </c>
      <c r="AL15" s="9">
        <f>AH15/AK15</f>
        <v>1</v>
      </c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5" t="s">
        <v>62</v>
      </c>
      <c r="B16" s="5" t="s">
        <v>42</v>
      </c>
      <c r="C16" s="5">
        <v>1200</v>
      </c>
      <c r="D16" s="5">
        <v>2</v>
      </c>
      <c r="E16" s="5">
        <v>467</v>
      </c>
      <c r="F16" s="5">
        <v>733</v>
      </c>
      <c r="G16" s="7">
        <v>0.24</v>
      </c>
      <c r="H16" s="5">
        <v>180</v>
      </c>
      <c r="I16" s="5" t="s">
        <v>63</v>
      </c>
      <c r="J16" s="5"/>
      <c r="K16" s="5">
        <f>VLOOKUP(A16,[1]TDSheet!$A:$E,5,0)</f>
        <v>476</v>
      </c>
      <c r="L16" s="5">
        <f t="shared" si="2"/>
        <v>-9</v>
      </c>
      <c r="M16" s="5"/>
      <c r="N16" s="5"/>
      <c r="O16" s="5">
        <v>168</v>
      </c>
      <c r="P16" s="5">
        <f t="shared" si="3"/>
        <v>93.4</v>
      </c>
      <c r="Q16" s="4">
        <f t="shared" si="7"/>
        <v>406.60000000000014</v>
      </c>
      <c r="R16" s="4">
        <f>AG16*AH16</f>
        <v>336</v>
      </c>
      <c r="S16" s="5">
        <f t="shared" si="4"/>
        <v>13.244111349036402</v>
      </c>
      <c r="T16" s="5">
        <f t="shared" si="5"/>
        <v>9.6466809421841528</v>
      </c>
      <c r="U16" s="5">
        <v>80.599999999999994</v>
      </c>
      <c r="V16" s="5">
        <v>110.6</v>
      </c>
      <c r="W16" s="5">
        <v>98</v>
      </c>
      <c r="X16" s="5">
        <v>95.6</v>
      </c>
      <c r="Y16" s="5">
        <v>82.2</v>
      </c>
      <c r="Z16" s="5">
        <v>62.8</v>
      </c>
      <c r="AA16" s="5">
        <v>95.8</v>
      </c>
      <c r="AB16" s="5">
        <v>113</v>
      </c>
      <c r="AC16" s="5">
        <v>95.6</v>
      </c>
      <c r="AD16" s="5">
        <v>123.8</v>
      </c>
      <c r="AE16" s="5"/>
      <c r="AF16" s="5">
        <f>G16*Q16</f>
        <v>97.584000000000032</v>
      </c>
      <c r="AG16" s="7">
        <v>12</v>
      </c>
      <c r="AH16" s="9">
        <f>MROUND(Q16, AG16*AJ16)/AG16</f>
        <v>28</v>
      </c>
      <c r="AI16" s="5">
        <f>AH16*AG16*G16</f>
        <v>80.64</v>
      </c>
      <c r="AJ16" s="5">
        <v>14</v>
      </c>
      <c r="AK16" s="5">
        <v>70</v>
      </c>
      <c r="AL16" s="9">
        <f>AH16/AK16</f>
        <v>0.4</v>
      </c>
      <c r="AM16" s="5"/>
      <c r="AN16" s="5"/>
      <c r="AO16" s="5"/>
      <c r="AP16" s="5"/>
      <c r="AQ16" s="5"/>
      <c r="AR16" s="5"/>
      <c r="AS16" s="5"/>
      <c r="AT16" s="5"/>
      <c r="AU16" s="5"/>
    </row>
    <row r="17" spans="1:47" x14ac:dyDescent="0.25">
      <c r="A17" s="13" t="s">
        <v>64</v>
      </c>
      <c r="B17" s="13" t="s">
        <v>42</v>
      </c>
      <c r="C17" s="13">
        <v>-1</v>
      </c>
      <c r="D17" s="13"/>
      <c r="E17" s="13"/>
      <c r="F17" s="17">
        <v>-1</v>
      </c>
      <c r="G17" s="14">
        <v>0</v>
      </c>
      <c r="H17" s="13"/>
      <c r="I17" s="13" t="s">
        <v>56</v>
      </c>
      <c r="J17" s="13" t="s">
        <v>44</v>
      </c>
      <c r="K17" s="13"/>
      <c r="L17" s="13">
        <f t="shared" si="2"/>
        <v>0</v>
      </c>
      <c r="M17" s="13"/>
      <c r="N17" s="13"/>
      <c r="O17" s="13"/>
      <c r="P17" s="13">
        <f t="shared" si="3"/>
        <v>0</v>
      </c>
      <c r="Q17" s="15"/>
      <c r="R17" s="15"/>
      <c r="S17" s="13" t="e">
        <f t="shared" si="4"/>
        <v>#DIV/0!</v>
      </c>
      <c r="T17" s="13" t="e">
        <f t="shared" si="5"/>
        <v>#DIV/0!</v>
      </c>
      <c r="U17" s="13">
        <v>0.2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/>
      <c r="AF17" s="13"/>
      <c r="AG17" s="14"/>
      <c r="AH17" s="16"/>
      <c r="AI17" s="13"/>
      <c r="AJ17" s="13"/>
      <c r="AK17" s="13"/>
      <c r="AL17" s="16"/>
      <c r="AM17" s="5"/>
      <c r="AN17" s="5"/>
      <c r="AO17" s="5"/>
      <c r="AP17" s="5"/>
      <c r="AQ17" s="5"/>
      <c r="AR17" s="5"/>
      <c r="AS17" s="5"/>
      <c r="AT17" s="5"/>
      <c r="AU17" s="5"/>
    </row>
    <row r="18" spans="1:47" x14ac:dyDescent="0.25">
      <c r="A18" s="5" t="s">
        <v>44</v>
      </c>
      <c r="B18" s="5" t="s">
        <v>42</v>
      </c>
      <c r="C18" s="5">
        <v>2578</v>
      </c>
      <c r="D18" s="5">
        <v>192</v>
      </c>
      <c r="E18" s="17">
        <f>913+E6</f>
        <v>1091</v>
      </c>
      <c r="F18" s="17">
        <f>1265+F6+F17</f>
        <v>1590</v>
      </c>
      <c r="G18" s="7">
        <v>0.24</v>
      </c>
      <c r="H18" s="5">
        <v>180</v>
      </c>
      <c r="I18" s="5" t="s">
        <v>65</v>
      </c>
      <c r="J18" s="5"/>
      <c r="K18" s="5">
        <f>VLOOKUP(A18,[1]TDSheet!$A:$E,5,0)</f>
        <v>937</v>
      </c>
      <c r="L18" s="5">
        <f t="shared" si="2"/>
        <v>154</v>
      </c>
      <c r="M18" s="5"/>
      <c r="N18" s="5"/>
      <c r="O18" s="5">
        <v>1512</v>
      </c>
      <c r="P18" s="5">
        <f t="shared" si="3"/>
        <v>218.2</v>
      </c>
      <c r="Q18" s="4"/>
      <c r="R18" s="4">
        <f t="shared" ref="R18:R24" si="8">AG18*AH18</f>
        <v>0</v>
      </c>
      <c r="S18" s="5">
        <f t="shared" si="4"/>
        <v>14.216315307057746</v>
      </c>
      <c r="T18" s="5">
        <f t="shared" si="5"/>
        <v>14.216315307057746</v>
      </c>
      <c r="U18" s="5">
        <v>231.8</v>
      </c>
      <c r="V18" s="5">
        <v>268.8</v>
      </c>
      <c r="W18" s="5">
        <v>259.60000000000002</v>
      </c>
      <c r="X18" s="5">
        <v>288.8</v>
      </c>
      <c r="Y18" s="5">
        <v>206</v>
      </c>
      <c r="Z18" s="5">
        <v>217</v>
      </c>
      <c r="AA18" s="5">
        <v>243.8</v>
      </c>
      <c r="AB18" s="5">
        <v>228.6</v>
      </c>
      <c r="AC18" s="5">
        <v>194.2</v>
      </c>
      <c r="AD18" s="5">
        <v>212.6</v>
      </c>
      <c r="AE18" s="5"/>
      <c r="AF18" s="5">
        <f t="shared" ref="AF18:AF24" si="9">G18*Q18</f>
        <v>0</v>
      </c>
      <c r="AG18" s="7">
        <v>12</v>
      </c>
      <c r="AH18" s="9">
        <f t="shared" ref="AH18:AH24" si="10">MROUND(Q18, AG18*AJ18)/AG18</f>
        <v>0</v>
      </c>
      <c r="AI18" s="5">
        <f t="shared" ref="AI18:AI24" si="11">AH18*AG18*G18</f>
        <v>0</v>
      </c>
      <c r="AJ18" s="5">
        <v>14</v>
      </c>
      <c r="AK18" s="5">
        <v>70</v>
      </c>
      <c r="AL18" s="9">
        <f t="shared" ref="AL18:AL24" si="12">AH18/AK18</f>
        <v>0</v>
      </c>
      <c r="AM18" s="5"/>
      <c r="AN18" s="5"/>
      <c r="AO18" s="5"/>
      <c r="AP18" s="5"/>
      <c r="AQ18" s="5"/>
      <c r="AR18" s="5"/>
      <c r="AS18" s="5"/>
      <c r="AT18" s="5"/>
      <c r="AU18" s="5"/>
    </row>
    <row r="19" spans="1:47" x14ac:dyDescent="0.25">
      <c r="A19" s="5" t="s">
        <v>66</v>
      </c>
      <c r="B19" s="5" t="s">
        <v>42</v>
      </c>
      <c r="C19" s="5">
        <v>334</v>
      </c>
      <c r="D19" s="5">
        <v>1</v>
      </c>
      <c r="E19" s="5">
        <v>93</v>
      </c>
      <c r="F19" s="5">
        <v>241</v>
      </c>
      <c r="G19" s="7">
        <v>0.48</v>
      </c>
      <c r="H19" s="5">
        <v>180</v>
      </c>
      <c r="I19" s="5" t="s">
        <v>67</v>
      </c>
      <c r="J19" s="5"/>
      <c r="K19" s="5">
        <f>VLOOKUP(A19,[1]TDSheet!$A:$E,5,0)</f>
        <v>94</v>
      </c>
      <c r="L19" s="5">
        <f t="shared" si="2"/>
        <v>-1</v>
      </c>
      <c r="M19" s="5"/>
      <c r="N19" s="5"/>
      <c r="O19" s="5">
        <v>0</v>
      </c>
      <c r="P19" s="5">
        <f t="shared" si="3"/>
        <v>18.600000000000001</v>
      </c>
      <c r="Q19" s="4">
        <f>16*P19-O19-F19</f>
        <v>56.600000000000023</v>
      </c>
      <c r="R19" s="4">
        <f t="shared" si="8"/>
        <v>112</v>
      </c>
      <c r="S19" s="5">
        <f t="shared" si="4"/>
        <v>18.978494623655912</v>
      </c>
      <c r="T19" s="5">
        <f t="shared" si="5"/>
        <v>12.956989247311826</v>
      </c>
      <c r="U19" s="5">
        <v>19.399999999999999</v>
      </c>
      <c r="V19" s="5">
        <v>33</v>
      </c>
      <c r="W19" s="5">
        <v>25.4</v>
      </c>
      <c r="X19" s="5">
        <v>25</v>
      </c>
      <c r="Y19" s="5">
        <v>30.8</v>
      </c>
      <c r="Z19" s="5">
        <v>20.399999999999999</v>
      </c>
      <c r="AA19" s="5">
        <v>31.4</v>
      </c>
      <c r="AB19" s="5">
        <v>39.4</v>
      </c>
      <c r="AC19" s="5">
        <v>13.8</v>
      </c>
      <c r="AD19" s="5">
        <v>14.6</v>
      </c>
      <c r="AE19" s="5"/>
      <c r="AF19" s="5">
        <f t="shared" si="9"/>
        <v>27.16800000000001</v>
      </c>
      <c r="AG19" s="7">
        <v>8</v>
      </c>
      <c r="AH19" s="9">
        <f t="shared" si="10"/>
        <v>14</v>
      </c>
      <c r="AI19" s="5">
        <f t="shared" si="11"/>
        <v>53.76</v>
      </c>
      <c r="AJ19" s="5">
        <v>14</v>
      </c>
      <c r="AK19" s="5">
        <v>70</v>
      </c>
      <c r="AL19" s="9">
        <f t="shared" si="12"/>
        <v>0.2</v>
      </c>
      <c r="AM19" s="5"/>
      <c r="AN19" s="5"/>
      <c r="AO19" s="5"/>
      <c r="AP19" s="5"/>
      <c r="AQ19" s="5"/>
      <c r="AR19" s="5"/>
      <c r="AS19" s="5"/>
      <c r="AT19" s="5"/>
      <c r="AU19" s="5"/>
    </row>
    <row r="20" spans="1:47" x14ac:dyDescent="0.25">
      <c r="A20" s="5" t="s">
        <v>68</v>
      </c>
      <c r="B20" s="5" t="s">
        <v>42</v>
      </c>
      <c r="C20" s="5">
        <v>892</v>
      </c>
      <c r="D20" s="5"/>
      <c r="E20" s="5">
        <v>601</v>
      </c>
      <c r="F20" s="5">
        <v>291</v>
      </c>
      <c r="G20" s="7">
        <v>0.09</v>
      </c>
      <c r="H20" s="5">
        <v>180</v>
      </c>
      <c r="I20" s="5" t="s">
        <v>69</v>
      </c>
      <c r="J20" s="5"/>
      <c r="K20" s="5">
        <f>VLOOKUP(A20,[1]TDSheet!$A:$E,5,0)</f>
        <v>599</v>
      </c>
      <c r="L20" s="5">
        <f t="shared" si="2"/>
        <v>2</v>
      </c>
      <c r="M20" s="5"/>
      <c r="N20" s="5"/>
      <c r="O20" s="5">
        <v>1008</v>
      </c>
      <c r="P20" s="5">
        <f t="shared" si="3"/>
        <v>120.2</v>
      </c>
      <c r="Q20" s="4">
        <f t="shared" ref="Q20:Q24" si="13">14*P20-O20-F20</f>
        <v>383.79999999999995</v>
      </c>
      <c r="R20" s="4">
        <f t="shared" si="8"/>
        <v>336</v>
      </c>
      <c r="S20" s="5">
        <f t="shared" si="4"/>
        <v>13.602329450915141</v>
      </c>
      <c r="T20" s="5">
        <f t="shared" si="5"/>
        <v>10.806988352745424</v>
      </c>
      <c r="U20" s="5">
        <v>115.4</v>
      </c>
      <c r="V20" s="5">
        <v>94.8</v>
      </c>
      <c r="W20" s="5">
        <v>120</v>
      </c>
      <c r="X20" s="5">
        <v>98.8</v>
      </c>
      <c r="Y20" s="5">
        <v>108.8</v>
      </c>
      <c r="Z20" s="5">
        <v>115.2</v>
      </c>
      <c r="AA20" s="5">
        <v>73</v>
      </c>
      <c r="AB20" s="5">
        <v>127.2</v>
      </c>
      <c r="AC20" s="5">
        <v>93.6</v>
      </c>
      <c r="AD20" s="5">
        <v>105.6</v>
      </c>
      <c r="AE20" s="5"/>
      <c r="AF20" s="5">
        <f t="shared" si="9"/>
        <v>34.541999999999994</v>
      </c>
      <c r="AG20" s="7">
        <v>24</v>
      </c>
      <c r="AH20" s="9">
        <f t="shared" si="10"/>
        <v>14</v>
      </c>
      <c r="AI20" s="5">
        <f t="shared" si="11"/>
        <v>30.24</v>
      </c>
      <c r="AJ20" s="5">
        <v>14</v>
      </c>
      <c r="AK20" s="5">
        <v>126</v>
      </c>
      <c r="AL20" s="9">
        <f t="shared" si="12"/>
        <v>0.1111111111111111</v>
      </c>
      <c r="AM20" s="5"/>
      <c r="AN20" s="5"/>
      <c r="AO20" s="5"/>
      <c r="AP20" s="5"/>
      <c r="AQ20" s="5"/>
      <c r="AR20" s="5"/>
      <c r="AS20" s="5"/>
      <c r="AT20" s="5"/>
      <c r="AU20" s="5"/>
    </row>
    <row r="21" spans="1:47" x14ac:dyDescent="0.25">
      <c r="A21" s="5" t="s">
        <v>70</v>
      </c>
      <c r="B21" s="5" t="s">
        <v>42</v>
      </c>
      <c r="C21" s="5">
        <v>1079</v>
      </c>
      <c r="D21" s="5"/>
      <c r="E21" s="5">
        <v>569</v>
      </c>
      <c r="F21" s="5">
        <v>509</v>
      </c>
      <c r="G21" s="7">
        <v>0.36</v>
      </c>
      <c r="H21" s="5">
        <v>180</v>
      </c>
      <c r="I21" s="5" t="s">
        <v>71</v>
      </c>
      <c r="J21" s="5"/>
      <c r="K21" s="5">
        <f>VLOOKUP(A21,[1]TDSheet!$A:$E,5,0)</f>
        <v>569</v>
      </c>
      <c r="L21" s="5">
        <f t="shared" si="2"/>
        <v>0</v>
      </c>
      <c r="M21" s="5"/>
      <c r="N21" s="5"/>
      <c r="O21" s="5">
        <v>560</v>
      </c>
      <c r="P21" s="5">
        <f t="shared" si="3"/>
        <v>113.8</v>
      </c>
      <c r="Q21" s="4">
        <f t="shared" si="13"/>
        <v>524.20000000000005</v>
      </c>
      <c r="R21" s="4">
        <f t="shared" si="8"/>
        <v>560</v>
      </c>
      <c r="S21" s="5">
        <f t="shared" si="4"/>
        <v>14.314586994727593</v>
      </c>
      <c r="T21" s="5">
        <f t="shared" si="5"/>
        <v>9.3936731107205631</v>
      </c>
      <c r="U21" s="5">
        <v>92</v>
      </c>
      <c r="V21" s="5">
        <v>106.4</v>
      </c>
      <c r="W21" s="5">
        <v>94.8</v>
      </c>
      <c r="X21" s="5">
        <v>106.4</v>
      </c>
      <c r="Y21" s="5">
        <v>97.8</v>
      </c>
      <c r="Z21" s="5">
        <v>92.6</v>
      </c>
      <c r="AA21" s="5">
        <v>104</v>
      </c>
      <c r="AB21" s="5">
        <v>85</v>
      </c>
      <c r="AC21" s="5">
        <v>93.2</v>
      </c>
      <c r="AD21" s="5">
        <v>110</v>
      </c>
      <c r="AE21" s="5"/>
      <c r="AF21" s="5">
        <f t="shared" si="9"/>
        <v>188.71200000000002</v>
      </c>
      <c r="AG21" s="7">
        <v>10</v>
      </c>
      <c r="AH21" s="9">
        <f t="shared" si="10"/>
        <v>56</v>
      </c>
      <c r="AI21" s="5">
        <f t="shared" si="11"/>
        <v>201.6</v>
      </c>
      <c r="AJ21" s="5">
        <v>14</v>
      </c>
      <c r="AK21" s="5">
        <v>70</v>
      </c>
      <c r="AL21" s="9">
        <f t="shared" si="12"/>
        <v>0.8</v>
      </c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25">
      <c r="A22" s="5" t="s">
        <v>72</v>
      </c>
      <c r="B22" s="5" t="s">
        <v>42</v>
      </c>
      <c r="C22" s="5">
        <v>474</v>
      </c>
      <c r="D22" s="5"/>
      <c r="E22" s="5">
        <v>283</v>
      </c>
      <c r="F22" s="5">
        <v>191</v>
      </c>
      <c r="G22" s="7">
        <v>0.2</v>
      </c>
      <c r="H22" s="5">
        <v>180</v>
      </c>
      <c r="I22" s="5" t="s">
        <v>73</v>
      </c>
      <c r="J22" s="5"/>
      <c r="K22" s="5">
        <f>VLOOKUP(A22,[1]TDSheet!$A:$E,5,0)</f>
        <v>283</v>
      </c>
      <c r="L22" s="5">
        <f t="shared" si="2"/>
        <v>0</v>
      </c>
      <c r="M22" s="5"/>
      <c r="N22" s="5"/>
      <c r="O22" s="5">
        <v>0</v>
      </c>
      <c r="P22" s="5">
        <f t="shared" si="3"/>
        <v>56.6</v>
      </c>
      <c r="Q22" s="4">
        <f t="shared" si="13"/>
        <v>601.4</v>
      </c>
      <c r="R22" s="4">
        <f t="shared" si="8"/>
        <v>672</v>
      </c>
      <c r="S22" s="5">
        <f t="shared" si="4"/>
        <v>15.247349823321555</v>
      </c>
      <c r="T22" s="5">
        <f t="shared" si="5"/>
        <v>3.3745583038869258</v>
      </c>
      <c r="U22" s="5">
        <v>39.200000000000003</v>
      </c>
      <c r="V22" s="5">
        <v>47.6</v>
      </c>
      <c r="W22" s="5">
        <v>66</v>
      </c>
      <c r="X22" s="5">
        <v>49</v>
      </c>
      <c r="Y22" s="5">
        <v>55.6</v>
      </c>
      <c r="Z22" s="5">
        <v>56.8</v>
      </c>
      <c r="AA22" s="5">
        <v>38.4</v>
      </c>
      <c r="AB22" s="5">
        <v>47.4</v>
      </c>
      <c r="AC22" s="5">
        <v>35.799999999999997</v>
      </c>
      <c r="AD22" s="5">
        <v>42.8</v>
      </c>
      <c r="AE22" s="5"/>
      <c r="AF22" s="5">
        <f t="shared" si="9"/>
        <v>120.28</v>
      </c>
      <c r="AG22" s="7">
        <v>12</v>
      </c>
      <c r="AH22" s="9">
        <f t="shared" si="10"/>
        <v>56</v>
      </c>
      <c r="AI22" s="5">
        <f t="shared" si="11"/>
        <v>134.4</v>
      </c>
      <c r="AJ22" s="5">
        <v>14</v>
      </c>
      <c r="AK22" s="5">
        <v>70</v>
      </c>
      <c r="AL22" s="9">
        <f t="shared" si="12"/>
        <v>0.8</v>
      </c>
      <c r="AM22" s="5"/>
      <c r="AN22" s="5"/>
      <c r="AO22" s="5"/>
      <c r="AP22" s="5"/>
      <c r="AQ22" s="5"/>
      <c r="AR22" s="5"/>
      <c r="AS22" s="5"/>
      <c r="AT22" s="5"/>
      <c r="AU22" s="5"/>
    </row>
    <row r="23" spans="1:47" x14ac:dyDescent="0.25">
      <c r="A23" s="5" t="s">
        <v>74</v>
      </c>
      <c r="B23" s="5" t="s">
        <v>42</v>
      </c>
      <c r="C23" s="5">
        <v>1172</v>
      </c>
      <c r="D23" s="5"/>
      <c r="E23" s="5">
        <v>460</v>
      </c>
      <c r="F23" s="5">
        <v>736</v>
      </c>
      <c r="G23" s="7">
        <v>0.2</v>
      </c>
      <c r="H23" s="5">
        <v>180</v>
      </c>
      <c r="I23" s="5" t="s">
        <v>75</v>
      </c>
      <c r="J23" s="5"/>
      <c r="K23" s="5">
        <f>VLOOKUP(A23,[1]TDSheet!$A:$E,5,0)</f>
        <v>436</v>
      </c>
      <c r="L23" s="5">
        <f t="shared" si="2"/>
        <v>24</v>
      </c>
      <c r="M23" s="5"/>
      <c r="N23" s="5"/>
      <c r="O23" s="5">
        <v>504</v>
      </c>
      <c r="P23" s="5">
        <f t="shared" si="3"/>
        <v>92</v>
      </c>
      <c r="Q23" s="4">
        <f>15*P23-O23-F23</f>
        <v>140</v>
      </c>
      <c r="R23" s="4">
        <f t="shared" si="8"/>
        <v>168</v>
      </c>
      <c r="S23" s="5">
        <f t="shared" si="4"/>
        <v>15.304347826086957</v>
      </c>
      <c r="T23" s="5">
        <f t="shared" si="5"/>
        <v>13.478260869565217</v>
      </c>
      <c r="U23" s="5">
        <v>93.6</v>
      </c>
      <c r="V23" s="5">
        <v>114</v>
      </c>
      <c r="W23" s="5">
        <v>95</v>
      </c>
      <c r="X23" s="5">
        <v>109.6</v>
      </c>
      <c r="Y23" s="5">
        <v>76.8</v>
      </c>
      <c r="Z23" s="5">
        <v>81.8</v>
      </c>
      <c r="AA23" s="5">
        <v>83</v>
      </c>
      <c r="AB23" s="5">
        <v>118.4</v>
      </c>
      <c r="AC23" s="5">
        <v>99.8</v>
      </c>
      <c r="AD23" s="5">
        <v>75</v>
      </c>
      <c r="AE23" s="5"/>
      <c r="AF23" s="5">
        <f t="shared" si="9"/>
        <v>28</v>
      </c>
      <c r="AG23" s="7">
        <v>12</v>
      </c>
      <c r="AH23" s="9">
        <f t="shared" si="10"/>
        <v>14</v>
      </c>
      <c r="AI23" s="5">
        <f t="shared" si="11"/>
        <v>33.6</v>
      </c>
      <c r="AJ23" s="5">
        <v>14</v>
      </c>
      <c r="AK23" s="5">
        <v>70</v>
      </c>
      <c r="AL23" s="9">
        <f t="shared" si="12"/>
        <v>0.2</v>
      </c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25">
      <c r="A24" s="5" t="s">
        <v>76</v>
      </c>
      <c r="B24" s="5" t="s">
        <v>77</v>
      </c>
      <c r="C24" s="5">
        <v>454</v>
      </c>
      <c r="D24" s="5"/>
      <c r="E24" s="17">
        <f>140+E25</f>
        <v>145</v>
      </c>
      <c r="F24" s="17">
        <f>314+F25</f>
        <v>309</v>
      </c>
      <c r="G24" s="7">
        <v>1</v>
      </c>
      <c r="H24" s="5">
        <v>180</v>
      </c>
      <c r="I24" s="5" t="s">
        <v>78</v>
      </c>
      <c r="J24" s="5"/>
      <c r="K24" s="5">
        <f>VLOOKUP(A24,[1]TDSheet!$A:$E,5,0)</f>
        <v>145.1</v>
      </c>
      <c r="L24" s="5">
        <f t="shared" si="2"/>
        <v>-9.9999999999994316E-2</v>
      </c>
      <c r="M24" s="5"/>
      <c r="N24" s="5"/>
      <c r="O24" s="5">
        <v>60</v>
      </c>
      <c r="P24" s="5">
        <f t="shared" si="3"/>
        <v>29</v>
      </c>
      <c r="Q24" s="4">
        <f t="shared" si="13"/>
        <v>37</v>
      </c>
      <c r="R24" s="4">
        <f t="shared" si="8"/>
        <v>60</v>
      </c>
      <c r="S24" s="5">
        <f t="shared" si="4"/>
        <v>14.793103448275861</v>
      </c>
      <c r="T24" s="5">
        <f t="shared" si="5"/>
        <v>12.724137931034482</v>
      </c>
      <c r="U24" s="5">
        <v>35.200000000000003</v>
      </c>
      <c r="V24" s="5">
        <v>32</v>
      </c>
      <c r="W24" s="5">
        <v>43</v>
      </c>
      <c r="X24" s="5">
        <v>50</v>
      </c>
      <c r="Y24" s="5">
        <v>36.260000000000012</v>
      </c>
      <c r="Z24" s="5">
        <v>39.739999999999988</v>
      </c>
      <c r="AA24" s="5">
        <v>24</v>
      </c>
      <c r="AB24" s="5">
        <v>54</v>
      </c>
      <c r="AC24" s="5">
        <v>32</v>
      </c>
      <c r="AD24" s="5">
        <v>54</v>
      </c>
      <c r="AE24" s="5"/>
      <c r="AF24" s="5">
        <f t="shared" si="9"/>
        <v>37</v>
      </c>
      <c r="AG24" s="7">
        <v>5</v>
      </c>
      <c r="AH24" s="9">
        <f t="shared" si="10"/>
        <v>12</v>
      </c>
      <c r="AI24" s="5">
        <f t="shared" si="11"/>
        <v>60</v>
      </c>
      <c r="AJ24" s="5">
        <v>12</v>
      </c>
      <c r="AK24" s="5">
        <v>84</v>
      </c>
      <c r="AL24" s="9">
        <f t="shared" si="12"/>
        <v>0.14285714285714285</v>
      </c>
      <c r="AM24" s="5"/>
      <c r="AN24" s="5"/>
      <c r="AO24" s="5"/>
      <c r="AP24" s="5"/>
      <c r="AQ24" s="5"/>
      <c r="AR24" s="5"/>
      <c r="AS24" s="5"/>
      <c r="AT24" s="5"/>
      <c r="AU24" s="5"/>
    </row>
    <row r="25" spans="1:47" x14ac:dyDescent="0.25">
      <c r="A25" s="13" t="s">
        <v>79</v>
      </c>
      <c r="B25" s="13" t="s">
        <v>77</v>
      </c>
      <c r="C25" s="13"/>
      <c r="D25" s="13">
        <v>5</v>
      </c>
      <c r="E25" s="17">
        <v>5</v>
      </c>
      <c r="F25" s="17">
        <v>-5</v>
      </c>
      <c r="G25" s="14">
        <v>0</v>
      </c>
      <c r="H25" s="13"/>
      <c r="I25" s="13" t="s">
        <v>56</v>
      </c>
      <c r="J25" s="13" t="s">
        <v>76</v>
      </c>
      <c r="K25" s="13">
        <v>10</v>
      </c>
      <c r="L25" s="13">
        <f t="shared" si="2"/>
        <v>-5</v>
      </c>
      <c r="M25" s="13"/>
      <c r="N25" s="13"/>
      <c r="O25" s="13"/>
      <c r="P25" s="13">
        <f t="shared" si="3"/>
        <v>1</v>
      </c>
      <c r="Q25" s="15"/>
      <c r="R25" s="15"/>
      <c r="S25" s="13">
        <f t="shared" si="4"/>
        <v>-5</v>
      </c>
      <c r="T25" s="13">
        <f t="shared" si="5"/>
        <v>-5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/>
      <c r="AF25" s="13"/>
      <c r="AG25" s="14"/>
      <c r="AH25" s="16"/>
      <c r="AI25" s="13"/>
      <c r="AJ25" s="13"/>
      <c r="AK25" s="13"/>
      <c r="AL25" s="16"/>
      <c r="AM25" s="5"/>
      <c r="AN25" s="5"/>
      <c r="AO25" s="5"/>
      <c r="AP25" s="5"/>
      <c r="AQ25" s="5"/>
      <c r="AR25" s="5"/>
      <c r="AS25" s="5"/>
      <c r="AT25" s="5"/>
      <c r="AU25" s="5"/>
    </row>
    <row r="26" spans="1:47" x14ac:dyDescent="0.25">
      <c r="A26" s="5" t="s">
        <v>80</v>
      </c>
      <c r="B26" s="5" t="s">
        <v>77</v>
      </c>
      <c r="C26" s="5">
        <v>176.5</v>
      </c>
      <c r="D26" s="5"/>
      <c r="E26" s="5">
        <v>143</v>
      </c>
      <c r="F26" s="5">
        <v>33.5</v>
      </c>
      <c r="G26" s="7">
        <v>1</v>
      </c>
      <c r="H26" s="5">
        <v>180</v>
      </c>
      <c r="I26" s="5" t="s">
        <v>81</v>
      </c>
      <c r="J26" s="5"/>
      <c r="K26" s="5">
        <f>VLOOKUP(A26,[1]TDSheet!$A:$E,5,0)</f>
        <v>141</v>
      </c>
      <c r="L26" s="5">
        <f t="shared" si="2"/>
        <v>2</v>
      </c>
      <c r="M26" s="5"/>
      <c r="N26" s="5"/>
      <c r="O26" s="5">
        <v>330</v>
      </c>
      <c r="P26" s="5">
        <f t="shared" si="3"/>
        <v>28.6</v>
      </c>
      <c r="Q26" s="4">
        <f t="shared" ref="Q26:Q27" si="14">14*P26-O26-F26</f>
        <v>36.900000000000034</v>
      </c>
      <c r="R26" s="4">
        <f>AG26*AH26</f>
        <v>66</v>
      </c>
      <c r="S26" s="5">
        <f t="shared" si="4"/>
        <v>15.017482517482517</v>
      </c>
      <c r="T26" s="5">
        <f t="shared" si="5"/>
        <v>12.70979020979021</v>
      </c>
      <c r="U26" s="5">
        <v>34.1</v>
      </c>
      <c r="V26" s="5">
        <v>25.2</v>
      </c>
      <c r="W26" s="5">
        <v>35</v>
      </c>
      <c r="X26" s="5">
        <v>35.1</v>
      </c>
      <c r="Y26" s="5">
        <v>29.7</v>
      </c>
      <c r="Z26" s="5">
        <v>28.5</v>
      </c>
      <c r="AA26" s="5">
        <v>32.9</v>
      </c>
      <c r="AB26" s="5">
        <v>31.8</v>
      </c>
      <c r="AC26" s="5">
        <v>28.6</v>
      </c>
      <c r="AD26" s="5">
        <v>28.4</v>
      </c>
      <c r="AE26" s="5"/>
      <c r="AF26" s="5">
        <f>G26*Q26</f>
        <v>36.900000000000034</v>
      </c>
      <c r="AG26" s="7">
        <v>5.5</v>
      </c>
      <c r="AH26" s="9">
        <f>MROUND(Q26, AG26*AJ26)/AG26</f>
        <v>12</v>
      </c>
      <c r="AI26" s="5">
        <f>AH26*AG26*G26</f>
        <v>66</v>
      </c>
      <c r="AJ26" s="5">
        <v>12</v>
      </c>
      <c r="AK26" s="5">
        <v>84</v>
      </c>
      <c r="AL26" s="9">
        <f>AH26/AK26</f>
        <v>0.14285714285714285</v>
      </c>
      <c r="AM26" s="5"/>
      <c r="AN26" s="5"/>
      <c r="AO26" s="5"/>
      <c r="AP26" s="5"/>
      <c r="AQ26" s="5"/>
      <c r="AR26" s="5"/>
      <c r="AS26" s="5"/>
      <c r="AT26" s="5"/>
      <c r="AU26" s="5"/>
    </row>
    <row r="27" spans="1:47" x14ac:dyDescent="0.25">
      <c r="A27" s="5" t="s">
        <v>82</v>
      </c>
      <c r="B27" s="5" t="s">
        <v>77</v>
      </c>
      <c r="C27" s="5">
        <v>306</v>
      </c>
      <c r="D27" s="5"/>
      <c r="E27" s="5">
        <v>165</v>
      </c>
      <c r="F27" s="5">
        <v>141</v>
      </c>
      <c r="G27" s="7">
        <v>1</v>
      </c>
      <c r="H27" s="5">
        <v>180</v>
      </c>
      <c r="I27" s="5" t="s">
        <v>83</v>
      </c>
      <c r="J27" s="5"/>
      <c r="K27" s="5">
        <f>VLOOKUP(A27,[1]TDSheet!$A:$E,5,0)</f>
        <v>165.1</v>
      </c>
      <c r="L27" s="5">
        <f t="shared" si="2"/>
        <v>-9.9999999999994316E-2</v>
      </c>
      <c r="M27" s="5"/>
      <c r="N27" s="5"/>
      <c r="O27" s="5">
        <v>126</v>
      </c>
      <c r="P27" s="5">
        <f t="shared" si="3"/>
        <v>33</v>
      </c>
      <c r="Q27" s="4">
        <f t="shared" si="14"/>
        <v>195</v>
      </c>
      <c r="R27" s="4">
        <f>AG27*AH27</f>
        <v>210</v>
      </c>
      <c r="S27" s="5">
        <f t="shared" si="4"/>
        <v>14.454545454545455</v>
      </c>
      <c r="T27" s="5">
        <f t="shared" si="5"/>
        <v>8.0909090909090917</v>
      </c>
      <c r="U27" s="5">
        <v>29.4</v>
      </c>
      <c r="V27" s="5">
        <v>30.6</v>
      </c>
      <c r="W27" s="5">
        <v>42.6</v>
      </c>
      <c r="X27" s="5">
        <v>33.6</v>
      </c>
      <c r="Y27" s="5">
        <v>27</v>
      </c>
      <c r="Z27" s="5">
        <v>31.8</v>
      </c>
      <c r="AA27" s="5">
        <v>40.799999999999997</v>
      </c>
      <c r="AB27" s="5">
        <v>37.200000000000003</v>
      </c>
      <c r="AC27" s="5">
        <v>26.4</v>
      </c>
      <c r="AD27" s="5">
        <v>34.200000000000003</v>
      </c>
      <c r="AE27" s="5"/>
      <c r="AF27" s="5">
        <f>G27*Q27</f>
        <v>195</v>
      </c>
      <c r="AG27" s="7">
        <v>3</v>
      </c>
      <c r="AH27" s="9">
        <f>MROUND(Q27, AG27*AJ27)/AG27</f>
        <v>70</v>
      </c>
      <c r="AI27" s="5">
        <f>AH27*AG27*G27</f>
        <v>210</v>
      </c>
      <c r="AJ27" s="5">
        <v>14</v>
      </c>
      <c r="AK27" s="5">
        <v>126</v>
      </c>
      <c r="AL27" s="9">
        <f>AH27/AK27</f>
        <v>0.55555555555555558</v>
      </c>
      <c r="AM27" s="5"/>
      <c r="AN27" s="5"/>
      <c r="AO27" s="5"/>
      <c r="AP27" s="5"/>
      <c r="AQ27" s="5"/>
      <c r="AR27" s="5"/>
      <c r="AS27" s="5"/>
      <c r="AT27" s="5"/>
      <c r="AU27" s="5"/>
    </row>
    <row r="28" spans="1:47" x14ac:dyDescent="0.25">
      <c r="A28" s="5" t="s">
        <v>84</v>
      </c>
      <c r="B28" s="5" t="s">
        <v>42</v>
      </c>
      <c r="C28" s="5">
        <v>517</v>
      </c>
      <c r="D28" s="5">
        <v>1</v>
      </c>
      <c r="E28" s="5">
        <v>305</v>
      </c>
      <c r="F28" s="5">
        <v>213</v>
      </c>
      <c r="G28" s="7">
        <v>0.25</v>
      </c>
      <c r="H28" s="5">
        <v>365</v>
      </c>
      <c r="I28" s="5" t="s">
        <v>85</v>
      </c>
      <c r="J28" s="5"/>
      <c r="K28" s="5">
        <f>VLOOKUP(A28,[1]TDSheet!$A:$E,5,0)</f>
        <v>306</v>
      </c>
      <c r="L28" s="5">
        <f t="shared" si="2"/>
        <v>-1</v>
      </c>
      <c r="M28" s="5"/>
      <c r="N28" s="5"/>
      <c r="O28" s="5">
        <v>756</v>
      </c>
      <c r="P28" s="5">
        <f t="shared" si="3"/>
        <v>61</v>
      </c>
      <c r="Q28" s="4"/>
      <c r="R28" s="4">
        <f>AG28*AH28</f>
        <v>0</v>
      </c>
      <c r="S28" s="5">
        <f t="shared" si="4"/>
        <v>15.885245901639344</v>
      </c>
      <c r="T28" s="5">
        <f t="shared" si="5"/>
        <v>15.885245901639344</v>
      </c>
      <c r="U28" s="5">
        <v>72.400000000000006</v>
      </c>
      <c r="V28" s="5">
        <v>61.2</v>
      </c>
      <c r="W28" s="5">
        <v>55.6</v>
      </c>
      <c r="X28" s="5">
        <v>47</v>
      </c>
      <c r="Y28" s="5">
        <v>68.599999999999994</v>
      </c>
      <c r="Z28" s="5">
        <v>36.6</v>
      </c>
      <c r="AA28" s="5">
        <v>65.8</v>
      </c>
      <c r="AB28" s="5">
        <v>54.6</v>
      </c>
      <c r="AC28" s="5">
        <v>39.200000000000003</v>
      </c>
      <c r="AD28" s="5">
        <v>46.2</v>
      </c>
      <c r="AE28" s="5"/>
      <c r="AF28" s="5">
        <f>G28*Q28</f>
        <v>0</v>
      </c>
      <c r="AG28" s="7">
        <v>6</v>
      </c>
      <c r="AH28" s="9">
        <f>MROUND(Q28, AG28*AJ28)/AG28</f>
        <v>0</v>
      </c>
      <c r="AI28" s="5">
        <f>AH28*AG28*G28</f>
        <v>0</v>
      </c>
      <c r="AJ28" s="5">
        <v>14</v>
      </c>
      <c r="AK28" s="5">
        <v>140</v>
      </c>
      <c r="AL28" s="9">
        <f>AH28/AK28</f>
        <v>0</v>
      </c>
      <c r="AM28" s="5"/>
      <c r="AN28" s="5"/>
      <c r="AO28" s="5"/>
      <c r="AP28" s="5"/>
      <c r="AQ28" s="5"/>
      <c r="AR28" s="5"/>
      <c r="AS28" s="5"/>
      <c r="AT28" s="5"/>
      <c r="AU28" s="5"/>
    </row>
    <row r="29" spans="1:47" x14ac:dyDescent="0.25">
      <c r="A29" s="5" t="s">
        <v>86</v>
      </c>
      <c r="B29" s="5" t="s">
        <v>42</v>
      </c>
      <c r="C29" s="5">
        <v>341</v>
      </c>
      <c r="D29" s="5"/>
      <c r="E29" s="5">
        <v>340</v>
      </c>
      <c r="F29" s="5">
        <v>1</v>
      </c>
      <c r="G29" s="7">
        <v>0.25</v>
      </c>
      <c r="H29" s="5">
        <v>365</v>
      </c>
      <c r="I29" s="5" t="s">
        <v>87</v>
      </c>
      <c r="J29" s="5"/>
      <c r="K29" s="5">
        <f>VLOOKUP(A29,[1]TDSheet!$A:$E,5,0)</f>
        <v>629</v>
      </c>
      <c r="L29" s="5">
        <f t="shared" si="2"/>
        <v>-289</v>
      </c>
      <c r="M29" s="5"/>
      <c r="N29" s="5"/>
      <c r="O29" s="5">
        <v>1344</v>
      </c>
      <c r="P29" s="5">
        <f t="shared" si="3"/>
        <v>68</v>
      </c>
      <c r="Q29" s="4"/>
      <c r="R29" s="4">
        <f>AG29*AH29</f>
        <v>0</v>
      </c>
      <c r="S29" s="5">
        <f t="shared" si="4"/>
        <v>19.779411764705884</v>
      </c>
      <c r="T29" s="5">
        <f t="shared" si="5"/>
        <v>19.779411764705884</v>
      </c>
      <c r="U29" s="5">
        <v>96.4</v>
      </c>
      <c r="V29" s="5">
        <v>54.2</v>
      </c>
      <c r="W29" s="5">
        <v>52</v>
      </c>
      <c r="X29" s="5">
        <v>55.2</v>
      </c>
      <c r="Y29" s="5">
        <v>44.8</v>
      </c>
      <c r="Z29" s="5">
        <v>54.2</v>
      </c>
      <c r="AA29" s="5">
        <v>51.4</v>
      </c>
      <c r="AB29" s="5">
        <v>48</v>
      </c>
      <c r="AC29" s="5">
        <v>38.200000000000003</v>
      </c>
      <c r="AD29" s="5">
        <v>63.6</v>
      </c>
      <c r="AE29" s="5"/>
      <c r="AF29" s="5">
        <f>G29*Q29</f>
        <v>0</v>
      </c>
      <c r="AG29" s="7">
        <v>6</v>
      </c>
      <c r="AH29" s="9">
        <f>MROUND(Q29, AG29*AJ29)/AG29</f>
        <v>0</v>
      </c>
      <c r="AI29" s="5">
        <f>AH29*AG29*G29</f>
        <v>0</v>
      </c>
      <c r="AJ29" s="5">
        <v>14</v>
      </c>
      <c r="AK29" s="5">
        <v>140</v>
      </c>
      <c r="AL29" s="9">
        <f>AH29/AK29</f>
        <v>0</v>
      </c>
      <c r="AM29" s="5"/>
      <c r="AN29" s="5"/>
      <c r="AO29" s="5"/>
      <c r="AP29" s="5"/>
      <c r="AQ29" s="5"/>
      <c r="AR29" s="5"/>
      <c r="AS29" s="5"/>
      <c r="AT29" s="5"/>
      <c r="AU29" s="5"/>
    </row>
    <row r="30" spans="1:47" x14ac:dyDescent="0.25">
      <c r="A30" s="13" t="s">
        <v>88</v>
      </c>
      <c r="B30" s="13" t="s">
        <v>42</v>
      </c>
      <c r="C30" s="13"/>
      <c r="D30" s="13"/>
      <c r="E30" s="13">
        <v>2</v>
      </c>
      <c r="F30" s="13">
        <v>-2</v>
      </c>
      <c r="G30" s="14">
        <v>0</v>
      </c>
      <c r="H30" s="13"/>
      <c r="I30" s="13" t="s">
        <v>89</v>
      </c>
      <c r="J30" s="13"/>
      <c r="K30" s="13">
        <v>2</v>
      </c>
      <c r="L30" s="13">
        <f t="shared" si="2"/>
        <v>0</v>
      </c>
      <c r="M30" s="13"/>
      <c r="N30" s="13"/>
      <c r="O30" s="13"/>
      <c r="P30" s="13">
        <f t="shared" si="3"/>
        <v>0.4</v>
      </c>
      <c r="Q30" s="15"/>
      <c r="R30" s="15"/>
      <c r="S30" s="13">
        <f t="shared" si="4"/>
        <v>-5</v>
      </c>
      <c r="T30" s="13">
        <f t="shared" si="5"/>
        <v>-5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/>
      <c r="AF30" s="13"/>
      <c r="AG30" s="14"/>
      <c r="AH30" s="16"/>
      <c r="AI30" s="13"/>
      <c r="AJ30" s="13"/>
      <c r="AK30" s="13"/>
      <c r="AL30" s="16"/>
      <c r="AM30" s="5"/>
      <c r="AN30" s="5"/>
      <c r="AO30" s="5"/>
      <c r="AP30" s="5"/>
      <c r="AQ30" s="5"/>
      <c r="AR30" s="5"/>
      <c r="AS30" s="5"/>
      <c r="AT30" s="5"/>
      <c r="AU30" s="5"/>
    </row>
    <row r="31" spans="1:47" x14ac:dyDescent="0.25">
      <c r="A31" s="5" t="s">
        <v>90</v>
      </c>
      <c r="B31" s="5" t="s">
        <v>77</v>
      </c>
      <c r="C31" s="5">
        <v>680</v>
      </c>
      <c r="D31" s="5"/>
      <c r="E31" s="5">
        <v>390</v>
      </c>
      <c r="F31" s="5">
        <v>290</v>
      </c>
      <c r="G31" s="7">
        <v>1</v>
      </c>
      <c r="H31" s="5">
        <v>180</v>
      </c>
      <c r="I31" s="5" t="s">
        <v>91</v>
      </c>
      <c r="J31" s="5"/>
      <c r="K31" s="5">
        <f>VLOOKUP(A31,[1]TDSheet!$A:$E,5,0)</f>
        <v>395</v>
      </c>
      <c r="L31" s="5">
        <f t="shared" si="2"/>
        <v>-5</v>
      </c>
      <c r="M31" s="5"/>
      <c r="N31" s="5"/>
      <c r="O31" s="5">
        <v>792</v>
      </c>
      <c r="P31" s="5">
        <f t="shared" si="3"/>
        <v>78</v>
      </c>
      <c r="Q31" s="4">
        <f>15*P31-O31-F31</f>
        <v>88</v>
      </c>
      <c r="R31" s="4">
        <f t="shared" ref="R31:R72" si="15">AG31*AH31</f>
        <v>72</v>
      </c>
      <c r="S31" s="5">
        <f t="shared" si="4"/>
        <v>14.794871794871796</v>
      </c>
      <c r="T31" s="5">
        <f t="shared" si="5"/>
        <v>13.871794871794872</v>
      </c>
      <c r="U31" s="5">
        <v>83.8</v>
      </c>
      <c r="V31" s="5">
        <v>74.2</v>
      </c>
      <c r="W31" s="5">
        <v>100.8</v>
      </c>
      <c r="X31" s="5">
        <v>80.400000000000006</v>
      </c>
      <c r="Y31" s="5">
        <v>96</v>
      </c>
      <c r="Z31" s="5">
        <v>79</v>
      </c>
      <c r="AA31" s="5">
        <v>100.6</v>
      </c>
      <c r="AB31" s="5">
        <v>96</v>
      </c>
      <c r="AC31" s="5">
        <v>93.8</v>
      </c>
      <c r="AD31" s="5">
        <v>87.6</v>
      </c>
      <c r="AE31" s="5"/>
      <c r="AF31" s="5">
        <f t="shared" ref="AF31:AF72" si="16">G31*Q31</f>
        <v>88</v>
      </c>
      <c r="AG31" s="7">
        <v>6</v>
      </c>
      <c r="AH31" s="9">
        <f t="shared" ref="AH31:AH72" si="17">MROUND(Q31, AG31*AJ31)/AG31</f>
        <v>12</v>
      </c>
      <c r="AI31" s="5">
        <f t="shared" ref="AI31:AI72" si="18">AH31*AG31*G31</f>
        <v>72</v>
      </c>
      <c r="AJ31" s="5">
        <v>12</v>
      </c>
      <c r="AK31" s="5">
        <v>84</v>
      </c>
      <c r="AL31" s="9">
        <f t="shared" ref="AL31:AL72" si="19">AH31/AK31</f>
        <v>0.14285714285714285</v>
      </c>
      <c r="AM31" s="5"/>
      <c r="AN31" s="5"/>
      <c r="AO31" s="5"/>
      <c r="AP31" s="5"/>
      <c r="AQ31" s="5"/>
      <c r="AR31" s="5"/>
      <c r="AS31" s="5"/>
      <c r="AT31" s="5"/>
      <c r="AU31" s="5"/>
    </row>
    <row r="32" spans="1:47" x14ac:dyDescent="0.25">
      <c r="A32" s="5" t="s">
        <v>92</v>
      </c>
      <c r="B32" s="5" t="s">
        <v>42</v>
      </c>
      <c r="C32" s="5">
        <v>577</v>
      </c>
      <c r="D32" s="5"/>
      <c r="E32" s="5">
        <v>307</v>
      </c>
      <c r="F32" s="5">
        <v>270</v>
      </c>
      <c r="G32" s="7">
        <v>0.23</v>
      </c>
      <c r="H32" s="5">
        <v>180</v>
      </c>
      <c r="I32" s="5" t="s">
        <v>93</v>
      </c>
      <c r="J32" s="5"/>
      <c r="K32" s="5">
        <f>VLOOKUP(A32,[1]TDSheet!$A:$E,5,0)</f>
        <v>307</v>
      </c>
      <c r="L32" s="5">
        <f t="shared" si="2"/>
        <v>0</v>
      </c>
      <c r="M32" s="5"/>
      <c r="N32" s="5"/>
      <c r="O32" s="5">
        <v>168</v>
      </c>
      <c r="P32" s="5">
        <f t="shared" si="3"/>
        <v>61.4</v>
      </c>
      <c r="Q32" s="4">
        <f t="shared" ref="Q32:Q69" si="20">14*P32-O32-F32</f>
        <v>421.6</v>
      </c>
      <c r="R32" s="4">
        <f t="shared" si="15"/>
        <v>504</v>
      </c>
      <c r="S32" s="5">
        <f t="shared" si="4"/>
        <v>15.342019543973942</v>
      </c>
      <c r="T32" s="5">
        <f t="shared" si="5"/>
        <v>7.133550488599349</v>
      </c>
      <c r="U32" s="5">
        <v>41.4</v>
      </c>
      <c r="V32" s="5">
        <v>53.8</v>
      </c>
      <c r="W32" s="5">
        <v>57.8</v>
      </c>
      <c r="X32" s="5">
        <v>53.6</v>
      </c>
      <c r="Y32" s="5">
        <v>61.6</v>
      </c>
      <c r="Z32" s="5">
        <v>22.8</v>
      </c>
      <c r="AA32" s="5">
        <v>43.4</v>
      </c>
      <c r="AB32" s="5">
        <v>23.6</v>
      </c>
      <c r="AC32" s="5">
        <v>60.6</v>
      </c>
      <c r="AD32" s="5">
        <v>14.8</v>
      </c>
      <c r="AE32" s="5"/>
      <c r="AF32" s="5">
        <f t="shared" si="16"/>
        <v>96.968000000000004</v>
      </c>
      <c r="AG32" s="7">
        <v>12</v>
      </c>
      <c r="AH32" s="9">
        <f t="shared" si="17"/>
        <v>42</v>
      </c>
      <c r="AI32" s="5">
        <f t="shared" si="18"/>
        <v>115.92</v>
      </c>
      <c r="AJ32" s="5">
        <v>14</v>
      </c>
      <c r="AK32" s="5">
        <v>70</v>
      </c>
      <c r="AL32" s="9">
        <f t="shared" si="19"/>
        <v>0.6</v>
      </c>
      <c r="AM32" s="5"/>
      <c r="AN32" s="5"/>
      <c r="AO32" s="5"/>
      <c r="AP32" s="5"/>
      <c r="AQ32" s="5"/>
      <c r="AR32" s="5"/>
      <c r="AS32" s="5"/>
      <c r="AT32" s="5"/>
      <c r="AU32" s="5"/>
    </row>
    <row r="33" spans="1:47" x14ac:dyDescent="0.25">
      <c r="A33" s="5" t="s">
        <v>94</v>
      </c>
      <c r="B33" s="5" t="s">
        <v>42</v>
      </c>
      <c r="C33" s="5">
        <v>1403</v>
      </c>
      <c r="D33" s="5">
        <v>5</v>
      </c>
      <c r="E33" s="5">
        <v>406</v>
      </c>
      <c r="F33" s="5">
        <v>997</v>
      </c>
      <c r="G33" s="7">
        <v>0.25</v>
      </c>
      <c r="H33" s="5">
        <v>365</v>
      </c>
      <c r="I33" s="5" t="s">
        <v>95</v>
      </c>
      <c r="J33" s="5"/>
      <c r="K33" s="5">
        <f>VLOOKUP(A33,[1]TDSheet!$A:$E,5,0)</f>
        <v>411</v>
      </c>
      <c r="L33" s="5">
        <f t="shared" si="2"/>
        <v>-5</v>
      </c>
      <c r="M33" s="5"/>
      <c r="N33" s="5"/>
      <c r="O33" s="5">
        <v>0</v>
      </c>
      <c r="P33" s="5">
        <f t="shared" si="3"/>
        <v>81.2</v>
      </c>
      <c r="Q33" s="4">
        <f t="shared" si="20"/>
        <v>139.79999999999995</v>
      </c>
      <c r="R33" s="4">
        <f t="shared" si="15"/>
        <v>168</v>
      </c>
      <c r="S33" s="5">
        <f t="shared" si="4"/>
        <v>14.347290640394089</v>
      </c>
      <c r="T33" s="5">
        <f t="shared" si="5"/>
        <v>12.278325123152708</v>
      </c>
      <c r="U33" s="5">
        <v>82.4</v>
      </c>
      <c r="V33" s="5">
        <v>130.19999999999999</v>
      </c>
      <c r="W33" s="5">
        <v>116.8</v>
      </c>
      <c r="X33" s="5">
        <v>116</v>
      </c>
      <c r="Y33" s="5">
        <v>107.2</v>
      </c>
      <c r="Z33" s="5">
        <v>101.8</v>
      </c>
      <c r="AA33" s="5">
        <v>111.8</v>
      </c>
      <c r="AB33" s="5">
        <v>103.2</v>
      </c>
      <c r="AC33" s="5">
        <v>81.2</v>
      </c>
      <c r="AD33" s="5">
        <v>79.400000000000006</v>
      </c>
      <c r="AE33" s="5"/>
      <c r="AF33" s="5">
        <f t="shared" si="16"/>
        <v>34.949999999999989</v>
      </c>
      <c r="AG33" s="7">
        <v>12</v>
      </c>
      <c r="AH33" s="9">
        <f t="shared" si="17"/>
        <v>14</v>
      </c>
      <c r="AI33" s="5">
        <f t="shared" si="18"/>
        <v>42</v>
      </c>
      <c r="AJ33" s="5">
        <v>14</v>
      </c>
      <c r="AK33" s="5">
        <v>70</v>
      </c>
      <c r="AL33" s="9">
        <f t="shared" si="19"/>
        <v>0.2</v>
      </c>
      <c r="AM33" s="5"/>
      <c r="AN33" s="5"/>
      <c r="AO33" s="5"/>
      <c r="AP33" s="5"/>
      <c r="AQ33" s="5"/>
      <c r="AR33" s="5"/>
      <c r="AS33" s="5"/>
      <c r="AT33" s="5"/>
      <c r="AU33" s="5"/>
    </row>
    <row r="34" spans="1:47" x14ac:dyDescent="0.25">
      <c r="A34" s="5" t="s">
        <v>96</v>
      </c>
      <c r="B34" s="5" t="s">
        <v>42</v>
      </c>
      <c r="C34" s="5">
        <v>1095</v>
      </c>
      <c r="D34" s="5"/>
      <c r="E34" s="5">
        <v>764</v>
      </c>
      <c r="F34" s="5">
        <v>331</v>
      </c>
      <c r="G34" s="7">
        <v>0.25</v>
      </c>
      <c r="H34" s="5">
        <v>365</v>
      </c>
      <c r="I34" s="5" t="s">
        <v>97</v>
      </c>
      <c r="J34" s="5"/>
      <c r="K34" s="5">
        <f>VLOOKUP(A34,[1]TDSheet!$A:$E,5,0)</f>
        <v>764</v>
      </c>
      <c r="L34" s="5">
        <f t="shared" si="2"/>
        <v>0</v>
      </c>
      <c r="M34" s="5"/>
      <c r="N34" s="5"/>
      <c r="O34" s="5">
        <v>1344</v>
      </c>
      <c r="P34" s="5">
        <f t="shared" si="3"/>
        <v>152.80000000000001</v>
      </c>
      <c r="Q34" s="4">
        <f t="shared" si="20"/>
        <v>464.20000000000027</v>
      </c>
      <c r="R34" s="4">
        <f t="shared" si="15"/>
        <v>504</v>
      </c>
      <c r="S34" s="5">
        <f t="shared" si="4"/>
        <v>14.26047120418848</v>
      </c>
      <c r="T34" s="5">
        <f t="shared" si="5"/>
        <v>10.962041884816752</v>
      </c>
      <c r="U34" s="5">
        <v>135.80000000000001</v>
      </c>
      <c r="V34" s="5">
        <v>117.4</v>
      </c>
      <c r="W34" s="5">
        <v>75</v>
      </c>
      <c r="X34" s="5">
        <v>102.2</v>
      </c>
      <c r="Y34" s="5">
        <v>80.8</v>
      </c>
      <c r="Z34" s="5">
        <v>75.599999999999994</v>
      </c>
      <c r="AA34" s="5">
        <v>120.8</v>
      </c>
      <c r="AB34" s="5">
        <v>101.2</v>
      </c>
      <c r="AC34" s="5">
        <v>66.8</v>
      </c>
      <c r="AD34" s="5">
        <v>73.599999999999994</v>
      </c>
      <c r="AE34" s="5"/>
      <c r="AF34" s="5">
        <f t="shared" si="16"/>
        <v>116.05000000000007</v>
      </c>
      <c r="AG34" s="7">
        <v>12</v>
      </c>
      <c r="AH34" s="9">
        <f t="shared" si="17"/>
        <v>42</v>
      </c>
      <c r="AI34" s="5">
        <f t="shared" si="18"/>
        <v>126</v>
      </c>
      <c r="AJ34" s="5">
        <v>14</v>
      </c>
      <c r="AK34" s="5">
        <v>70</v>
      </c>
      <c r="AL34" s="9">
        <f t="shared" si="19"/>
        <v>0.6</v>
      </c>
      <c r="AM34" s="5"/>
      <c r="AN34" s="5"/>
      <c r="AO34" s="5"/>
      <c r="AP34" s="5"/>
      <c r="AQ34" s="5"/>
      <c r="AR34" s="5"/>
      <c r="AS34" s="5"/>
      <c r="AT34" s="5"/>
      <c r="AU34" s="5"/>
    </row>
    <row r="35" spans="1:47" x14ac:dyDescent="0.25">
      <c r="A35" s="5" t="s">
        <v>98</v>
      </c>
      <c r="B35" s="5" t="s">
        <v>42</v>
      </c>
      <c r="C35" s="5">
        <v>653</v>
      </c>
      <c r="D35" s="5">
        <v>5</v>
      </c>
      <c r="E35" s="5">
        <v>243</v>
      </c>
      <c r="F35" s="5">
        <v>410</v>
      </c>
      <c r="G35" s="7">
        <v>0.25</v>
      </c>
      <c r="H35" s="5">
        <v>180</v>
      </c>
      <c r="I35" s="5" t="s">
        <v>99</v>
      </c>
      <c r="J35" s="5"/>
      <c r="K35" s="5">
        <f>VLOOKUP(A35,[1]TDSheet!$A:$E,5,0)</f>
        <v>249</v>
      </c>
      <c r="L35" s="5">
        <f t="shared" si="2"/>
        <v>-6</v>
      </c>
      <c r="M35" s="5"/>
      <c r="N35" s="5"/>
      <c r="O35" s="5">
        <v>336</v>
      </c>
      <c r="P35" s="5">
        <f t="shared" si="3"/>
        <v>48.6</v>
      </c>
      <c r="Q35" s="4"/>
      <c r="R35" s="4">
        <f t="shared" si="15"/>
        <v>0</v>
      </c>
      <c r="S35" s="5">
        <f t="shared" si="4"/>
        <v>15.349794238683128</v>
      </c>
      <c r="T35" s="5">
        <f t="shared" si="5"/>
        <v>15.349794238683128</v>
      </c>
      <c r="U35" s="5">
        <v>52</v>
      </c>
      <c r="V35" s="5">
        <v>60.6</v>
      </c>
      <c r="W35" s="5">
        <v>63.6</v>
      </c>
      <c r="X35" s="5">
        <v>58.2</v>
      </c>
      <c r="Y35" s="5">
        <v>23</v>
      </c>
      <c r="Z35" s="5">
        <v>71.599999999999994</v>
      </c>
      <c r="AA35" s="5">
        <v>30.4</v>
      </c>
      <c r="AB35" s="5">
        <v>63</v>
      </c>
      <c r="AC35" s="5">
        <v>48.8</v>
      </c>
      <c r="AD35" s="5">
        <v>50</v>
      </c>
      <c r="AE35" s="5"/>
      <c r="AF35" s="5">
        <f t="shared" si="16"/>
        <v>0</v>
      </c>
      <c r="AG35" s="7">
        <v>12</v>
      </c>
      <c r="AH35" s="9">
        <f t="shared" si="17"/>
        <v>0</v>
      </c>
      <c r="AI35" s="5">
        <f t="shared" si="18"/>
        <v>0</v>
      </c>
      <c r="AJ35" s="5">
        <v>14</v>
      </c>
      <c r="AK35" s="5">
        <v>70</v>
      </c>
      <c r="AL35" s="9">
        <f t="shared" si="19"/>
        <v>0</v>
      </c>
      <c r="AM35" s="5"/>
      <c r="AN35" s="5"/>
      <c r="AO35" s="5"/>
      <c r="AP35" s="5"/>
      <c r="AQ35" s="5"/>
      <c r="AR35" s="5"/>
      <c r="AS35" s="5"/>
      <c r="AT35" s="5"/>
      <c r="AU35" s="5"/>
    </row>
    <row r="36" spans="1:47" x14ac:dyDescent="0.25">
      <c r="A36" s="5" t="s">
        <v>100</v>
      </c>
      <c r="B36" s="5" t="s">
        <v>42</v>
      </c>
      <c r="C36" s="5">
        <v>190</v>
      </c>
      <c r="D36" s="5"/>
      <c r="E36" s="5">
        <v>68</v>
      </c>
      <c r="F36" s="5">
        <v>122</v>
      </c>
      <c r="G36" s="7">
        <v>0.25</v>
      </c>
      <c r="H36" s="5">
        <v>180</v>
      </c>
      <c r="I36" s="5" t="s">
        <v>101</v>
      </c>
      <c r="J36" s="5"/>
      <c r="K36" s="5">
        <f>VLOOKUP(A36,[1]TDSheet!$A:$E,5,0)</f>
        <v>68</v>
      </c>
      <c r="L36" s="5">
        <f t="shared" si="2"/>
        <v>0</v>
      </c>
      <c r="M36" s="5"/>
      <c r="N36" s="5"/>
      <c r="O36" s="5">
        <v>0</v>
      </c>
      <c r="P36" s="5">
        <f t="shared" si="3"/>
        <v>13.6</v>
      </c>
      <c r="Q36" s="4">
        <f>16*P36-O36-F36</f>
        <v>95.6</v>
      </c>
      <c r="R36" s="4">
        <f t="shared" si="15"/>
        <v>168</v>
      </c>
      <c r="S36" s="5">
        <f t="shared" si="4"/>
        <v>21.323529411764707</v>
      </c>
      <c r="T36" s="5">
        <f t="shared" si="5"/>
        <v>8.9705882352941178</v>
      </c>
      <c r="U36" s="5">
        <v>16</v>
      </c>
      <c r="V36" s="5">
        <v>20</v>
      </c>
      <c r="W36" s="5">
        <v>11.6</v>
      </c>
      <c r="X36" s="5">
        <v>9.8000000000000007</v>
      </c>
      <c r="Y36" s="5">
        <v>13.8</v>
      </c>
      <c r="Z36" s="5">
        <v>2.6</v>
      </c>
      <c r="AA36" s="5">
        <v>12.4</v>
      </c>
      <c r="AB36" s="5">
        <v>9</v>
      </c>
      <c r="AC36" s="5">
        <v>8.4</v>
      </c>
      <c r="AD36" s="5">
        <v>10.4</v>
      </c>
      <c r="AE36" s="5"/>
      <c r="AF36" s="5">
        <f t="shared" si="16"/>
        <v>23.9</v>
      </c>
      <c r="AG36" s="7">
        <v>12</v>
      </c>
      <c r="AH36" s="9">
        <f t="shared" si="17"/>
        <v>14</v>
      </c>
      <c r="AI36" s="5">
        <f t="shared" si="18"/>
        <v>42</v>
      </c>
      <c r="AJ36" s="5">
        <v>14</v>
      </c>
      <c r="AK36" s="5">
        <v>70</v>
      </c>
      <c r="AL36" s="9">
        <f t="shared" si="19"/>
        <v>0.2</v>
      </c>
      <c r="AM36" s="5"/>
      <c r="AN36" s="5"/>
      <c r="AO36" s="5"/>
      <c r="AP36" s="5"/>
      <c r="AQ36" s="5"/>
      <c r="AR36" s="5"/>
      <c r="AS36" s="5"/>
      <c r="AT36" s="5"/>
      <c r="AU36" s="5"/>
    </row>
    <row r="37" spans="1:47" x14ac:dyDescent="0.25">
      <c r="A37" s="5" t="s">
        <v>102</v>
      </c>
      <c r="B37" s="5" t="s">
        <v>42</v>
      </c>
      <c r="C37" s="5">
        <v>357</v>
      </c>
      <c r="D37" s="5"/>
      <c r="E37" s="5">
        <v>154</v>
      </c>
      <c r="F37" s="5">
        <v>203</v>
      </c>
      <c r="G37" s="7">
        <v>0.7</v>
      </c>
      <c r="H37" s="5">
        <v>180</v>
      </c>
      <c r="I37" s="5" t="s">
        <v>103</v>
      </c>
      <c r="J37" s="5"/>
      <c r="K37" s="5">
        <f>VLOOKUP(A37,[1]TDSheet!$A:$E,5,0)</f>
        <v>154</v>
      </c>
      <c r="L37" s="5">
        <f t="shared" si="2"/>
        <v>0</v>
      </c>
      <c r="M37" s="5"/>
      <c r="N37" s="5"/>
      <c r="O37" s="5">
        <v>96</v>
      </c>
      <c r="P37" s="5">
        <f t="shared" si="3"/>
        <v>30.8</v>
      </c>
      <c r="Q37" s="4">
        <f t="shared" si="20"/>
        <v>132.19999999999999</v>
      </c>
      <c r="R37" s="4">
        <f t="shared" si="15"/>
        <v>96</v>
      </c>
      <c r="S37" s="5">
        <f t="shared" si="4"/>
        <v>12.824675324675324</v>
      </c>
      <c r="T37" s="5">
        <f t="shared" si="5"/>
        <v>9.7077922077922079</v>
      </c>
      <c r="U37" s="5">
        <v>33.799999999999997</v>
      </c>
      <c r="V37" s="5">
        <v>38</v>
      </c>
      <c r="W37" s="5">
        <v>33.4</v>
      </c>
      <c r="X37" s="5">
        <v>31.2</v>
      </c>
      <c r="Y37" s="5">
        <v>24.2</v>
      </c>
      <c r="Z37" s="5">
        <v>36.4</v>
      </c>
      <c r="AA37" s="5">
        <v>29.6</v>
      </c>
      <c r="AB37" s="5">
        <v>28.6</v>
      </c>
      <c r="AC37" s="5">
        <v>22.8</v>
      </c>
      <c r="AD37" s="5">
        <v>23.4</v>
      </c>
      <c r="AE37" s="5"/>
      <c r="AF37" s="5">
        <f t="shared" si="16"/>
        <v>92.539999999999992</v>
      </c>
      <c r="AG37" s="7">
        <v>8</v>
      </c>
      <c r="AH37" s="9">
        <f t="shared" si="17"/>
        <v>12</v>
      </c>
      <c r="AI37" s="5">
        <f t="shared" si="18"/>
        <v>67.199999999999989</v>
      </c>
      <c r="AJ37" s="5">
        <v>12</v>
      </c>
      <c r="AK37" s="5">
        <v>84</v>
      </c>
      <c r="AL37" s="9">
        <f t="shared" si="19"/>
        <v>0.14285714285714285</v>
      </c>
      <c r="AM37" s="5"/>
      <c r="AN37" s="5"/>
      <c r="AO37" s="5"/>
      <c r="AP37" s="5"/>
      <c r="AQ37" s="5"/>
      <c r="AR37" s="5"/>
      <c r="AS37" s="5"/>
      <c r="AT37" s="5"/>
      <c r="AU37" s="5"/>
    </row>
    <row r="38" spans="1:47" x14ac:dyDescent="0.25">
      <c r="A38" s="5" t="s">
        <v>104</v>
      </c>
      <c r="B38" s="5" t="s">
        <v>42</v>
      </c>
      <c r="C38" s="5">
        <v>330</v>
      </c>
      <c r="D38" s="5"/>
      <c r="E38" s="5">
        <v>151</v>
      </c>
      <c r="F38" s="5">
        <v>179</v>
      </c>
      <c r="G38" s="7">
        <v>0.7</v>
      </c>
      <c r="H38" s="5">
        <v>180</v>
      </c>
      <c r="I38" s="5" t="s">
        <v>105</v>
      </c>
      <c r="J38" s="5"/>
      <c r="K38" s="5">
        <f>VLOOKUP(A38,[1]TDSheet!$A:$E,5,0)</f>
        <v>151</v>
      </c>
      <c r="L38" s="5">
        <f t="shared" ref="L38:L69" si="21">E38-K38</f>
        <v>0</v>
      </c>
      <c r="M38" s="5"/>
      <c r="N38" s="5"/>
      <c r="O38" s="5">
        <v>0</v>
      </c>
      <c r="P38" s="5">
        <f t="shared" ref="P38:P72" si="22">E38/5</f>
        <v>30.2</v>
      </c>
      <c r="Q38" s="4">
        <f t="shared" si="20"/>
        <v>243.8</v>
      </c>
      <c r="R38" s="4">
        <f t="shared" si="15"/>
        <v>288</v>
      </c>
      <c r="S38" s="5">
        <f t="shared" ref="S38:S69" si="23">(F38+O38+R38)/P38</f>
        <v>15.463576158940398</v>
      </c>
      <c r="T38" s="5">
        <f t="shared" ref="T38:T70" si="24">(F38+O38)/P38</f>
        <v>5.927152317880795</v>
      </c>
      <c r="U38" s="5">
        <v>26.6</v>
      </c>
      <c r="V38" s="5">
        <v>36</v>
      </c>
      <c r="W38" s="5">
        <v>37.799999999999997</v>
      </c>
      <c r="X38" s="5">
        <v>25.8</v>
      </c>
      <c r="Y38" s="5">
        <v>24</v>
      </c>
      <c r="Z38" s="5">
        <v>23.6</v>
      </c>
      <c r="AA38" s="5">
        <v>27.4</v>
      </c>
      <c r="AB38" s="5">
        <v>29.6</v>
      </c>
      <c r="AC38" s="5">
        <v>20.8</v>
      </c>
      <c r="AD38" s="5">
        <v>25.2</v>
      </c>
      <c r="AE38" s="5"/>
      <c r="AF38" s="5">
        <f t="shared" si="16"/>
        <v>170.66</v>
      </c>
      <c r="AG38" s="7">
        <v>8</v>
      </c>
      <c r="AH38" s="9">
        <f t="shared" si="17"/>
        <v>36</v>
      </c>
      <c r="AI38" s="5">
        <f t="shared" si="18"/>
        <v>201.6</v>
      </c>
      <c r="AJ38" s="5">
        <v>12</v>
      </c>
      <c r="AK38" s="5">
        <v>84</v>
      </c>
      <c r="AL38" s="9">
        <f t="shared" si="19"/>
        <v>0.42857142857142855</v>
      </c>
      <c r="AM38" s="5"/>
      <c r="AN38" s="5"/>
      <c r="AO38" s="5"/>
      <c r="AP38" s="5"/>
      <c r="AQ38" s="5"/>
      <c r="AR38" s="5"/>
      <c r="AS38" s="5"/>
      <c r="AT38" s="5"/>
      <c r="AU38" s="5"/>
    </row>
    <row r="39" spans="1:47" x14ac:dyDescent="0.25">
      <c r="A39" s="5" t="s">
        <v>106</v>
      </c>
      <c r="B39" s="5" t="s">
        <v>42</v>
      </c>
      <c r="C39" s="5">
        <v>338</v>
      </c>
      <c r="D39" s="5">
        <v>2</v>
      </c>
      <c r="E39" s="5">
        <v>127</v>
      </c>
      <c r="F39" s="5">
        <v>211</v>
      </c>
      <c r="G39" s="7">
        <v>0.7</v>
      </c>
      <c r="H39" s="5">
        <v>180</v>
      </c>
      <c r="I39" s="5" t="s">
        <v>107</v>
      </c>
      <c r="J39" s="5"/>
      <c r="K39" s="5">
        <f>VLOOKUP(A39,[1]TDSheet!$A:$E,5,0)</f>
        <v>129</v>
      </c>
      <c r="L39" s="5">
        <f t="shared" si="21"/>
        <v>-2</v>
      </c>
      <c r="M39" s="5"/>
      <c r="N39" s="5"/>
      <c r="O39" s="5">
        <v>0</v>
      </c>
      <c r="P39" s="5">
        <f t="shared" si="22"/>
        <v>25.4</v>
      </c>
      <c r="Q39" s="4">
        <f t="shared" si="20"/>
        <v>144.59999999999997</v>
      </c>
      <c r="R39" s="4">
        <f t="shared" si="15"/>
        <v>192</v>
      </c>
      <c r="S39" s="5">
        <f t="shared" si="23"/>
        <v>15.866141732283465</v>
      </c>
      <c r="T39" s="5">
        <f t="shared" si="24"/>
        <v>8.3070866141732296</v>
      </c>
      <c r="U39" s="5">
        <v>24.4</v>
      </c>
      <c r="V39" s="5">
        <v>31</v>
      </c>
      <c r="W39" s="5">
        <v>28.4</v>
      </c>
      <c r="X39" s="5">
        <v>21</v>
      </c>
      <c r="Y39" s="5">
        <v>20</v>
      </c>
      <c r="Z39" s="5">
        <v>17.399999999999999</v>
      </c>
      <c r="AA39" s="5">
        <v>29.2</v>
      </c>
      <c r="AB39" s="5">
        <v>23.6</v>
      </c>
      <c r="AC39" s="5">
        <v>17.600000000000001</v>
      </c>
      <c r="AD39" s="5">
        <v>22.4</v>
      </c>
      <c r="AE39" s="5"/>
      <c r="AF39" s="5">
        <f t="shared" si="16"/>
        <v>101.21999999999997</v>
      </c>
      <c r="AG39" s="7">
        <v>8</v>
      </c>
      <c r="AH39" s="9">
        <f t="shared" si="17"/>
        <v>24</v>
      </c>
      <c r="AI39" s="5">
        <f t="shared" si="18"/>
        <v>134.39999999999998</v>
      </c>
      <c r="AJ39" s="5">
        <v>12</v>
      </c>
      <c r="AK39" s="5">
        <v>84</v>
      </c>
      <c r="AL39" s="9">
        <f t="shared" si="19"/>
        <v>0.2857142857142857</v>
      </c>
      <c r="AM39" s="5"/>
      <c r="AN39" s="5"/>
      <c r="AO39" s="5"/>
      <c r="AP39" s="5"/>
      <c r="AQ39" s="5"/>
      <c r="AR39" s="5"/>
      <c r="AS39" s="5"/>
      <c r="AT39" s="5"/>
      <c r="AU39" s="5"/>
    </row>
    <row r="40" spans="1:47" x14ac:dyDescent="0.25">
      <c r="A40" s="5" t="s">
        <v>108</v>
      </c>
      <c r="B40" s="5" t="s">
        <v>42</v>
      </c>
      <c r="C40" s="5">
        <v>422</v>
      </c>
      <c r="D40" s="5"/>
      <c r="E40" s="5">
        <v>135</v>
      </c>
      <c r="F40" s="5">
        <v>287</v>
      </c>
      <c r="G40" s="7">
        <v>0.7</v>
      </c>
      <c r="H40" s="5">
        <v>180</v>
      </c>
      <c r="I40" s="5" t="s">
        <v>109</v>
      </c>
      <c r="J40" s="5"/>
      <c r="K40" s="5">
        <f>VLOOKUP(A40,[1]TDSheet!$A:$E,5,0)</f>
        <v>205</v>
      </c>
      <c r="L40" s="5">
        <f t="shared" si="21"/>
        <v>-70</v>
      </c>
      <c r="M40" s="5"/>
      <c r="N40" s="5"/>
      <c r="O40" s="5">
        <v>0</v>
      </c>
      <c r="P40" s="5">
        <f t="shared" si="22"/>
        <v>27</v>
      </c>
      <c r="Q40" s="4">
        <f t="shared" si="20"/>
        <v>91</v>
      </c>
      <c r="R40" s="4">
        <f t="shared" si="15"/>
        <v>120</v>
      </c>
      <c r="S40" s="5">
        <f t="shared" si="23"/>
        <v>15.074074074074074</v>
      </c>
      <c r="T40" s="5">
        <f t="shared" si="24"/>
        <v>10.62962962962963</v>
      </c>
      <c r="U40" s="5">
        <v>11.4</v>
      </c>
      <c r="V40" s="5">
        <v>36.6</v>
      </c>
      <c r="W40" s="5">
        <v>35.6</v>
      </c>
      <c r="X40" s="5">
        <v>22</v>
      </c>
      <c r="Y40" s="5">
        <v>38.6</v>
      </c>
      <c r="Z40" s="5">
        <v>9.6</v>
      </c>
      <c r="AA40" s="5">
        <v>23.4</v>
      </c>
      <c r="AB40" s="5">
        <v>8</v>
      </c>
      <c r="AC40" s="5">
        <v>30.6</v>
      </c>
      <c r="AD40" s="5">
        <v>11.4</v>
      </c>
      <c r="AE40" s="5"/>
      <c r="AF40" s="5">
        <f t="shared" si="16"/>
        <v>63.699999999999996</v>
      </c>
      <c r="AG40" s="7">
        <v>10</v>
      </c>
      <c r="AH40" s="9">
        <f t="shared" si="17"/>
        <v>12</v>
      </c>
      <c r="AI40" s="5">
        <f t="shared" si="18"/>
        <v>84</v>
      </c>
      <c r="AJ40" s="5">
        <v>12</v>
      </c>
      <c r="AK40" s="5">
        <v>84</v>
      </c>
      <c r="AL40" s="9">
        <f t="shared" si="19"/>
        <v>0.14285714285714285</v>
      </c>
      <c r="AM40" s="5"/>
      <c r="AN40" s="5"/>
      <c r="AO40" s="5"/>
      <c r="AP40" s="5"/>
      <c r="AQ40" s="5"/>
      <c r="AR40" s="5"/>
      <c r="AS40" s="5"/>
      <c r="AT40" s="5"/>
      <c r="AU40" s="5"/>
    </row>
    <row r="41" spans="1:47" x14ac:dyDescent="0.25">
      <c r="A41" s="5" t="s">
        <v>111</v>
      </c>
      <c r="B41" s="5" t="s">
        <v>42</v>
      </c>
      <c r="C41" s="5">
        <v>368</v>
      </c>
      <c r="D41" s="5"/>
      <c r="E41" s="5">
        <v>104</v>
      </c>
      <c r="F41" s="5">
        <v>264</v>
      </c>
      <c r="G41" s="7">
        <v>0.7</v>
      </c>
      <c r="H41" s="5">
        <v>180</v>
      </c>
      <c r="I41" s="5" t="s">
        <v>112</v>
      </c>
      <c r="J41" s="5"/>
      <c r="K41" s="5">
        <f>VLOOKUP(A41,[1]TDSheet!$A:$E,5,0)</f>
        <v>104</v>
      </c>
      <c r="L41" s="5">
        <f t="shared" si="21"/>
        <v>0</v>
      </c>
      <c r="M41" s="5"/>
      <c r="N41" s="5"/>
      <c r="O41" s="5">
        <v>0</v>
      </c>
      <c r="P41" s="5">
        <f t="shared" si="22"/>
        <v>20.8</v>
      </c>
      <c r="Q41" s="4">
        <f>16*P41-O41-F41</f>
        <v>68.800000000000011</v>
      </c>
      <c r="R41" s="4">
        <f t="shared" si="15"/>
        <v>120</v>
      </c>
      <c r="S41" s="5">
        <f t="shared" si="23"/>
        <v>18.46153846153846</v>
      </c>
      <c r="T41" s="5">
        <f t="shared" si="24"/>
        <v>12.692307692307692</v>
      </c>
      <c r="U41" s="5">
        <v>11</v>
      </c>
      <c r="V41" s="5">
        <v>22.4</v>
      </c>
      <c r="W41" s="5">
        <v>19</v>
      </c>
      <c r="X41" s="5">
        <v>19.399999999999999</v>
      </c>
      <c r="Y41" s="5">
        <v>16</v>
      </c>
      <c r="Z41" s="5">
        <v>14.6</v>
      </c>
      <c r="AA41" s="5">
        <v>19.600000000000001</v>
      </c>
      <c r="AB41" s="5">
        <v>21.4</v>
      </c>
      <c r="AC41" s="5">
        <v>12.8</v>
      </c>
      <c r="AD41" s="5">
        <v>26</v>
      </c>
      <c r="AE41" s="5"/>
      <c r="AF41" s="5">
        <f t="shared" si="16"/>
        <v>48.160000000000004</v>
      </c>
      <c r="AG41" s="7">
        <v>10</v>
      </c>
      <c r="AH41" s="9">
        <f t="shared" si="17"/>
        <v>12</v>
      </c>
      <c r="AI41" s="5">
        <f t="shared" si="18"/>
        <v>84</v>
      </c>
      <c r="AJ41" s="5">
        <v>12</v>
      </c>
      <c r="AK41" s="5">
        <v>84</v>
      </c>
      <c r="AL41" s="9">
        <f t="shared" si="19"/>
        <v>0.14285714285714285</v>
      </c>
      <c r="AM41" s="5"/>
      <c r="AN41" s="5"/>
      <c r="AO41" s="5"/>
      <c r="AP41" s="5"/>
      <c r="AQ41" s="5"/>
      <c r="AR41" s="5"/>
      <c r="AS41" s="5"/>
      <c r="AT41" s="5"/>
      <c r="AU41" s="5"/>
    </row>
    <row r="42" spans="1:47" x14ac:dyDescent="0.25">
      <c r="A42" s="5" t="s">
        <v>113</v>
      </c>
      <c r="B42" s="5" t="s">
        <v>42</v>
      </c>
      <c r="C42" s="5">
        <v>508</v>
      </c>
      <c r="D42" s="5">
        <v>13</v>
      </c>
      <c r="E42" s="5">
        <v>235</v>
      </c>
      <c r="F42" s="5">
        <v>285</v>
      </c>
      <c r="G42" s="7">
        <v>0.7</v>
      </c>
      <c r="H42" s="5">
        <v>180</v>
      </c>
      <c r="I42" s="5" t="s">
        <v>114</v>
      </c>
      <c r="J42" s="5"/>
      <c r="K42" s="5">
        <f>VLOOKUP(A42,[1]TDSheet!$A:$E,5,0)</f>
        <v>235</v>
      </c>
      <c r="L42" s="5">
        <f t="shared" si="21"/>
        <v>0</v>
      </c>
      <c r="M42" s="5"/>
      <c r="N42" s="5"/>
      <c r="O42" s="5">
        <v>0</v>
      </c>
      <c r="P42" s="5">
        <f t="shared" si="22"/>
        <v>47</v>
      </c>
      <c r="Q42" s="4">
        <f t="shared" si="20"/>
        <v>373</v>
      </c>
      <c r="R42" s="4">
        <f t="shared" si="15"/>
        <v>360</v>
      </c>
      <c r="S42" s="5">
        <f t="shared" si="23"/>
        <v>13.723404255319149</v>
      </c>
      <c r="T42" s="5">
        <f t="shared" si="24"/>
        <v>6.0638297872340425</v>
      </c>
      <c r="U42" s="5">
        <v>30</v>
      </c>
      <c r="V42" s="5">
        <v>44.4</v>
      </c>
      <c r="W42" s="5">
        <v>32.200000000000003</v>
      </c>
      <c r="X42" s="5">
        <v>40</v>
      </c>
      <c r="Y42" s="5">
        <v>34.799999999999997</v>
      </c>
      <c r="Z42" s="5">
        <v>38</v>
      </c>
      <c r="AA42" s="5">
        <v>42.6</v>
      </c>
      <c r="AB42" s="5">
        <v>32.6</v>
      </c>
      <c r="AC42" s="5">
        <v>33</v>
      </c>
      <c r="AD42" s="5">
        <v>35.4</v>
      </c>
      <c r="AE42" s="5"/>
      <c r="AF42" s="5">
        <f t="shared" si="16"/>
        <v>261.09999999999997</v>
      </c>
      <c r="AG42" s="7">
        <v>10</v>
      </c>
      <c r="AH42" s="9">
        <f t="shared" si="17"/>
        <v>36</v>
      </c>
      <c r="AI42" s="5">
        <f t="shared" si="18"/>
        <v>251.99999999999997</v>
      </c>
      <c r="AJ42" s="5">
        <v>12</v>
      </c>
      <c r="AK42" s="5">
        <v>84</v>
      </c>
      <c r="AL42" s="9">
        <f t="shared" si="19"/>
        <v>0.42857142857142855</v>
      </c>
      <c r="AM42" s="5"/>
      <c r="AN42" s="5"/>
      <c r="AO42" s="5"/>
      <c r="AP42" s="5"/>
      <c r="AQ42" s="5"/>
      <c r="AR42" s="5"/>
      <c r="AS42" s="5"/>
      <c r="AT42" s="5"/>
      <c r="AU42" s="5"/>
    </row>
    <row r="43" spans="1:47" x14ac:dyDescent="0.25">
      <c r="A43" s="5" t="s">
        <v>115</v>
      </c>
      <c r="B43" s="5" t="s">
        <v>42</v>
      </c>
      <c r="C43" s="5">
        <v>253</v>
      </c>
      <c r="D43" s="5"/>
      <c r="E43" s="5">
        <v>69</v>
      </c>
      <c r="F43" s="5">
        <v>184</v>
      </c>
      <c r="G43" s="7">
        <v>0.7</v>
      </c>
      <c r="H43" s="5">
        <v>180</v>
      </c>
      <c r="I43" s="5" t="s">
        <v>116</v>
      </c>
      <c r="J43" s="5"/>
      <c r="K43" s="5">
        <f>VLOOKUP(A43,[1]TDSheet!$A:$E,5,0)</f>
        <v>69</v>
      </c>
      <c r="L43" s="5">
        <f t="shared" si="21"/>
        <v>0</v>
      </c>
      <c r="M43" s="5"/>
      <c r="N43" s="5"/>
      <c r="O43" s="5">
        <v>0</v>
      </c>
      <c r="P43" s="5">
        <f t="shared" si="22"/>
        <v>13.8</v>
      </c>
      <c r="Q43" s="4">
        <f>18*P43-O43-F43</f>
        <v>64.400000000000006</v>
      </c>
      <c r="R43" s="4">
        <f t="shared" si="15"/>
        <v>120</v>
      </c>
      <c r="S43" s="5">
        <f t="shared" si="23"/>
        <v>22.028985507246375</v>
      </c>
      <c r="T43" s="5">
        <f t="shared" si="24"/>
        <v>13.333333333333332</v>
      </c>
      <c r="U43" s="5">
        <v>8.4</v>
      </c>
      <c r="V43" s="5">
        <v>15.8</v>
      </c>
      <c r="W43" s="5">
        <v>10.4</v>
      </c>
      <c r="X43" s="5">
        <v>11.8</v>
      </c>
      <c r="Y43" s="5">
        <v>13.2</v>
      </c>
      <c r="Z43" s="5">
        <v>15</v>
      </c>
      <c r="AA43" s="5">
        <v>18.8</v>
      </c>
      <c r="AB43" s="5">
        <v>9.6</v>
      </c>
      <c r="AC43" s="5">
        <v>10.8</v>
      </c>
      <c r="AD43" s="5">
        <v>14.2</v>
      </c>
      <c r="AE43" s="5"/>
      <c r="AF43" s="5">
        <f t="shared" si="16"/>
        <v>45.08</v>
      </c>
      <c r="AG43" s="7">
        <v>10</v>
      </c>
      <c r="AH43" s="9">
        <f t="shared" si="17"/>
        <v>12</v>
      </c>
      <c r="AI43" s="5">
        <f t="shared" si="18"/>
        <v>84</v>
      </c>
      <c r="AJ43" s="5">
        <v>12</v>
      </c>
      <c r="AK43" s="5">
        <v>84</v>
      </c>
      <c r="AL43" s="9">
        <f t="shared" si="19"/>
        <v>0.14285714285714285</v>
      </c>
      <c r="AM43" s="5"/>
      <c r="AN43" s="5"/>
      <c r="AO43" s="5"/>
      <c r="AP43" s="5"/>
      <c r="AQ43" s="5"/>
      <c r="AR43" s="5"/>
      <c r="AS43" s="5"/>
      <c r="AT43" s="5"/>
      <c r="AU43" s="5"/>
    </row>
    <row r="44" spans="1:47" x14ac:dyDescent="0.25">
      <c r="A44" s="5" t="s">
        <v>117</v>
      </c>
      <c r="B44" s="5" t="s">
        <v>77</v>
      </c>
      <c r="C44" s="5">
        <v>855</v>
      </c>
      <c r="D44" s="5">
        <v>5</v>
      </c>
      <c r="E44" s="5">
        <v>492</v>
      </c>
      <c r="F44" s="5">
        <v>368</v>
      </c>
      <c r="G44" s="7">
        <v>1</v>
      </c>
      <c r="H44" s="5">
        <v>180</v>
      </c>
      <c r="I44" s="5" t="s">
        <v>118</v>
      </c>
      <c r="J44" s="5"/>
      <c r="K44" s="5">
        <f>VLOOKUP(A44,[1]TDSheet!$A:$E,5,0)</f>
        <v>493</v>
      </c>
      <c r="L44" s="5">
        <f t="shared" si="21"/>
        <v>-1</v>
      </c>
      <c r="M44" s="5"/>
      <c r="N44" s="5"/>
      <c r="O44" s="5">
        <v>960</v>
      </c>
      <c r="P44" s="5">
        <f t="shared" si="22"/>
        <v>98.4</v>
      </c>
      <c r="Q44" s="4">
        <f t="shared" si="20"/>
        <v>49.600000000000136</v>
      </c>
      <c r="R44" s="4">
        <f t="shared" si="15"/>
        <v>60</v>
      </c>
      <c r="S44" s="5">
        <f t="shared" si="23"/>
        <v>14.105691056910569</v>
      </c>
      <c r="T44" s="5">
        <f t="shared" si="24"/>
        <v>13.495934959349592</v>
      </c>
      <c r="U44" s="5">
        <v>100</v>
      </c>
      <c r="V44" s="5">
        <v>94.8</v>
      </c>
      <c r="W44" s="5">
        <v>112</v>
      </c>
      <c r="X44" s="5">
        <v>85</v>
      </c>
      <c r="Y44" s="5">
        <v>80</v>
      </c>
      <c r="Z44" s="5">
        <v>92</v>
      </c>
      <c r="AA44" s="5">
        <v>72</v>
      </c>
      <c r="AB44" s="5">
        <v>86</v>
      </c>
      <c r="AC44" s="5">
        <v>87</v>
      </c>
      <c r="AD44" s="5">
        <v>92</v>
      </c>
      <c r="AE44" s="5"/>
      <c r="AF44" s="5">
        <f t="shared" si="16"/>
        <v>49.600000000000136</v>
      </c>
      <c r="AG44" s="7">
        <v>5</v>
      </c>
      <c r="AH44" s="9">
        <f t="shared" si="17"/>
        <v>12</v>
      </c>
      <c r="AI44" s="5">
        <f t="shared" si="18"/>
        <v>60</v>
      </c>
      <c r="AJ44" s="5">
        <v>12</v>
      </c>
      <c r="AK44" s="5">
        <v>144</v>
      </c>
      <c r="AL44" s="9">
        <f t="shared" si="19"/>
        <v>8.3333333333333329E-2</v>
      </c>
      <c r="AM44" s="5"/>
      <c r="AN44" s="5"/>
      <c r="AO44" s="5"/>
      <c r="AP44" s="5"/>
      <c r="AQ44" s="5"/>
      <c r="AR44" s="5"/>
      <c r="AS44" s="5"/>
      <c r="AT44" s="5"/>
      <c r="AU44" s="5"/>
    </row>
    <row r="45" spans="1:47" x14ac:dyDescent="0.25">
      <c r="A45" s="5" t="s">
        <v>119</v>
      </c>
      <c r="B45" s="5" t="s">
        <v>42</v>
      </c>
      <c r="C45" s="5">
        <v>168</v>
      </c>
      <c r="D45" s="5"/>
      <c r="E45" s="5">
        <v>80</v>
      </c>
      <c r="F45" s="5">
        <v>88</v>
      </c>
      <c r="G45" s="7">
        <v>0.4</v>
      </c>
      <c r="H45" s="5">
        <v>180</v>
      </c>
      <c r="I45" s="5" t="s">
        <v>120</v>
      </c>
      <c r="J45" s="5"/>
      <c r="K45" s="5">
        <f>VLOOKUP(A45,[1]TDSheet!$A:$E,5,0)</f>
        <v>80</v>
      </c>
      <c r="L45" s="5">
        <f t="shared" si="21"/>
        <v>0</v>
      </c>
      <c r="M45" s="5"/>
      <c r="N45" s="5"/>
      <c r="O45" s="5">
        <v>384</v>
      </c>
      <c r="P45" s="5">
        <f t="shared" si="22"/>
        <v>16</v>
      </c>
      <c r="Q45" s="4"/>
      <c r="R45" s="4">
        <f t="shared" si="15"/>
        <v>0</v>
      </c>
      <c r="S45" s="5">
        <f t="shared" si="23"/>
        <v>29.5</v>
      </c>
      <c r="T45" s="5">
        <f t="shared" si="24"/>
        <v>29.5</v>
      </c>
      <c r="U45" s="5">
        <v>35</v>
      </c>
      <c r="V45" s="5">
        <v>24.6</v>
      </c>
      <c r="W45" s="5">
        <v>31.4</v>
      </c>
      <c r="X45" s="5">
        <v>36.200000000000003</v>
      </c>
      <c r="Y45" s="5">
        <v>19.2</v>
      </c>
      <c r="Z45" s="5">
        <v>32.200000000000003</v>
      </c>
      <c r="AA45" s="5">
        <v>61.8</v>
      </c>
      <c r="AB45" s="5">
        <v>37</v>
      </c>
      <c r="AC45" s="5">
        <v>8.6</v>
      </c>
      <c r="AD45" s="5">
        <v>55.2</v>
      </c>
      <c r="AE45" s="5"/>
      <c r="AF45" s="5">
        <f t="shared" si="16"/>
        <v>0</v>
      </c>
      <c r="AG45" s="7">
        <v>16</v>
      </c>
      <c r="AH45" s="9">
        <f t="shared" si="17"/>
        <v>0</v>
      </c>
      <c r="AI45" s="5">
        <f t="shared" si="18"/>
        <v>0</v>
      </c>
      <c r="AJ45" s="5">
        <v>12</v>
      </c>
      <c r="AK45" s="5">
        <v>84</v>
      </c>
      <c r="AL45" s="9">
        <f t="shared" si="19"/>
        <v>0</v>
      </c>
      <c r="AM45" s="5"/>
      <c r="AN45" s="5"/>
      <c r="AO45" s="5"/>
      <c r="AP45" s="5"/>
      <c r="AQ45" s="5"/>
      <c r="AR45" s="5"/>
      <c r="AS45" s="5"/>
      <c r="AT45" s="5"/>
      <c r="AU45" s="5"/>
    </row>
    <row r="46" spans="1:47" x14ac:dyDescent="0.25">
      <c r="A46" s="5" t="s">
        <v>121</v>
      </c>
      <c r="B46" s="5" t="s">
        <v>42</v>
      </c>
      <c r="C46" s="5">
        <v>741</v>
      </c>
      <c r="D46" s="5"/>
      <c r="E46" s="5">
        <v>346</v>
      </c>
      <c r="F46" s="5">
        <v>395</v>
      </c>
      <c r="G46" s="7">
        <v>0.7</v>
      </c>
      <c r="H46" s="5">
        <v>180</v>
      </c>
      <c r="I46" s="5" t="s">
        <v>122</v>
      </c>
      <c r="J46" s="5"/>
      <c r="K46" s="5">
        <f>VLOOKUP(A46,[1]TDSheet!$A:$E,5,0)</f>
        <v>346</v>
      </c>
      <c r="L46" s="5">
        <f t="shared" si="21"/>
        <v>0</v>
      </c>
      <c r="M46" s="5"/>
      <c r="N46" s="5"/>
      <c r="O46" s="5">
        <v>240</v>
      </c>
      <c r="P46" s="5">
        <f t="shared" si="22"/>
        <v>69.2</v>
      </c>
      <c r="Q46" s="4">
        <f t="shared" si="20"/>
        <v>333.80000000000007</v>
      </c>
      <c r="R46" s="4">
        <f t="shared" si="15"/>
        <v>360</v>
      </c>
      <c r="S46" s="5">
        <f t="shared" si="23"/>
        <v>14.378612716763005</v>
      </c>
      <c r="T46" s="5">
        <f t="shared" si="24"/>
        <v>9.1763005780346809</v>
      </c>
      <c r="U46" s="5">
        <v>58.2</v>
      </c>
      <c r="V46" s="5">
        <v>74.2</v>
      </c>
      <c r="W46" s="5">
        <v>80</v>
      </c>
      <c r="X46" s="5">
        <v>81.599999999999994</v>
      </c>
      <c r="Y46" s="5">
        <v>63.6</v>
      </c>
      <c r="Z46" s="5">
        <v>53.2</v>
      </c>
      <c r="AA46" s="5">
        <v>65.400000000000006</v>
      </c>
      <c r="AB46" s="5">
        <v>75.8</v>
      </c>
      <c r="AC46" s="5">
        <v>69.599999999999994</v>
      </c>
      <c r="AD46" s="5">
        <v>82.8</v>
      </c>
      <c r="AE46" s="5"/>
      <c r="AF46" s="5">
        <f t="shared" si="16"/>
        <v>233.66000000000003</v>
      </c>
      <c r="AG46" s="7">
        <v>10</v>
      </c>
      <c r="AH46" s="9">
        <f t="shared" si="17"/>
        <v>36</v>
      </c>
      <c r="AI46" s="5">
        <f t="shared" si="18"/>
        <v>251.99999999999997</v>
      </c>
      <c r="AJ46" s="5">
        <v>12</v>
      </c>
      <c r="AK46" s="5">
        <v>84</v>
      </c>
      <c r="AL46" s="9">
        <f t="shared" si="19"/>
        <v>0.42857142857142855</v>
      </c>
      <c r="AM46" s="5"/>
      <c r="AN46" s="5"/>
      <c r="AO46" s="5"/>
      <c r="AP46" s="5"/>
      <c r="AQ46" s="5"/>
      <c r="AR46" s="5"/>
      <c r="AS46" s="5"/>
      <c r="AT46" s="5"/>
      <c r="AU46" s="5"/>
    </row>
    <row r="47" spans="1:47" x14ac:dyDescent="0.25">
      <c r="A47" s="5" t="s">
        <v>123</v>
      </c>
      <c r="B47" s="5" t="s">
        <v>42</v>
      </c>
      <c r="C47" s="5">
        <v>311</v>
      </c>
      <c r="D47" s="5"/>
      <c r="E47" s="5">
        <v>204</v>
      </c>
      <c r="F47" s="5">
        <v>107</v>
      </c>
      <c r="G47" s="7">
        <v>0.4</v>
      </c>
      <c r="H47" s="5">
        <v>180</v>
      </c>
      <c r="I47" s="5" t="s">
        <v>124</v>
      </c>
      <c r="J47" s="5"/>
      <c r="K47" s="5">
        <f>VLOOKUP(A47,[1]TDSheet!$A:$E,5,0)</f>
        <v>206</v>
      </c>
      <c r="L47" s="5">
        <f t="shared" si="21"/>
        <v>-2</v>
      </c>
      <c r="M47" s="5"/>
      <c r="N47" s="5"/>
      <c r="O47" s="5">
        <v>576</v>
      </c>
      <c r="P47" s="5">
        <f t="shared" si="22"/>
        <v>40.799999999999997</v>
      </c>
      <c r="Q47" s="4"/>
      <c r="R47" s="4">
        <f t="shared" si="15"/>
        <v>0</v>
      </c>
      <c r="S47" s="5">
        <f t="shared" si="23"/>
        <v>16.740196078431374</v>
      </c>
      <c r="T47" s="5">
        <f t="shared" si="24"/>
        <v>16.740196078431374</v>
      </c>
      <c r="U47" s="5">
        <v>49.4</v>
      </c>
      <c r="V47" s="5">
        <v>16</v>
      </c>
      <c r="W47" s="5">
        <v>47.2</v>
      </c>
      <c r="X47" s="5">
        <v>27</v>
      </c>
      <c r="Y47" s="5">
        <v>39</v>
      </c>
      <c r="Z47" s="5">
        <v>38.4</v>
      </c>
      <c r="AA47" s="5">
        <v>33.799999999999997</v>
      </c>
      <c r="AB47" s="5">
        <v>30.8</v>
      </c>
      <c r="AC47" s="5">
        <v>39.200000000000003</v>
      </c>
      <c r="AD47" s="5">
        <v>39.4</v>
      </c>
      <c r="AE47" s="5"/>
      <c r="AF47" s="5">
        <f t="shared" si="16"/>
        <v>0</v>
      </c>
      <c r="AG47" s="7">
        <v>16</v>
      </c>
      <c r="AH47" s="9">
        <f t="shared" si="17"/>
        <v>0</v>
      </c>
      <c r="AI47" s="5">
        <f t="shared" si="18"/>
        <v>0</v>
      </c>
      <c r="AJ47" s="5">
        <v>12</v>
      </c>
      <c r="AK47" s="5">
        <v>84</v>
      </c>
      <c r="AL47" s="9">
        <f t="shared" si="19"/>
        <v>0</v>
      </c>
      <c r="AM47" s="5"/>
      <c r="AN47" s="5"/>
      <c r="AO47" s="5"/>
      <c r="AP47" s="5"/>
      <c r="AQ47" s="5"/>
      <c r="AR47" s="5"/>
      <c r="AS47" s="5"/>
      <c r="AT47" s="5"/>
      <c r="AU47" s="5"/>
    </row>
    <row r="48" spans="1:47" x14ac:dyDescent="0.25">
      <c r="A48" s="5" t="s">
        <v>46</v>
      </c>
      <c r="B48" s="5" t="s">
        <v>42</v>
      </c>
      <c r="C48" s="5">
        <v>1161</v>
      </c>
      <c r="D48" s="5">
        <v>1301</v>
      </c>
      <c r="E48" s="5">
        <v>561</v>
      </c>
      <c r="F48" s="5">
        <v>695</v>
      </c>
      <c r="G48" s="7">
        <v>0.7</v>
      </c>
      <c r="H48" s="5">
        <v>180</v>
      </c>
      <c r="I48" s="5" t="s">
        <v>125</v>
      </c>
      <c r="J48" s="5"/>
      <c r="K48" s="5">
        <f>VLOOKUP(A48,[1]TDSheet!$A:$E,5,0)</f>
        <v>561</v>
      </c>
      <c r="L48" s="5">
        <f t="shared" si="21"/>
        <v>0</v>
      </c>
      <c r="M48" s="5"/>
      <c r="N48" s="5"/>
      <c r="O48" s="5">
        <v>840</v>
      </c>
      <c r="P48" s="5">
        <f t="shared" si="22"/>
        <v>112.2</v>
      </c>
      <c r="Q48" s="4">
        <f>15*P48-O48-F48</f>
        <v>148</v>
      </c>
      <c r="R48" s="4">
        <f t="shared" si="15"/>
        <v>120</v>
      </c>
      <c r="S48" s="5">
        <f t="shared" si="23"/>
        <v>14.750445632798574</v>
      </c>
      <c r="T48" s="5">
        <f t="shared" si="24"/>
        <v>13.680926916221033</v>
      </c>
      <c r="U48" s="5">
        <v>121</v>
      </c>
      <c r="V48" s="5">
        <v>131.19999999999999</v>
      </c>
      <c r="W48" s="5">
        <v>97.2</v>
      </c>
      <c r="X48" s="5">
        <v>99.4</v>
      </c>
      <c r="Y48" s="5">
        <v>90.6</v>
      </c>
      <c r="Z48" s="5">
        <v>78.8</v>
      </c>
      <c r="AA48" s="5">
        <v>97.4</v>
      </c>
      <c r="AB48" s="5">
        <v>111.8</v>
      </c>
      <c r="AC48" s="5">
        <v>102.2</v>
      </c>
      <c r="AD48" s="5">
        <v>96.2</v>
      </c>
      <c r="AE48" s="5"/>
      <c r="AF48" s="5">
        <f t="shared" si="16"/>
        <v>103.6</v>
      </c>
      <c r="AG48" s="7">
        <v>10</v>
      </c>
      <c r="AH48" s="9">
        <f t="shared" si="17"/>
        <v>12</v>
      </c>
      <c r="AI48" s="5">
        <f t="shared" si="18"/>
        <v>84</v>
      </c>
      <c r="AJ48" s="5">
        <v>12</v>
      </c>
      <c r="AK48" s="5">
        <v>84</v>
      </c>
      <c r="AL48" s="9">
        <f t="shared" si="19"/>
        <v>0.14285714285714285</v>
      </c>
      <c r="AM48" s="5"/>
      <c r="AN48" s="5"/>
      <c r="AO48" s="5"/>
      <c r="AP48" s="5"/>
      <c r="AQ48" s="5"/>
      <c r="AR48" s="5"/>
      <c r="AS48" s="5"/>
      <c r="AT48" s="5"/>
      <c r="AU48" s="5"/>
    </row>
    <row r="49" spans="1:47" x14ac:dyDescent="0.25">
      <c r="A49" s="5" t="s">
        <v>126</v>
      </c>
      <c r="B49" s="5" t="s">
        <v>42</v>
      </c>
      <c r="C49" s="5">
        <v>252</v>
      </c>
      <c r="D49" s="5">
        <v>2</v>
      </c>
      <c r="E49" s="5">
        <v>147</v>
      </c>
      <c r="F49" s="5">
        <v>105</v>
      </c>
      <c r="G49" s="7">
        <v>0.7</v>
      </c>
      <c r="H49" s="5">
        <v>180</v>
      </c>
      <c r="I49" s="5" t="s">
        <v>127</v>
      </c>
      <c r="J49" s="5"/>
      <c r="K49" s="5">
        <f>VLOOKUP(A49,[1]TDSheet!$A:$E,5,0)</f>
        <v>149</v>
      </c>
      <c r="L49" s="5">
        <f t="shared" si="21"/>
        <v>-2</v>
      </c>
      <c r="M49" s="5"/>
      <c r="N49" s="5"/>
      <c r="O49" s="5">
        <v>480</v>
      </c>
      <c r="P49" s="5">
        <f t="shared" si="22"/>
        <v>29.4</v>
      </c>
      <c r="Q49" s="4"/>
      <c r="R49" s="4">
        <f t="shared" si="15"/>
        <v>0</v>
      </c>
      <c r="S49" s="5">
        <f t="shared" si="23"/>
        <v>19.897959183673471</v>
      </c>
      <c r="T49" s="5">
        <f t="shared" si="24"/>
        <v>19.897959183673471</v>
      </c>
      <c r="U49" s="5">
        <v>40.6</v>
      </c>
      <c r="V49" s="5">
        <v>30.6</v>
      </c>
      <c r="W49" s="5">
        <v>25</v>
      </c>
      <c r="X49" s="5">
        <v>30</v>
      </c>
      <c r="Y49" s="5">
        <v>17.8</v>
      </c>
      <c r="Z49" s="5">
        <v>15.2</v>
      </c>
      <c r="AA49" s="5">
        <v>30.2</v>
      </c>
      <c r="AB49" s="5">
        <v>21.2</v>
      </c>
      <c r="AC49" s="5">
        <v>27</v>
      </c>
      <c r="AD49" s="5">
        <v>27.4</v>
      </c>
      <c r="AE49" s="5"/>
      <c r="AF49" s="5">
        <f t="shared" si="16"/>
        <v>0</v>
      </c>
      <c r="AG49" s="7">
        <v>10</v>
      </c>
      <c r="AH49" s="9">
        <f t="shared" si="17"/>
        <v>0</v>
      </c>
      <c r="AI49" s="5">
        <f t="shared" si="18"/>
        <v>0</v>
      </c>
      <c r="AJ49" s="5">
        <v>12</v>
      </c>
      <c r="AK49" s="5">
        <v>84</v>
      </c>
      <c r="AL49" s="9">
        <f t="shared" si="19"/>
        <v>0</v>
      </c>
      <c r="AM49" s="5"/>
      <c r="AN49" s="5"/>
      <c r="AO49" s="5"/>
      <c r="AP49" s="5"/>
      <c r="AQ49" s="5"/>
      <c r="AR49" s="5"/>
      <c r="AS49" s="5"/>
      <c r="AT49" s="5"/>
      <c r="AU49" s="5"/>
    </row>
    <row r="50" spans="1:47" x14ac:dyDescent="0.25">
      <c r="A50" s="5" t="s">
        <v>128</v>
      </c>
      <c r="B50" s="5" t="s">
        <v>42</v>
      </c>
      <c r="C50" s="5">
        <v>194</v>
      </c>
      <c r="D50" s="5"/>
      <c r="E50" s="5">
        <v>182</v>
      </c>
      <c r="F50" s="5">
        <v>12</v>
      </c>
      <c r="G50" s="7">
        <v>0.8</v>
      </c>
      <c r="H50" s="5">
        <v>180</v>
      </c>
      <c r="I50" s="5" t="s">
        <v>129</v>
      </c>
      <c r="J50" s="5"/>
      <c r="K50" s="5">
        <f>VLOOKUP(A50,[1]TDSheet!$A:$E,5,0)</f>
        <v>182</v>
      </c>
      <c r="L50" s="5">
        <f t="shared" si="21"/>
        <v>0</v>
      </c>
      <c r="M50" s="5"/>
      <c r="N50" s="5"/>
      <c r="O50" s="5">
        <v>288</v>
      </c>
      <c r="P50" s="5">
        <f t="shared" si="22"/>
        <v>36.4</v>
      </c>
      <c r="Q50" s="4">
        <f t="shared" si="20"/>
        <v>209.59999999999997</v>
      </c>
      <c r="R50" s="4">
        <f t="shared" si="15"/>
        <v>192</v>
      </c>
      <c r="S50" s="5">
        <f t="shared" si="23"/>
        <v>13.516483516483516</v>
      </c>
      <c r="T50" s="5">
        <f t="shared" si="24"/>
        <v>8.2417582417582427</v>
      </c>
      <c r="U50" s="5">
        <v>37</v>
      </c>
      <c r="V50" s="5">
        <v>27.6</v>
      </c>
      <c r="W50" s="5">
        <v>27</v>
      </c>
      <c r="X50" s="5">
        <v>4.2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 t="s">
        <v>130</v>
      </c>
      <c r="AF50" s="5">
        <f t="shared" si="16"/>
        <v>167.67999999999998</v>
      </c>
      <c r="AG50" s="7">
        <v>8</v>
      </c>
      <c r="AH50" s="9">
        <f t="shared" si="17"/>
        <v>24</v>
      </c>
      <c r="AI50" s="5">
        <f t="shared" si="18"/>
        <v>153.60000000000002</v>
      </c>
      <c r="AJ50" s="5">
        <v>12</v>
      </c>
      <c r="AK50" s="5">
        <v>84</v>
      </c>
      <c r="AL50" s="9">
        <f t="shared" si="19"/>
        <v>0.2857142857142857</v>
      </c>
      <c r="AM50" s="5"/>
      <c r="AN50" s="5"/>
      <c r="AO50" s="5"/>
      <c r="AP50" s="5"/>
      <c r="AQ50" s="5"/>
      <c r="AR50" s="5"/>
      <c r="AS50" s="5"/>
      <c r="AT50" s="5"/>
      <c r="AU50" s="5"/>
    </row>
    <row r="51" spans="1:47" x14ac:dyDescent="0.25">
      <c r="A51" s="5" t="s">
        <v>131</v>
      </c>
      <c r="B51" s="5" t="s">
        <v>42</v>
      </c>
      <c r="C51" s="5">
        <v>1251</v>
      </c>
      <c r="D51" s="5"/>
      <c r="E51" s="5">
        <v>620</v>
      </c>
      <c r="F51" s="5">
        <v>631</v>
      </c>
      <c r="G51" s="7">
        <v>1</v>
      </c>
      <c r="H51" s="5">
        <v>180</v>
      </c>
      <c r="I51" s="5" t="s">
        <v>132</v>
      </c>
      <c r="J51" s="5"/>
      <c r="K51" s="5">
        <f>VLOOKUP(A51,[1]TDSheet!$A:$E,5,0)</f>
        <v>623</v>
      </c>
      <c r="L51" s="5">
        <f t="shared" si="21"/>
        <v>-3</v>
      </c>
      <c r="M51" s="5"/>
      <c r="N51" s="5"/>
      <c r="O51" s="5">
        <v>1140</v>
      </c>
      <c r="P51" s="5">
        <f t="shared" si="22"/>
        <v>124</v>
      </c>
      <c r="Q51" s="4"/>
      <c r="R51" s="4">
        <f t="shared" si="15"/>
        <v>0</v>
      </c>
      <c r="S51" s="5">
        <f t="shared" si="23"/>
        <v>14.28225806451613</v>
      </c>
      <c r="T51" s="5">
        <f t="shared" si="24"/>
        <v>14.28225806451613</v>
      </c>
      <c r="U51" s="5">
        <v>131</v>
      </c>
      <c r="V51" s="5">
        <v>129.80000000000001</v>
      </c>
      <c r="W51" s="5">
        <v>132.19999999999999</v>
      </c>
      <c r="X51" s="5">
        <v>138.19999999999999</v>
      </c>
      <c r="Y51" s="5">
        <v>133.80000000000001</v>
      </c>
      <c r="Z51" s="5">
        <v>125.8</v>
      </c>
      <c r="AA51" s="5">
        <v>93.8</v>
      </c>
      <c r="AB51" s="5">
        <v>124.8</v>
      </c>
      <c r="AC51" s="5">
        <v>107.4</v>
      </c>
      <c r="AD51" s="5">
        <v>88.2</v>
      </c>
      <c r="AE51" s="5"/>
      <c r="AF51" s="5">
        <f t="shared" si="16"/>
        <v>0</v>
      </c>
      <c r="AG51" s="7">
        <v>5</v>
      </c>
      <c r="AH51" s="9">
        <f t="shared" si="17"/>
        <v>0</v>
      </c>
      <c r="AI51" s="5">
        <f t="shared" si="18"/>
        <v>0</v>
      </c>
      <c r="AJ51" s="5">
        <v>12</v>
      </c>
      <c r="AK51" s="5">
        <v>84</v>
      </c>
      <c r="AL51" s="9">
        <f t="shared" si="19"/>
        <v>0</v>
      </c>
      <c r="AM51" s="5"/>
      <c r="AN51" s="5"/>
      <c r="AO51" s="5"/>
      <c r="AP51" s="5"/>
      <c r="AQ51" s="5"/>
      <c r="AR51" s="5"/>
      <c r="AS51" s="5"/>
      <c r="AT51" s="5"/>
      <c r="AU51" s="5"/>
    </row>
    <row r="52" spans="1:47" x14ac:dyDescent="0.25">
      <c r="A52" s="5" t="s">
        <v>133</v>
      </c>
      <c r="B52" s="5" t="s">
        <v>42</v>
      </c>
      <c r="C52" s="5">
        <v>362</v>
      </c>
      <c r="D52" s="5"/>
      <c r="E52" s="5">
        <v>190</v>
      </c>
      <c r="F52" s="5">
        <v>169</v>
      </c>
      <c r="G52" s="7">
        <v>0.9</v>
      </c>
      <c r="H52" s="5">
        <v>180</v>
      </c>
      <c r="I52" s="5" t="s">
        <v>134</v>
      </c>
      <c r="J52" s="5"/>
      <c r="K52" s="5">
        <f>VLOOKUP(A52,[1]TDSheet!$A:$E,5,0)</f>
        <v>196</v>
      </c>
      <c r="L52" s="5">
        <f t="shared" si="21"/>
        <v>-6</v>
      </c>
      <c r="M52" s="5"/>
      <c r="N52" s="5"/>
      <c r="O52" s="5">
        <v>192</v>
      </c>
      <c r="P52" s="5">
        <f t="shared" si="22"/>
        <v>38</v>
      </c>
      <c r="Q52" s="4">
        <f t="shared" si="20"/>
        <v>171</v>
      </c>
      <c r="R52" s="4">
        <f t="shared" si="15"/>
        <v>192</v>
      </c>
      <c r="S52" s="5">
        <f t="shared" si="23"/>
        <v>14.552631578947368</v>
      </c>
      <c r="T52" s="5">
        <f t="shared" si="24"/>
        <v>9.5</v>
      </c>
      <c r="U52" s="5">
        <v>39.799999999999997</v>
      </c>
      <c r="V52" s="5">
        <v>41.6</v>
      </c>
      <c r="W52" s="5">
        <v>28.4</v>
      </c>
      <c r="X52" s="5">
        <v>42.2</v>
      </c>
      <c r="Y52" s="5">
        <v>33.799999999999997</v>
      </c>
      <c r="Z52" s="5">
        <v>36.200000000000003</v>
      </c>
      <c r="AA52" s="5">
        <v>40.200000000000003</v>
      </c>
      <c r="AB52" s="5">
        <v>34.200000000000003</v>
      </c>
      <c r="AC52" s="5">
        <v>21.4</v>
      </c>
      <c r="AD52" s="5">
        <v>21.6</v>
      </c>
      <c r="AE52" s="5"/>
      <c r="AF52" s="5">
        <f t="shared" si="16"/>
        <v>153.9</v>
      </c>
      <c r="AG52" s="7">
        <v>8</v>
      </c>
      <c r="AH52" s="9">
        <f t="shared" si="17"/>
        <v>24</v>
      </c>
      <c r="AI52" s="5">
        <f t="shared" si="18"/>
        <v>172.8</v>
      </c>
      <c r="AJ52" s="5">
        <v>12</v>
      </c>
      <c r="AK52" s="5">
        <v>84</v>
      </c>
      <c r="AL52" s="9">
        <f t="shared" si="19"/>
        <v>0.2857142857142857</v>
      </c>
      <c r="AM52" s="5"/>
      <c r="AN52" s="5"/>
      <c r="AO52" s="5"/>
      <c r="AP52" s="5"/>
      <c r="AQ52" s="5"/>
      <c r="AR52" s="5"/>
      <c r="AS52" s="5"/>
      <c r="AT52" s="5"/>
      <c r="AU52" s="5"/>
    </row>
    <row r="53" spans="1:47" x14ac:dyDescent="0.25">
      <c r="A53" s="5" t="s">
        <v>135</v>
      </c>
      <c r="B53" s="5" t="s">
        <v>42</v>
      </c>
      <c r="C53" s="5">
        <v>246</v>
      </c>
      <c r="D53" s="5"/>
      <c r="E53" s="5">
        <v>107</v>
      </c>
      <c r="F53" s="5">
        <v>139</v>
      </c>
      <c r="G53" s="7">
        <v>0.9</v>
      </c>
      <c r="H53" s="5">
        <v>180</v>
      </c>
      <c r="I53" s="5" t="s">
        <v>136</v>
      </c>
      <c r="J53" s="5"/>
      <c r="K53" s="5">
        <f>VLOOKUP(A53,[1]TDSheet!$A:$E,5,0)</f>
        <v>114</v>
      </c>
      <c r="L53" s="5">
        <f t="shared" si="21"/>
        <v>-7</v>
      </c>
      <c r="M53" s="5"/>
      <c r="N53" s="5"/>
      <c r="O53" s="5">
        <v>0</v>
      </c>
      <c r="P53" s="5">
        <f t="shared" si="22"/>
        <v>21.4</v>
      </c>
      <c r="Q53" s="4">
        <f t="shared" si="20"/>
        <v>160.59999999999997</v>
      </c>
      <c r="R53" s="4">
        <f t="shared" si="15"/>
        <v>192</v>
      </c>
      <c r="S53" s="5">
        <f t="shared" si="23"/>
        <v>15.467289719626169</v>
      </c>
      <c r="T53" s="5">
        <f t="shared" si="24"/>
        <v>6.4953271028037385</v>
      </c>
      <c r="U53" s="5">
        <v>20.2</v>
      </c>
      <c r="V53" s="5">
        <v>25</v>
      </c>
      <c r="W53" s="5">
        <v>16.8</v>
      </c>
      <c r="X53" s="5">
        <v>20.2</v>
      </c>
      <c r="Y53" s="5">
        <v>22.4</v>
      </c>
      <c r="Z53" s="5">
        <v>15.8</v>
      </c>
      <c r="AA53" s="5">
        <v>14.6</v>
      </c>
      <c r="AB53" s="5">
        <v>20.8</v>
      </c>
      <c r="AC53" s="5">
        <v>8</v>
      </c>
      <c r="AD53" s="5">
        <v>8.6</v>
      </c>
      <c r="AE53" s="5"/>
      <c r="AF53" s="5">
        <f t="shared" si="16"/>
        <v>144.53999999999996</v>
      </c>
      <c r="AG53" s="7">
        <v>8</v>
      </c>
      <c r="AH53" s="9">
        <f t="shared" si="17"/>
        <v>24</v>
      </c>
      <c r="AI53" s="5">
        <f t="shared" si="18"/>
        <v>172.8</v>
      </c>
      <c r="AJ53" s="5">
        <v>12</v>
      </c>
      <c r="AK53" s="5">
        <v>84</v>
      </c>
      <c r="AL53" s="9">
        <f t="shared" si="19"/>
        <v>0.2857142857142857</v>
      </c>
      <c r="AM53" s="5"/>
      <c r="AN53" s="5"/>
      <c r="AO53" s="5"/>
      <c r="AP53" s="5"/>
      <c r="AQ53" s="5"/>
      <c r="AR53" s="5"/>
      <c r="AS53" s="5"/>
      <c r="AT53" s="5"/>
      <c r="AU53" s="5"/>
    </row>
    <row r="54" spans="1:47" x14ac:dyDescent="0.25">
      <c r="A54" s="5" t="s">
        <v>137</v>
      </c>
      <c r="B54" s="5" t="s">
        <v>77</v>
      </c>
      <c r="C54" s="5">
        <v>605</v>
      </c>
      <c r="D54" s="5">
        <v>5</v>
      </c>
      <c r="E54" s="5">
        <v>280</v>
      </c>
      <c r="F54" s="5">
        <v>330</v>
      </c>
      <c r="G54" s="7">
        <v>1</v>
      </c>
      <c r="H54" s="5">
        <v>180</v>
      </c>
      <c r="I54" s="5" t="s">
        <v>138</v>
      </c>
      <c r="J54" s="5"/>
      <c r="K54" s="5">
        <f>VLOOKUP(A54,[1]TDSheet!$A:$E,5,0)</f>
        <v>315</v>
      </c>
      <c r="L54" s="5">
        <f t="shared" si="21"/>
        <v>-35</v>
      </c>
      <c r="M54" s="5"/>
      <c r="N54" s="5"/>
      <c r="O54" s="5">
        <v>420</v>
      </c>
      <c r="P54" s="5">
        <f t="shared" si="22"/>
        <v>56</v>
      </c>
      <c r="Q54" s="4">
        <f t="shared" si="20"/>
        <v>34</v>
      </c>
      <c r="R54" s="4">
        <f t="shared" si="15"/>
        <v>60</v>
      </c>
      <c r="S54" s="5">
        <f t="shared" si="23"/>
        <v>14.464285714285714</v>
      </c>
      <c r="T54" s="5">
        <f t="shared" si="24"/>
        <v>13.392857142857142</v>
      </c>
      <c r="U54" s="5">
        <v>57</v>
      </c>
      <c r="V54" s="5">
        <v>63</v>
      </c>
      <c r="W54" s="5">
        <v>74</v>
      </c>
      <c r="X54" s="5">
        <v>54</v>
      </c>
      <c r="Y54" s="5">
        <v>58</v>
      </c>
      <c r="Z54" s="5">
        <v>66</v>
      </c>
      <c r="AA54" s="5">
        <v>69</v>
      </c>
      <c r="AB54" s="5">
        <v>69</v>
      </c>
      <c r="AC54" s="5">
        <v>65</v>
      </c>
      <c r="AD54" s="5">
        <v>61</v>
      </c>
      <c r="AE54" s="5"/>
      <c r="AF54" s="5">
        <f t="shared" si="16"/>
        <v>34</v>
      </c>
      <c r="AG54" s="7">
        <v>5</v>
      </c>
      <c r="AH54" s="9">
        <f t="shared" si="17"/>
        <v>12</v>
      </c>
      <c r="AI54" s="5">
        <f t="shared" si="18"/>
        <v>60</v>
      </c>
      <c r="AJ54" s="5">
        <v>12</v>
      </c>
      <c r="AK54" s="5">
        <v>144</v>
      </c>
      <c r="AL54" s="9">
        <f t="shared" si="19"/>
        <v>8.3333333333333329E-2</v>
      </c>
      <c r="AM54" s="5"/>
      <c r="AN54" s="5"/>
      <c r="AO54" s="5"/>
      <c r="AP54" s="5"/>
      <c r="AQ54" s="5"/>
      <c r="AR54" s="5"/>
      <c r="AS54" s="5"/>
      <c r="AT54" s="5"/>
      <c r="AU54" s="5"/>
    </row>
    <row r="55" spans="1:47" x14ac:dyDescent="0.25">
      <c r="A55" s="5" t="s">
        <v>139</v>
      </c>
      <c r="B55" s="5" t="s">
        <v>77</v>
      </c>
      <c r="C55" s="5">
        <v>825.1</v>
      </c>
      <c r="D55" s="5"/>
      <c r="E55" s="5">
        <v>310.8</v>
      </c>
      <c r="F55" s="5">
        <v>514.29999999999995</v>
      </c>
      <c r="G55" s="7">
        <v>1</v>
      </c>
      <c r="H55" s="5">
        <v>180</v>
      </c>
      <c r="I55" s="5" t="s">
        <v>140</v>
      </c>
      <c r="J55" s="5"/>
      <c r="K55" s="5">
        <f>VLOOKUP(A55,[1]TDSheet!$A:$E,5,0)</f>
        <v>310.60000000000002</v>
      </c>
      <c r="L55" s="5">
        <f t="shared" si="21"/>
        <v>0.19999999999998863</v>
      </c>
      <c r="M55" s="5"/>
      <c r="N55" s="5"/>
      <c r="O55" s="5">
        <v>569.80000000000007</v>
      </c>
      <c r="P55" s="5">
        <f t="shared" si="22"/>
        <v>62.160000000000004</v>
      </c>
      <c r="Q55" s="4"/>
      <c r="R55" s="4">
        <f t="shared" si="15"/>
        <v>0</v>
      </c>
      <c r="S55" s="5">
        <f t="shared" si="23"/>
        <v>17.440476190476186</v>
      </c>
      <c r="T55" s="5">
        <f t="shared" si="24"/>
        <v>17.440476190476186</v>
      </c>
      <c r="U55" s="5">
        <v>79.179999999999993</v>
      </c>
      <c r="V55" s="5">
        <v>79.92</v>
      </c>
      <c r="W55" s="5">
        <v>88.8</v>
      </c>
      <c r="X55" s="5">
        <v>91.76</v>
      </c>
      <c r="Y55" s="5">
        <v>88.8</v>
      </c>
      <c r="Z55" s="5">
        <v>57.66</v>
      </c>
      <c r="AA55" s="5">
        <v>94.7</v>
      </c>
      <c r="AB55" s="5">
        <v>83.62</v>
      </c>
      <c r="AC55" s="5">
        <v>68.08</v>
      </c>
      <c r="AD55" s="5">
        <v>83.62</v>
      </c>
      <c r="AE55" s="5"/>
      <c r="AF55" s="5">
        <f t="shared" si="16"/>
        <v>0</v>
      </c>
      <c r="AG55" s="7">
        <v>3.7</v>
      </c>
      <c r="AH55" s="9">
        <f t="shared" si="17"/>
        <v>0</v>
      </c>
      <c r="AI55" s="5">
        <f t="shared" si="18"/>
        <v>0</v>
      </c>
      <c r="AJ55" s="5">
        <v>14</v>
      </c>
      <c r="AK55" s="5">
        <v>126</v>
      </c>
      <c r="AL55" s="9">
        <f t="shared" si="19"/>
        <v>0</v>
      </c>
      <c r="AM55" s="5"/>
      <c r="AN55" s="5"/>
      <c r="AO55" s="5"/>
      <c r="AP55" s="5"/>
      <c r="AQ55" s="5"/>
      <c r="AR55" s="5"/>
      <c r="AS55" s="5"/>
      <c r="AT55" s="5"/>
      <c r="AU55" s="5"/>
    </row>
    <row r="56" spans="1:47" x14ac:dyDescent="0.25">
      <c r="A56" s="5" t="s">
        <v>141</v>
      </c>
      <c r="B56" s="5" t="s">
        <v>42</v>
      </c>
      <c r="C56" s="5">
        <v>841</v>
      </c>
      <c r="D56" s="5"/>
      <c r="E56" s="5">
        <v>294</v>
      </c>
      <c r="F56" s="5">
        <v>547</v>
      </c>
      <c r="G56" s="7">
        <v>0.09</v>
      </c>
      <c r="H56" s="5">
        <v>180</v>
      </c>
      <c r="I56" s="5" t="s">
        <v>142</v>
      </c>
      <c r="J56" s="5"/>
      <c r="K56" s="5">
        <f>VLOOKUP(A56,[1]TDSheet!$A:$E,5,0)</f>
        <v>294</v>
      </c>
      <c r="L56" s="5">
        <f t="shared" si="21"/>
        <v>0</v>
      </c>
      <c r="M56" s="5"/>
      <c r="N56" s="5"/>
      <c r="O56" s="5">
        <v>0</v>
      </c>
      <c r="P56" s="5">
        <f t="shared" si="22"/>
        <v>58.8</v>
      </c>
      <c r="Q56" s="4">
        <f t="shared" si="20"/>
        <v>276.19999999999993</v>
      </c>
      <c r="R56" s="4">
        <f t="shared" si="15"/>
        <v>420</v>
      </c>
      <c r="S56" s="5">
        <f t="shared" si="23"/>
        <v>16.445578231292519</v>
      </c>
      <c r="T56" s="5">
        <f t="shared" si="24"/>
        <v>9.3027210884353746</v>
      </c>
      <c r="U56" s="5">
        <v>58</v>
      </c>
      <c r="V56" s="5">
        <v>82.6</v>
      </c>
      <c r="W56" s="5">
        <v>83.4</v>
      </c>
      <c r="X56" s="5">
        <v>63.4</v>
      </c>
      <c r="Y56" s="5">
        <v>102.2</v>
      </c>
      <c r="Z56" s="5">
        <v>108.6</v>
      </c>
      <c r="AA56" s="5">
        <v>47.8</v>
      </c>
      <c r="AB56" s="5">
        <v>80</v>
      </c>
      <c r="AC56" s="5">
        <v>105.6</v>
      </c>
      <c r="AD56" s="5">
        <v>73.8</v>
      </c>
      <c r="AE56" s="5" t="s">
        <v>143</v>
      </c>
      <c r="AF56" s="5">
        <f t="shared" si="16"/>
        <v>24.857999999999993</v>
      </c>
      <c r="AG56" s="7">
        <v>30</v>
      </c>
      <c r="AH56" s="9">
        <f t="shared" si="17"/>
        <v>14</v>
      </c>
      <c r="AI56" s="5">
        <f t="shared" si="18"/>
        <v>37.799999999999997</v>
      </c>
      <c r="AJ56" s="5">
        <v>14</v>
      </c>
      <c r="AK56" s="5">
        <v>126</v>
      </c>
      <c r="AL56" s="9">
        <f t="shared" si="19"/>
        <v>0.1111111111111111</v>
      </c>
      <c r="AM56" s="5"/>
      <c r="AN56" s="5"/>
      <c r="AO56" s="5"/>
      <c r="AP56" s="5"/>
      <c r="AQ56" s="5"/>
      <c r="AR56" s="5"/>
      <c r="AS56" s="5"/>
      <c r="AT56" s="5"/>
      <c r="AU56" s="5"/>
    </row>
    <row r="57" spans="1:47" x14ac:dyDescent="0.25">
      <c r="A57" s="5" t="s">
        <v>144</v>
      </c>
      <c r="B57" s="5" t="s">
        <v>42</v>
      </c>
      <c r="C57" s="5">
        <v>303</v>
      </c>
      <c r="D57" s="5"/>
      <c r="E57" s="5">
        <v>198</v>
      </c>
      <c r="F57" s="5">
        <v>105</v>
      </c>
      <c r="G57" s="7">
        <v>0.23</v>
      </c>
      <c r="H57" s="5">
        <v>180</v>
      </c>
      <c r="I57" s="5" t="s">
        <v>145</v>
      </c>
      <c r="J57" s="5"/>
      <c r="K57" s="5">
        <f>VLOOKUP(A57,[1]TDSheet!$A:$E,5,0)</f>
        <v>198</v>
      </c>
      <c r="L57" s="5">
        <f t="shared" si="21"/>
        <v>0</v>
      </c>
      <c r="M57" s="5"/>
      <c r="N57" s="5"/>
      <c r="O57" s="5">
        <v>0</v>
      </c>
      <c r="P57" s="5">
        <f t="shared" si="22"/>
        <v>39.6</v>
      </c>
      <c r="Q57" s="4">
        <f t="shared" si="20"/>
        <v>449.4</v>
      </c>
      <c r="R57" s="4">
        <f t="shared" si="15"/>
        <v>420</v>
      </c>
      <c r="S57" s="5">
        <f t="shared" si="23"/>
        <v>13.257575757575758</v>
      </c>
      <c r="T57" s="5">
        <f t="shared" si="24"/>
        <v>2.6515151515151514</v>
      </c>
      <c r="U57" s="5">
        <v>24.2</v>
      </c>
      <c r="V57" s="5">
        <v>29.4</v>
      </c>
      <c r="W57" s="5">
        <v>27.8</v>
      </c>
      <c r="X57" s="5">
        <v>32.4</v>
      </c>
      <c r="Y57" s="5">
        <v>26.4</v>
      </c>
      <c r="Z57" s="5">
        <v>14.8</v>
      </c>
      <c r="AA57" s="5">
        <v>32.6</v>
      </c>
      <c r="AB57" s="5">
        <v>32</v>
      </c>
      <c r="AC57" s="5">
        <v>16</v>
      </c>
      <c r="AD57" s="5">
        <v>35.6</v>
      </c>
      <c r="AE57" s="5"/>
      <c r="AF57" s="5">
        <f t="shared" si="16"/>
        <v>103.36199999999999</v>
      </c>
      <c r="AG57" s="7">
        <v>6</v>
      </c>
      <c r="AH57" s="9">
        <f t="shared" si="17"/>
        <v>70</v>
      </c>
      <c r="AI57" s="5">
        <f t="shared" si="18"/>
        <v>96.600000000000009</v>
      </c>
      <c r="AJ57" s="5">
        <v>14</v>
      </c>
      <c r="AK57" s="5">
        <v>140</v>
      </c>
      <c r="AL57" s="9">
        <f t="shared" si="19"/>
        <v>0.5</v>
      </c>
      <c r="AM57" s="5"/>
      <c r="AN57" s="5"/>
      <c r="AO57" s="5"/>
      <c r="AP57" s="5"/>
      <c r="AQ57" s="5"/>
      <c r="AR57" s="5"/>
      <c r="AS57" s="5"/>
      <c r="AT57" s="5"/>
      <c r="AU57" s="5"/>
    </row>
    <row r="58" spans="1:47" x14ac:dyDescent="0.25">
      <c r="A58" s="5" t="s">
        <v>146</v>
      </c>
      <c r="B58" s="5" t="s">
        <v>42</v>
      </c>
      <c r="C58" s="5">
        <v>1915</v>
      </c>
      <c r="D58" s="5"/>
      <c r="E58" s="5">
        <v>699</v>
      </c>
      <c r="F58" s="5">
        <v>1216</v>
      </c>
      <c r="G58" s="7">
        <v>0.25</v>
      </c>
      <c r="H58" s="5">
        <v>180</v>
      </c>
      <c r="I58" s="5" t="s">
        <v>147</v>
      </c>
      <c r="J58" s="5"/>
      <c r="K58" s="5">
        <f>VLOOKUP(A58,[1]TDSheet!$A:$E,5,0)</f>
        <v>699</v>
      </c>
      <c r="L58" s="5">
        <f t="shared" si="21"/>
        <v>0</v>
      </c>
      <c r="M58" s="5"/>
      <c r="N58" s="5"/>
      <c r="O58" s="5">
        <v>840</v>
      </c>
      <c r="P58" s="5">
        <f t="shared" si="22"/>
        <v>139.80000000000001</v>
      </c>
      <c r="Q58" s="4"/>
      <c r="R58" s="4">
        <f t="shared" si="15"/>
        <v>0</v>
      </c>
      <c r="S58" s="5">
        <f t="shared" si="23"/>
        <v>14.706723891273246</v>
      </c>
      <c r="T58" s="5">
        <f t="shared" si="24"/>
        <v>14.706723891273246</v>
      </c>
      <c r="U58" s="5">
        <v>155.80000000000001</v>
      </c>
      <c r="V58" s="5">
        <v>194.8</v>
      </c>
      <c r="W58" s="5">
        <v>153.19999999999999</v>
      </c>
      <c r="X58" s="5">
        <v>172</v>
      </c>
      <c r="Y58" s="5">
        <v>139.19999999999999</v>
      </c>
      <c r="Z58" s="5">
        <v>129.19999999999999</v>
      </c>
      <c r="AA58" s="5">
        <v>141</v>
      </c>
      <c r="AB58" s="5">
        <v>187.4</v>
      </c>
      <c r="AC58" s="5">
        <v>146.80000000000001</v>
      </c>
      <c r="AD58" s="5">
        <v>134</v>
      </c>
      <c r="AE58" s="5"/>
      <c r="AF58" s="5">
        <f t="shared" si="16"/>
        <v>0</v>
      </c>
      <c r="AG58" s="7">
        <v>12</v>
      </c>
      <c r="AH58" s="9">
        <f t="shared" si="17"/>
        <v>0</v>
      </c>
      <c r="AI58" s="5">
        <f t="shared" si="18"/>
        <v>0</v>
      </c>
      <c r="AJ58" s="5">
        <v>14</v>
      </c>
      <c r="AK58" s="5">
        <v>70</v>
      </c>
      <c r="AL58" s="9">
        <f t="shared" si="19"/>
        <v>0</v>
      </c>
      <c r="AM58" s="5"/>
      <c r="AN58" s="5"/>
      <c r="AO58" s="5"/>
      <c r="AP58" s="5"/>
      <c r="AQ58" s="5"/>
      <c r="AR58" s="5"/>
      <c r="AS58" s="5"/>
      <c r="AT58" s="5"/>
      <c r="AU58" s="5"/>
    </row>
    <row r="59" spans="1:47" x14ac:dyDescent="0.25">
      <c r="A59" s="5" t="s">
        <v>148</v>
      </c>
      <c r="B59" s="5" t="s">
        <v>42</v>
      </c>
      <c r="C59" s="5">
        <v>608</v>
      </c>
      <c r="D59" s="5"/>
      <c r="E59" s="5">
        <v>357</v>
      </c>
      <c r="F59" s="5">
        <v>251</v>
      </c>
      <c r="G59" s="7">
        <v>0.25</v>
      </c>
      <c r="H59" s="5">
        <v>180</v>
      </c>
      <c r="I59" s="5" t="s">
        <v>149</v>
      </c>
      <c r="J59" s="5"/>
      <c r="K59" s="5">
        <f>VLOOKUP(A59,[1]TDSheet!$A:$E,5,0)</f>
        <v>357</v>
      </c>
      <c r="L59" s="5">
        <f t="shared" si="21"/>
        <v>0</v>
      </c>
      <c r="M59" s="5"/>
      <c r="N59" s="5"/>
      <c r="O59" s="5">
        <v>672</v>
      </c>
      <c r="P59" s="5">
        <f t="shared" si="22"/>
        <v>71.400000000000006</v>
      </c>
      <c r="Q59" s="4">
        <f>15*P59-O59-F59</f>
        <v>148</v>
      </c>
      <c r="R59" s="4">
        <f t="shared" si="15"/>
        <v>168</v>
      </c>
      <c r="S59" s="5">
        <f t="shared" si="23"/>
        <v>15.280112044817926</v>
      </c>
      <c r="T59" s="5">
        <f t="shared" si="24"/>
        <v>12.927170868347337</v>
      </c>
      <c r="U59" s="5">
        <v>72.599999999999994</v>
      </c>
      <c r="V59" s="5">
        <v>70</v>
      </c>
      <c r="W59" s="5">
        <v>62</v>
      </c>
      <c r="X59" s="5">
        <v>80.400000000000006</v>
      </c>
      <c r="Y59" s="5">
        <v>77.400000000000006</v>
      </c>
      <c r="Z59" s="5">
        <v>84</v>
      </c>
      <c r="AA59" s="5">
        <v>70.599999999999994</v>
      </c>
      <c r="AB59" s="5">
        <v>95.4</v>
      </c>
      <c r="AC59" s="5">
        <v>71.400000000000006</v>
      </c>
      <c r="AD59" s="5">
        <v>52.6</v>
      </c>
      <c r="AE59" s="5"/>
      <c r="AF59" s="5">
        <f t="shared" si="16"/>
        <v>37</v>
      </c>
      <c r="AG59" s="7">
        <v>12</v>
      </c>
      <c r="AH59" s="9">
        <f t="shared" si="17"/>
        <v>14</v>
      </c>
      <c r="AI59" s="5">
        <f t="shared" si="18"/>
        <v>42</v>
      </c>
      <c r="AJ59" s="5">
        <v>14</v>
      </c>
      <c r="AK59" s="5">
        <v>70</v>
      </c>
      <c r="AL59" s="9">
        <f t="shared" si="19"/>
        <v>0.2</v>
      </c>
      <c r="AM59" s="5"/>
      <c r="AN59" s="5"/>
      <c r="AO59" s="5"/>
      <c r="AP59" s="5"/>
      <c r="AQ59" s="5"/>
      <c r="AR59" s="5"/>
      <c r="AS59" s="5"/>
      <c r="AT59" s="5"/>
      <c r="AU59" s="5"/>
    </row>
    <row r="60" spans="1:47" x14ac:dyDescent="0.25">
      <c r="A60" s="5" t="s">
        <v>150</v>
      </c>
      <c r="B60" s="5" t="s">
        <v>42</v>
      </c>
      <c r="C60" s="5">
        <v>33</v>
      </c>
      <c r="D60" s="5"/>
      <c r="E60" s="5">
        <v>9</v>
      </c>
      <c r="F60" s="5">
        <v>24</v>
      </c>
      <c r="G60" s="7">
        <v>0.18</v>
      </c>
      <c r="H60" s="5">
        <v>180</v>
      </c>
      <c r="I60" s="5" t="s">
        <v>151</v>
      </c>
      <c r="J60" s="5"/>
      <c r="K60" s="5">
        <f>VLOOKUP(A60,[1]TDSheet!$A:$E,5,0)</f>
        <v>9</v>
      </c>
      <c r="L60" s="5">
        <f t="shared" si="21"/>
        <v>0</v>
      </c>
      <c r="M60" s="5"/>
      <c r="N60" s="5"/>
      <c r="O60" s="5">
        <v>84</v>
      </c>
      <c r="P60" s="5">
        <f t="shared" si="22"/>
        <v>1.8</v>
      </c>
      <c r="Q60" s="4"/>
      <c r="R60" s="4">
        <f t="shared" si="15"/>
        <v>0</v>
      </c>
      <c r="S60" s="5">
        <f t="shared" si="23"/>
        <v>60</v>
      </c>
      <c r="T60" s="5">
        <f t="shared" si="24"/>
        <v>60</v>
      </c>
      <c r="U60" s="5">
        <v>4.4000000000000004</v>
      </c>
      <c r="V60" s="5">
        <v>5</v>
      </c>
      <c r="W60" s="5">
        <v>0.8</v>
      </c>
      <c r="X60" s="5">
        <v>9.6</v>
      </c>
      <c r="Y60" s="5">
        <v>2.6</v>
      </c>
      <c r="Z60" s="5">
        <v>4.4000000000000004</v>
      </c>
      <c r="AA60" s="5">
        <v>7.2</v>
      </c>
      <c r="AB60" s="5">
        <v>2.8</v>
      </c>
      <c r="AC60" s="5">
        <v>5.8</v>
      </c>
      <c r="AD60" s="5">
        <v>7.2</v>
      </c>
      <c r="AE60" s="5"/>
      <c r="AF60" s="5">
        <f t="shared" si="16"/>
        <v>0</v>
      </c>
      <c r="AG60" s="7">
        <v>6</v>
      </c>
      <c r="AH60" s="9">
        <f t="shared" si="17"/>
        <v>0</v>
      </c>
      <c r="AI60" s="5">
        <f t="shared" si="18"/>
        <v>0</v>
      </c>
      <c r="AJ60" s="5">
        <v>14</v>
      </c>
      <c r="AK60" s="5">
        <v>140</v>
      </c>
      <c r="AL60" s="9">
        <f t="shared" si="19"/>
        <v>0</v>
      </c>
      <c r="AM60" s="5"/>
      <c r="AN60" s="5"/>
      <c r="AO60" s="5"/>
      <c r="AP60" s="5"/>
      <c r="AQ60" s="5"/>
      <c r="AR60" s="5"/>
      <c r="AS60" s="5"/>
      <c r="AT60" s="5"/>
      <c r="AU60" s="5"/>
    </row>
    <row r="61" spans="1:47" x14ac:dyDescent="0.25">
      <c r="A61" s="5" t="s">
        <v>152</v>
      </c>
      <c r="B61" s="5" t="s">
        <v>42</v>
      </c>
      <c r="C61" s="5">
        <v>115</v>
      </c>
      <c r="D61" s="5"/>
      <c r="E61" s="5">
        <v>17</v>
      </c>
      <c r="F61" s="5">
        <v>98</v>
      </c>
      <c r="G61" s="7">
        <v>0.18</v>
      </c>
      <c r="H61" s="5">
        <v>180</v>
      </c>
      <c r="I61" s="5" t="s">
        <v>153</v>
      </c>
      <c r="J61" s="5"/>
      <c r="K61" s="5">
        <f>VLOOKUP(A61,[1]TDSheet!$A:$E,5,0)</f>
        <v>17</v>
      </c>
      <c r="L61" s="5">
        <f t="shared" si="21"/>
        <v>0</v>
      </c>
      <c r="M61" s="5"/>
      <c r="N61" s="5"/>
      <c r="O61" s="5">
        <v>0</v>
      </c>
      <c r="P61" s="5">
        <f t="shared" si="22"/>
        <v>3.4</v>
      </c>
      <c r="Q61" s="4"/>
      <c r="R61" s="4">
        <f t="shared" si="15"/>
        <v>0</v>
      </c>
      <c r="S61" s="5">
        <f t="shared" si="23"/>
        <v>28.823529411764707</v>
      </c>
      <c r="T61" s="5">
        <f t="shared" si="24"/>
        <v>28.823529411764707</v>
      </c>
      <c r="U61" s="5">
        <v>3</v>
      </c>
      <c r="V61" s="5">
        <v>5.8</v>
      </c>
      <c r="W61" s="5">
        <v>2.2000000000000002</v>
      </c>
      <c r="X61" s="5">
        <v>18.399999999999999</v>
      </c>
      <c r="Y61" s="5">
        <v>3.4</v>
      </c>
      <c r="Z61" s="5">
        <v>5.6</v>
      </c>
      <c r="AA61" s="5">
        <v>9.6</v>
      </c>
      <c r="AB61" s="5">
        <v>8.1999999999999993</v>
      </c>
      <c r="AC61" s="5">
        <v>7</v>
      </c>
      <c r="AD61" s="5">
        <v>11.8</v>
      </c>
      <c r="AE61" s="24" t="s">
        <v>110</v>
      </c>
      <c r="AF61" s="5">
        <f t="shared" si="16"/>
        <v>0</v>
      </c>
      <c r="AG61" s="7">
        <v>6</v>
      </c>
      <c r="AH61" s="9">
        <f t="shared" si="17"/>
        <v>0</v>
      </c>
      <c r="AI61" s="5">
        <f t="shared" si="18"/>
        <v>0</v>
      </c>
      <c r="AJ61" s="5">
        <v>14</v>
      </c>
      <c r="AK61" s="5">
        <v>140</v>
      </c>
      <c r="AL61" s="9">
        <f t="shared" si="19"/>
        <v>0</v>
      </c>
      <c r="AM61" s="5"/>
      <c r="AN61" s="5"/>
      <c r="AO61" s="5"/>
      <c r="AP61" s="5"/>
      <c r="AQ61" s="5"/>
      <c r="AR61" s="5"/>
      <c r="AS61" s="5"/>
      <c r="AT61" s="5"/>
      <c r="AU61" s="5"/>
    </row>
    <row r="62" spans="1:47" x14ac:dyDescent="0.25">
      <c r="A62" s="5" t="s">
        <v>154</v>
      </c>
      <c r="B62" s="5" t="s">
        <v>42</v>
      </c>
      <c r="C62" s="5">
        <v>61</v>
      </c>
      <c r="D62" s="5"/>
      <c r="E62" s="5">
        <v>7</v>
      </c>
      <c r="F62" s="5">
        <v>54</v>
      </c>
      <c r="G62" s="7">
        <v>0.18</v>
      </c>
      <c r="H62" s="5">
        <v>180</v>
      </c>
      <c r="I62" s="5" t="s">
        <v>155</v>
      </c>
      <c r="J62" s="5"/>
      <c r="K62" s="5">
        <f>VLOOKUP(A62,[1]TDSheet!$A:$E,5,0)</f>
        <v>7</v>
      </c>
      <c r="L62" s="5">
        <f t="shared" si="21"/>
        <v>0</v>
      </c>
      <c r="M62" s="5"/>
      <c r="N62" s="5"/>
      <c r="O62" s="5">
        <v>84</v>
      </c>
      <c r="P62" s="5">
        <f t="shared" si="22"/>
        <v>1.4</v>
      </c>
      <c r="Q62" s="4"/>
      <c r="R62" s="4">
        <f t="shared" si="15"/>
        <v>0</v>
      </c>
      <c r="S62" s="5">
        <f t="shared" si="23"/>
        <v>98.571428571428584</v>
      </c>
      <c r="T62" s="5">
        <f t="shared" si="24"/>
        <v>98.571428571428584</v>
      </c>
      <c r="U62" s="5">
        <v>6.8</v>
      </c>
      <c r="V62" s="5">
        <v>3.6</v>
      </c>
      <c r="W62" s="5">
        <v>3</v>
      </c>
      <c r="X62" s="5">
        <v>5.8</v>
      </c>
      <c r="Y62" s="5">
        <v>2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/>
      <c r="AF62" s="5">
        <f t="shared" si="16"/>
        <v>0</v>
      </c>
      <c r="AG62" s="7">
        <v>6</v>
      </c>
      <c r="AH62" s="9">
        <f t="shared" si="17"/>
        <v>0</v>
      </c>
      <c r="AI62" s="5">
        <f t="shared" si="18"/>
        <v>0</v>
      </c>
      <c r="AJ62" s="5">
        <v>14</v>
      </c>
      <c r="AK62" s="5">
        <v>140</v>
      </c>
      <c r="AL62" s="9">
        <f t="shared" si="19"/>
        <v>0</v>
      </c>
      <c r="AM62" s="5"/>
      <c r="AN62" s="5"/>
      <c r="AO62" s="5"/>
      <c r="AP62" s="5"/>
      <c r="AQ62" s="5"/>
      <c r="AR62" s="5"/>
      <c r="AS62" s="5"/>
      <c r="AT62" s="5"/>
      <c r="AU62" s="5"/>
    </row>
    <row r="63" spans="1:47" x14ac:dyDescent="0.25">
      <c r="A63" s="5" t="s">
        <v>156</v>
      </c>
      <c r="B63" s="5" t="s">
        <v>42</v>
      </c>
      <c r="C63" s="5">
        <v>1705</v>
      </c>
      <c r="D63" s="5">
        <v>2</v>
      </c>
      <c r="E63" s="5">
        <v>867</v>
      </c>
      <c r="F63" s="5">
        <v>838</v>
      </c>
      <c r="G63" s="7">
        <v>0.3</v>
      </c>
      <c r="H63" s="5">
        <v>180</v>
      </c>
      <c r="I63" s="5" t="s">
        <v>157</v>
      </c>
      <c r="J63" s="5"/>
      <c r="K63" s="5">
        <f>VLOOKUP(A63,[1]TDSheet!$A:$E,5,0)</f>
        <v>913</v>
      </c>
      <c r="L63" s="5">
        <f t="shared" si="21"/>
        <v>-46</v>
      </c>
      <c r="M63" s="5"/>
      <c r="N63" s="5"/>
      <c r="O63" s="5">
        <v>1008</v>
      </c>
      <c r="P63" s="5">
        <f t="shared" si="22"/>
        <v>173.4</v>
      </c>
      <c r="Q63" s="4">
        <f t="shared" si="20"/>
        <v>581.59999999999991</v>
      </c>
      <c r="R63" s="4">
        <f t="shared" si="15"/>
        <v>504</v>
      </c>
      <c r="S63" s="5">
        <f t="shared" si="23"/>
        <v>13.552479815455593</v>
      </c>
      <c r="T63" s="5">
        <f t="shared" si="24"/>
        <v>10.645905420991927</v>
      </c>
      <c r="U63" s="5">
        <v>151.19999999999999</v>
      </c>
      <c r="V63" s="5">
        <v>165.8</v>
      </c>
      <c r="W63" s="5">
        <v>119.2</v>
      </c>
      <c r="X63" s="5">
        <v>138</v>
      </c>
      <c r="Y63" s="5">
        <v>133</v>
      </c>
      <c r="Z63" s="5">
        <v>113.8</v>
      </c>
      <c r="AA63" s="5">
        <v>127.8</v>
      </c>
      <c r="AB63" s="5">
        <v>153.19999999999999</v>
      </c>
      <c r="AC63" s="5">
        <v>95.4</v>
      </c>
      <c r="AD63" s="5">
        <v>99.2</v>
      </c>
      <c r="AE63" s="5"/>
      <c r="AF63" s="5">
        <f t="shared" si="16"/>
        <v>174.47999999999996</v>
      </c>
      <c r="AG63" s="7">
        <v>12</v>
      </c>
      <c r="AH63" s="9">
        <f t="shared" si="17"/>
        <v>42</v>
      </c>
      <c r="AI63" s="5">
        <f t="shared" si="18"/>
        <v>151.19999999999999</v>
      </c>
      <c r="AJ63" s="5">
        <v>14</v>
      </c>
      <c r="AK63" s="5">
        <v>70</v>
      </c>
      <c r="AL63" s="9">
        <f t="shared" si="19"/>
        <v>0.6</v>
      </c>
      <c r="AM63" s="5"/>
      <c r="AN63" s="5"/>
      <c r="AO63" s="5"/>
      <c r="AP63" s="5"/>
      <c r="AQ63" s="5"/>
      <c r="AR63" s="5"/>
      <c r="AS63" s="5"/>
      <c r="AT63" s="5"/>
      <c r="AU63" s="5"/>
    </row>
    <row r="64" spans="1:47" x14ac:dyDescent="0.25">
      <c r="A64" s="5" t="s">
        <v>158</v>
      </c>
      <c r="B64" s="5" t="s">
        <v>42</v>
      </c>
      <c r="C64" s="5">
        <v>1034</v>
      </c>
      <c r="D64" s="5">
        <v>2</v>
      </c>
      <c r="E64" s="5">
        <v>547</v>
      </c>
      <c r="F64" s="5">
        <v>486</v>
      </c>
      <c r="G64" s="7">
        <v>0.3</v>
      </c>
      <c r="H64" s="5">
        <v>180</v>
      </c>
      <c r="I64" s="5" t="s">
        <v>159</v>
      </c>
      <c r="J64" s="5"/>
      <c r="K64" s="5">
        <f>VLOOKUP(A64,[1]TDSheet!$A:$E,5,0)</f>
        <v>552</v>
      </c>
      <c r="L64" s="5">
        <f t="shared" si="21"/>
        <v>-5</v>
      </c>
      <c r="M64" s="5"/>
      <c r="N64" s="5"/>
      <c r="O64" s="5">
        <v>672</v>
      </c>
      <c r="P64" s="5">
        <f t="shared" si="22"/>
        <v>109.4</v>
      </c>
      <c r="Q64" s="4">
        <f t="shared" si="20"/>
        <v>373.60000000000014</v>
      </c>
      <c r="R64" s="4">
        <f t="shared" si="15"/>
        <v>336</v>
      </c>
      <c r="S64" s="5">
        <f t="shared" si="23"/>
        <v>13.656307129798902</v>
      </c>
      <c r="T64" s="5">
        <f t="shared" si="24"/>
        <v>10.585009140767824</v>
      </c>
      <c r="U64" s="5">
        <v>94.2</v>
      </c>
      <c r="V64" s="5">
        <v>110</v>
      </c>
      <c r="W64" s="5">
        <v>77.2</v>
      </c>
      <c r="X64" s="5">
        <v>94.8</v>
      </c>
      <c r="Y64" s="5">
        <v>90.6</v>
      </c>
      <c r="Z64" s="5">
        <v>99.2</v>
      </c>
      <c r="AA64" s="5">
        <v>84.2</v>
      </c>
      <c r="AB64" s="5">
        <v>136</v>
      </c>
      <c r="AC64" s="5">
        <v>81</v>
      </c>
      <c r="AD64" s="5">
        <v>107</v>
      </c>
      <c r="AE64" s="5"/>
      <c r="AF64" s="5">
        <f t="shared" si="16"/>
        <v>112.08000000000004</v>
      </c>
      <c r="AG64" s="7">
        <v>12</v>
      </c>
      <c r="AH64" s="9">
        <f t="shared" si="17"/>
        <v>28</v>
      </c>
      <c r="AI64" s="5">
        <f t="shared" si="18"/>
        <v>100.8</v>
      </c>
      <c r="AJ64" s="5">
        <v>14</v>
      </c>
      <c r="AK64" s="5">
        <v>70</v>
      </c>
      <c r="AL64" s="9">
        <f t="shared" si="19"/>
        <v>0.4</v>
      </c>
      <c r="AM64" s="5"/>
      <c r="AN64" s="5"/>
      <c r="AO64" s="5"/>
      <c r="AP64" s="5"/>
      <c r="AQ64" s="5"/>
      <c r="AR64" s="5"/>
      <c r="AS64" s="5"/>
      <c r="AT64" s="5"/>
      <c r="AU64" s="5"/>
    </row>
    <row r="65" spans="1:47" x14ac:dyDescent="0.25">
      <c r="A65" s="5" t="s">
        <v>160</v>
      </c>
      <c r="B65" s="5" t="s">
        <v>42</v>
      </c>
      <c r="C65" s="5">
        <v>340</v>
      </c>
      <c r="D65" s="5"/>
      <c r="E65" s="5">
        <v>200</v>
      </c>
      <c r="F65" s="5">
        <v>140</v>
      </c>
      <c r="G65" s="7">
        <v>0.3</v>
      </c>
      <c r="H65" s="5">
        <v>180</v>
      </c>
      <c r="I65" s="5" t="s">
        <v>161</v>
      </c>
      <c r="J65" s="5"/>
      <c r="K65" s="5">
        <f>VLOOKUP(A65,[1]TDSheet!$A:$E,5,0)</f>
        <v>201</v>
      </c>
      <c r="L65" s="5">
        <f t="shared" si="21"/>
        <v>-1</v>
      </c>
      <c r="M65" s="5"/>
      <c r="N65" s="5"/>
      <c r="O65" s="5">
        <v>196</v>
      </c>
      <c r="P65" s="5">
        <f t="shared" si="22"/>
        <v>40</v>
      </c>
      <c r="Q65" s="4">
        <f t="shared" si="20"/>
        <v>224</v>
      </c>
      <c r="R65" s="4">
        <f t="shared" si="15"/>
        <v>196</v>
      </c>
      <c r="S65" s="5">
        <f t="shared" si="23"/>
        <v>13.3</v>
      </c>
      <c r="T65" s="5">
        <f t="shared" si="24"/>
        <v>8.4</v>
      </c>
      <c r="U65" s="5">
        <v>29.6</v>
      </c>
      <c r="V65" s="5">
        <v>20.399999999999999</v>
      </c>
      <c r="W65" s="5">
        <v>38.6</v>
      </c>
      <c r="X65" s="5">
        <v>22.2</v>
      </c>
      <c r="Y65" s="5">
        <v>34</v>
      </c>
      <c r="Z65" s="5">
        <v>15.2</v>
      </c>
      <c r="AA65" s="5">
        <v>25.8</v>
      </c>
      <c r="AB65" s="5">
        <v>16.2</v>
      </c>
      <c r="AC65" s="5">
        <v>35.6</v>
      </c>
      <c r="AD65" s="5">
        <v>18.399999999999999</v>
      </c>
      <c r="AE65" s="5"/>
      <c r="AF65" s="5">
        <f t="shared" si="16"/>
        <v>67.2</v>
      </c>
      <c r="AG65" s="7">
        <v>14</v>
      </c>
      <c r="AH65" s="9">
        <f t="shared" si="17"/>
        <v>14</v>
      </c>
      <c r="AI65" s="5">
        <f t="shared" si="18"/>
        <v>58.8</v>
      </c>
      <c r="AJ65" s="5">
        <v>14</v>
      </c>
      <c r="AK65" s="5">
        <v>70</v>
      </c>
      <c r="AL65" s="9">
        <f t="shared" si="19"/>
        <v>0.2</v>
      </c>
      <c r="AM65" s="5"/>
      <c r="AN65" s="5"/>
      <c r="AO65" s="5"/>
      <c r="AP65" s="5"/>
      <c r="AQ65" s="5"/>
      <c r="AR65" s="5"/>
      <c r="AS65" s="5"/>
      <c r="AT65" s="5"/>
      <c r="AU65" s="5"/>
    </row>
    <row r="66" spans="1:47" x14ac:dyDescent="0.25">
      <c r="A66" s="5" t="s">
        <v>162</v>
      </c>
      <c r="B66" s="5" t="s">
        <v>42</v>
      </c>
      <c r="C66" s="5">
        <v>4346</v>
      </c>
      <c r="D66" s="5">
        <v>5</v>
      </c>
      <c r="E66" s="5">
        <v>2094</v>
      </c>
      <c r="F66" s="5">
        <v>2252</v>
      </c>
      <c r="G66" s="7">
        <v>0.25</v>
      </c>
      <c r="H66" s="5">
        <v>180</v>
      </c>
      <c r="I66" s="5" t="s">
        <v>163</v>
      </c>
      <c r="J66" s="5"/>
      <c r="K66" s="5">
        <f>VLOOKUP(A66,[1]TDSheet!$A:$E,5,0)</f>
        <v>2138</v>
      </c>
      <c r="L66" s="5">
        <f t="shared" si="21"/>
        <v>-44</v>
      </c>
      <c r="M66" s="5"/>
      <c r="N66" s="5"/>
      <c r="O66" s="5">
        <v>1848</v>
      </c>
      <c r="P66" s="5">
        <f t="shared" si="22"/>
        <v>418.8</v>
      </c>
      <c r="Q66" s="4">
        <f t="shared" si="20"/>
        <v>1763.1999999999998</v>
      </c>
      <c r="R66" s="4">
        <f t="shared" si="15"/>
        <v>1680</v>
      </c>
      <c r="S66" s="5">
        <f t="shared" si="23"/>
        <v>13.801337153772684</v>
      </c>
      <c r="T66" s="5">
        <f t="shared" si="24"/>
        <v>9.7898758357211069</v>
      </c>
      <c r="U66" s="5">
        <v>349.6</v>
      </c>
      <c r="V66" s="5">
        <v>424.8</v>
      </c>
      <c r="W66" s="5">
        <v>377</v>
      </c>
      <c r="X66" s="5">
        <v>354.6</v>
      </c>
      <c r="Y66" s="5">
        <v>243.8</v>
      </c>
      <c r="Z66" s="5">
        <v>210</v>
      </c>
      <c r="AA66" s="5">
        <v>374.6</v>
      </c>
      <c r="AB66" s="5">
        <v>318.2</v>
      </c>
      <c r="AC66" s="5">
        <v>326.39999999999998</v>
      </c>
      <c r="AD66" s="5">
        <v>306.2</v>
      </c>
      <c r="AE66" s="5"/>
      <c r="AF66" s="5">
        <f t="shared" si="16"/>
        <v>440.79999999999995</v>
      </c>
      <c r="AG66" s="7">
        <v>12</v>
      </c>
      <c r="AH66" s="9">
        <f t="shared" si="17"/>
        <v>140</v>
      </c>
      <c r="AI66" s="5">
        <f t="shared" si="18"/>
        <v>420</v>
      </c>
      <c r="AJ66" s="5">
        <v>14</v>
      </c>
      <c r="AK66" s="5">
        <v>70</v>
      </c>
      <c r="AL66" s="9">
        <f t="shared" si="19"/>
        <v>2</v>
      </c>
      <c r="AM66" s="5"/>
      <c r="AN66" s="5"/>
      <c r="AO66" s="5"/>
      <c r="AP66" s="5"/>
      <c r="AQ66" s="5"/>
      <c r="AR66" s="5"/>
      <c r="AS66" s="5"/>
      <c r="AT66" s="5"/>
      <c r="AU66" s="5"/>
    </row>
    <row r="67" spans="1:47" x14ac:dyDescent="0.25">
      <c r="A67" s="5" t="s">
        <v>48</v>
      </c>
      <c r="B67" s="5" t="s">
        <v>42</v>
      </c>
      <c r="C67" s="5">
        <v>3939</v>
      </c>
      <c r="D67" s="5">
        <v>4176</v>
      </c>
      <c r="E67" s="17">
        <f>1740+E8</f>
        <v>1741</v>
      </c>
      <c r="F67" s="5">
        <v>2312</v>
      </c>
      <c r="G67" s="7">
        <v>0.25</v>
      </c>
      <c r="H67" s="5">
        <v>180</v>
      </c>
      <c r="I67" s="5" t="s">
        <v>164</v>
      </c>
      <c r="J67" s="5"/>
      <c r="K67" s="5">
        <f>VLOOKUP(A67,[1]TDSheet!$A:$E,5,0)</f>
        <v>1749</v>
      </c>
      <c r="L67" s="5">
        <f t="shared" si="21"/>
        <v>-8</v>
      </c>
      <c r="M67" s="5"/>
      <c r="N67" s="5"/>
      <c r="O67" s="5">
        <v>2520</v>
      </c>
      <c r="P67" s="5">
        <f t="shared" si="22"/>
        <v>348.2</v>
      </c>
      <c r="Q67" s="4">
        <f>15*P67-O67-F67</f>
        <v>391</v>
      </c>
      <c r="R67" s="4">
        <f t="shared" si="15"/>
        <v>336</v>
      </c>
      <c r="S67" s="5">
        <f t="shared" si="23"/>
        <v>14.842044801838025</v>
      </c>
      <c r="T67" s="5">
        <f t="shared" si="24"/>
        <v>13.877082136703045</v>
      </c>
      <c r="U67" s="5">
        <v>364.4</v>
      </c>
      <c r="V67" s="5">
        <v>402.6</v>
      </c>
      <c r="W67" s="5">
        <v>394</v>
      </c>
      <c r="X67" s="5">
        <v>400.6</v>
      </c>
      <c r="Y67" s="5">
        <v>381.4</v>
      </c>
      <c r="Z67" s="5">
        <v>335.6</v>
      </c>
      <c r="AA67" s="5">
        <v>352</v>
      </c>
      <c r="AB67" s="5">
        <v>386.2</v>
      </c>
      <c r="AC67" s="5">
        <v>273.2</v>
      </c>
      <c r="AD67" s="5">
        <v>338.6</v>
      </c>
      <c r="AE67" s="5"/>
      <c r="AF67" s="5">
        <f t="shared" si="16"/>
        <v>97.75</v>
      </c>
      <c r="AG67" s="7">
        <v>12</v>
      </c>
      <c r="AH67" s="9">
        <f t="shared" si="17"/>
        <v>28</v>
      </c>
      <c r="AI67" s="5">
        <f t="shared" si="18"/>
        <v>84</v>
      </c>
      <c r="AJ67" s="5">
        <v>14</v>
      </c>
      <c r="AK67" s="5">
        <v>70</v>
      </c>
      <c r="AL67" s="9">
        <f t="shared" si="19"/>
        <v>0.4</v>
      </c>
      <c r="AM67" s="5"/>
      <c r="AN67" s="5"/>
      <c r="AO67" s="5"/>
      <c r="AP67" s="5"/>
      <c r="AQ67" s="5"/>
      <c r="AR67" s="5"/>
      <c r="AS67" s="5"/>
      <c r="AT67" s="5"/>
      <c r="AU67" s="5"/>
    </row>
    <row r="68" spans="1:47" x14ac:dyDescent="0.25">
      <c r="A68" s="5" t="s">
        <v>165</v>
      </c>
      <c r="B68" s="5" t="s">
        <v>42</v>
      </c>
      <c r="C68" s="5">
        <v>737</v>
      </c>
      <c r="D68" s="5">
        <v>5</v>
      </c>
      <c r="E68" s="5">
        <v>394</v>
      </c>
      <c r="F68" s="5">
        <v>343</v>
      </c>
      <c r="G68" s="7">
        <v>0.23</v>
      </c>
      <c r="H68" s="5">
        <v>180</v>
      </c>
      <c r="I68" s="5" t="s">
        <v>166</v>
      </c>
      <c r="J68" s="5"/>
      <c r="K68" s="5">
        <f>VLOOKUP(A68,[1]TDSheet!$A:$E,5,0)</f>
        <v>404</v>
      </c>
      <c r="L68" s="5">
        <f t="shared" si="21"/>
        <v>-10</v>
      </c>
      <c r="M68" s="5"/>
      <c r="N68" s="5"/>
      <c r="O68" s="5">
        <v>420</v>
      </c>
      <c r="P68" s="5">
        <f t="shared" si="22"/>
        <v>78.8</v>
      </c>
      <c r="Q68" s="4">
        <f t="shared" si="20"/>
        <v>340.20000000000005</v>
      </c>
      <c r="R68" s="4">
        <f t="shared" si="15"/>
        <v>336</v>
      </c>
      <c r="S68" s="5">
        <f t="shared" si="23"/>
        <v>13.946700507614214</v>
      </c>
      <c r="T68" s="5">
        <f t="shared" si="24"/>
        <v>9.68274111675127</v>
      </c>
      <c r="U68" s="5">
        <v>67.2</v>
      </c>
      <c r="V68" s="5">
        <v>75.8</v>
      </c>
      <c r="W68" s="5">
        <v>73.400000000000006</v>
      </c>
      <c r="X68" s="5">
        <v>64.2</v>
      </c>
      <c r="Y68" s="5">
        <v>60.6</v>
      </c>
      <c r="Z68" s="5">
        <v>41</v>
      </c>
      <c r="AA68" s="5">
        <v>66.2</v>
      </c>
      <c r="AB68" s="5">
        <v>64.2</v>
      </c>
      <c r="AC68" s="5">
        <v>53.8</v>
      </c>
      <c r="AD68" s="5">
        <v>71.8</v>
      </c>
      <c r="AE68" s="5"/>
      <c r="AF68" s="5">
        <f t="shared" si="16"/>
        <v>78.246000000000009</v>
      </c>
      <c r="AG68" s="7">
        <v>6</v>
      </c>
      <c r="AH68" s="9">
        <f t="shared" si="17"/>
        <v>56</v>
      </c>
      <c r="AI68" s="5">
        <f t="shared" si="18"/>
        <v>77.28</v>
      </c>
      <c r="AJ68" s="5">
        <v>14</v>
      </c>
      <c r="AK68" s="5">
        <v>140</v>
      </c>
      <c r="AL68" s="9">
        <f t="shared" si="19"/>
        <v>0.4</v>
      </c>
      <c r="AM68" s="5"/>
      <c r="AN68" s="5"/>
      <c r="AO68" s="5"/>
      <c r="AP68" s="5"/>
      <c r="AQ68" s="5"/>
      <c r="AR68" s="5"/>
      <c r="AS68" s="5"/>
      <c r="AT68" s="5"/>
      <c r="AU68" s="5"/>
    </row>
    <row r="69" spans="1:47" x14ac:dyDescent="0.25">
      <c r="A69" s="5" t="s">
        <v>167</v>
      </c>
      <c r="B69" s="5" t="s">
        <v>77</v>
      </c>
      <c r="C69" s="5">
        <v>351</v>
      </c>
      <c r="D69" s="5">
        <v>2.7</v>
      </c>
      <c r="E69" s="5">
        <v>260.33</v>
      </c>
      <c r="F69" s="5">
        <v>89.3</v>
      </c>
      <c r="G69" s="7">
        <v>1</v>
      </c>
      <c r="H69" s="5">
        <v>180</v>
      </c>
      <c r="I69" s="5" t="s">
        <v>168</v>
      </c>
      <c r="J69" s="5"/>
      <c r="K69" s="5">
        <f>VLOOKUP(A69,[1]TDSheet!$A:$E,5,0)</f>
        <v>264.39999999999998</v>
      </c>
      <c r="L69" s="5">
        <f t="shared" si="21"/>
        <v>-4.0699999999999932</v>
      </c>
      <c r="M69" s="5"/>
      <c r="N69" s="5"/>
      <c r="O69" s="5">
        <v>529.20000000000005</v>
      </c>
      <c r="P69" s="5">
        <f t="shared" si="22"/>
        <v>52.065999999999995</v>
      </c>
      <c r="Q69" s="4">
        <f t="shared" si="20"/>
        <v>110.42399999999994</v>
      </c>
      <c r="R69" s="4">
        <f t="shared" si="15"/>
        <v>113.4</v>
      </c>
      <c r="S69" s="5">
        <f t="shared" si="23"/>
        <v>14.057158222256367</v>
      </c>
      <c r="T69" s="5">
        <f t="shared" si="24"/>
        <v>11.879153382245612</v>
      </c>
      <c r="U69" s="5">
        <v>49.14</v>
      </c>
      <c r="V69" s="5">
        <v>39.96</v>
      </c>
      <c r="W69" s="5">
        <v>45.36</v>
      </c>
      <c r="X69" s="5">
        <v>38.880000000000003</v>
      </c>
      <c r="Y69" s="5">
        <v>43.739999999999988</v>
      </c>
      <c r="Z69" s="5">
        <v>11.88</v>
      </c>
      <c r="AA69" s="5">
        <v>42.12</v>
      </c>
      <c r="AB69" s="5">
        <v>34.54</v>
      </c>
      <c r="AC69" s="5">
        <v>34.56</v>
      </c>
      <c r="AD69" s="5">
        <v>46.98</v>
      </c>
      <c r="AE69" s="5"/>
      <c r="AF69" s="5">
        <f t="shared" si="16"/>
        <v>110.42399999999994</v>
      </c>
      <c r="AG69" s="7">
        <v>2.7</v>
      </c>
      <c r="AH69" s="9">
        <f t="shared" si="17"/>
        <v>42</v>
      </c>
      <c r="AI69" s="5">
        <f t="shared" si="18"/>
        <v>113.4</v>
      </c>
      <c r="AJ69" s="5">
        <v>14</v>
      </c>
      <c r="AK69" s="5">
        <v>126</v>
      </c>
      <c r="AL69" s="9">
        <f t="shared" si="19"/>
        <v>0.33333333333333331</v>
      </c>
      <c r="AM69" s="5"/>
      <c r="AN69" s="5"/>
      <c r="AO69" s="5"/>
      <c r="AP69" s="5"/>
      <c r="AQ69" s="5"/>
      <c r="AR69" s="5"/>
      <c r="AS69" s="5"/>
      <c r="AT69" s="5"/>
      <c r="AU69" s="5"/>
    </row>
    <row r="70" spans="1:47" x14ac:dyDescent="0.25">
      <c r="A70" s="5" t="s">
        <v>169</v>
      </c>
      <c r="B70" s="5" t="s">
        <v>77</v>
      </c>
      <c r="C70" s="5">
        <v>1435</v>
      </c>
      <c r="D70" s="5"/>
      <c r="E70" s="5">
        <v>691</v>
      </c>
      <c r="F70" s="5">
        <v>744</v>
      </c>
      <c r="G70" s="7">
        <v>1</v>
      </c>
      <c r="H70" s="5">
        <v>180</v>
      </c>
      <c r="I70" s="5" t="s">
        <v>170</v>
      </c>
      <c r="J70" s="5"/>
      <c r="K70" s="5">
        <f>VLOOKUP(A70,[1]TDSheet!$A:$E,5,0)</f>
        <v>699.1</v>
      </c>
      <c r="L70" s="5">
        <f t="shared" ref="L70" si="25">E70-K70</f>
        <v>-8.1000000000000227</v>
      </c>
      <c r="M70" s="5"/>
      <c r="N70" s="5"/>
      <c r="O70" s="5">
        <v>1560</v>
      </c>
      <c r="P70" s="5">
        <f t="shared" si="22"/>
        <v>138.19999999999999</v>
      </c>
      <c r="Q70" s="4"/>
      <c r="R70" s="4">
        <f t="shared" si="15"/>
        <v>0</v>
      </c>
      <c r="S70" s="5">
        <f t="shared" ref="S70" si="26">(F70+O70+R70)/P70</f>
        <v>16.671490593342984</v>
      </c>
      <c r="T70" s="5">
        <f t="shared" si="24"/>
        <v>16.671490593342984</v>
      </c>
      <c r="U70" s="5">
        <v>168</v>
      </c>
      <c r="V70" s="5">
        <v>152</v>
      </c>
      <c r="W70" s="5">
        <v>156</v>
      </c>
      <c r="X70" s="5">
        <v>150</v>
      </c>
      <c r="Y70" s="5">
        <v>119</v>
      </c>
      <c r="Z70" s="5">
        <v>88</v>
      </c>
      <c r="AA70" s="5">
        <v>161</v>
      </c>
      <c r="AB70" s="5">
        <v>132</v>
      </c>
      <c r="AC70" s="5">
        <v>128</v>
      </c>
      <c r="AD70" s="5">
        <v>122</v>
      </c>
      <c r="AE70" s="5"/>
      <c r="AF70" s="5">
        <f t="shared" si="16"/>
        <v>0</v>
      </c>
      <c r="AG70" s="7">
        <v>5</v>
      </c>
      <c r="AH70" s="9">
        <f t="shared" si="17"/>
        <v>0</v>
      </c>
      <c r="AI70" s="5">
        <f t="shared" si="18"/>
        <v>0</v>
      </c>
      <c r="AJ70" s="5">
        <v>12</v>
      </c>
      <c r="AK70" s="5">
        <v>84</v>
      </c>
      <c r="AL70" s="9">
        <f t="shared" si="19"/>
        <v>0</v>
      </c>
      <c r="AM70" s="5"/>
      <c r="AN70" s="5"/>
      <c r="AO70" s="5"/>
      <c r="AP70" s="5"/>
      <c r="AQ70" s="5"/>
      <c r="AR70" s="5"/>
      <c r="AS70" s="5"/>
      <c r="AT70" s="5"/>
      <c r="AU70" s="5"/>
    </row>
    <row r="71" spans="1:47" s="23" customFormat="1" x14ac:dyDescent="0.25">
      <c r="A71" s="18" t="s">
        <v>171</v>
      </c>
      <c r="B71" s="19" t="s">
        <v>42</v>
      </c>
      <c r="C71" s="19"/>
      <c r="D71" s="19"/>
      <c r="E71" s="19"/>
      <c r="F71" s="19"/>
      <c r="G71" s="20">
        <v>0.23</v>
      </c>
      <c r="H71" s="19"/>
      <c r="I71" s="19" t="s">
        <v>172</v>
      </c>
      <c r="J71" s="19"/>
      <c r="K71" s="19"/>
      <c r="L71" s="19"/>
      <c r="M71" s="19"/>
      <c r="N71" s="19"/>
      <c r="O71" s="19"/>
      <c r="P71" s="19">
        <f t="shared" si="22"/>
        <v>0</v>
      </c>
      <c r="Q71" s="21">
        <f>AG71*AJ71</f>
        <v>84</v>
      </c>
      <c r="R71" s="21">
        <f t="shared" si="15"/>
        <v>84</v>
      </c>
      <c r="S71" s="19" t="e">
        <f t="shared" ref="S71:S72" si="27">(F71+R71)/P71</f>
        <v>#DIV/0!</v>
      </c>
      <c r="T71" s="19" t="e">
        <f t="shared" ref="T71:T72" si="28">F71/P71</f>
        <v>#DIV/0!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 t="s">
        <v>130</v>
      </c>
      <c r="AF71" s="19">
        <f t="shared" si="16"/>
        <v>19.32</v>
      </c>
      <c r="AG71" s="20">
        <v>6</v>
      </c>
      <c r="AH71" s="22">
        <f t="shared" si="17"/>
        <v>14</v>
      </c>
      <c r="AI71" s="19">
        <f t="shared" si="18"/>
        <v>19.32</v>
      </c>
      <c r="AJ71" s="19">
        <v>14</v>
      </c>
      <c r="AK71" s="19">
        <v>140</v>
      </c>
      <c r="AL71" s="22">
        <f t="shared" si="19"/>
        <v>0.1</v>
      </c>
      <c r="AM71" s="5"/>
      <c r="AN71" s="5"/>
      <c r="AO71" s="5"/>
      <c r="AP71" s="5"/>
      <c r="AQ71" s="5"/>
      <c r="AR71" s="5"/>
      <c r="AS71" s="5"/>
      <c r="AT71" s="5"/>
      <c r="AU71" s="5"/>
    </row>
    <row r="72" spans="1:47" s="23" customFormat="1" x14ac:dyDescent="0.25">
      <c r="A72" s="18" t="s">
        <v>173</v>
      </c>
      <c r="B72" s="19" t="s">
        <v>42</v>
      </c>
      <c r="C72" s="19"/>
      <c r="D72" s="19"/>
      <c r="E72" s="19"/>
      <c r="F72" s="19"/>
      <c r="G72" s="20">
        <v>0.22</v>
      </c>
      <c r="H72" s="19"/>
      <c r="I72" s="19" t="s">
        <v>172</v>
      </c>
      <c r="J72" s="19"/>
      <c r="K72" s="19"/>
      <c r="L72" s="19"/>
      <c r="M72" s="19"/>
      <c r="N72" s="19"/>
      <c r="O72" s="19"/>
      <c r="P72" s="19">
        <f t="shared" si="22"/>
        <v>0</v>
      </c>
      <c r="Q72" s="21">
        <f>AG72*AJ72</f>
        <v>84</v>
      </c>
      <c r="R72" s="21">
        <f t="shared" si="15"/>
        <v>84</v>
      </c>
      <c r="S72" s="19" t="e">
        <f t="shared" si="27"/>
        <v>#DIV/0!</v>
      </c>
      <c r="T72" s="19" t="e">
        <f t="shared" si="28"/>
        <v>#DIV/0!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 t="s">
        <v>130</v>
      </c>
      <c r="AF72" s="19">
        <f t="shared" si="16"/>
        <v>18.48</v>
      </c>
      <c r="AG72" s="20">
        <v>6</v>
      </c>
      <c r="AH72" s="22">
        <f t="shared" si="17"/>
        <v>14</v>
      </c>
      <c r="AI72" s="19">
        <f t="shared" si="18"/>
        <v>18.48</v>
      </c>
      <c r="AJ72" s="19">
        <v>14</v>
      </c>
      <c r="AK72" s="19">
        <v>140</v>
      </c>
      <c r="AL72" s="22">
        <f t="shared" si="19"/>
        <v>0.1</v>
      </c>
      <c r="AM72" s="5"/>
      <c r="AN72" s="5"/>
      <c r="AO72" s="5"/>
      <c r="AP72" s="5"/>
      <c r="AQ72" s="5"/>
      <c r="AR72" s="5"/>
      <c r="AS72" s="5"/>
      <c r="AT72" s="5"/>
      <c r="AU72" s="5"/>
    </row>
    <row r="73" spans="1:47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7"/>
      <c r="AH73" s="9"/>
      <c r="AI73" s="5"/>
      <c r="AJ73" s="5"/>
      <c r="AK73" s="5"/>
      <c r="AL73" s="9"/>
      <c r="AM73" s="5"/>
      <c r="AN73" s="5"/>
      <c r="AO73" s="5"/>
      <c r="AP73" s="5"/>
      <c r="AQ73" s="5"/>
      <c r="AR73" s="5"/>
      <c r="AS73" s="5"/>
      <c r="AT73" s="5"/>
      <c r="AU73" s="5"/>
    </row>
    <row r="74" spans="1:47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7"/>
      <c r="AH74" s="9"/>
      <c r="AI74" s="5"/>
      <c r="AJ74" s="5"/>
      <c r="AK74" s="5"/>
      <c r="AL74" s="9"/>
      <c r="AM74" s="5"/>
      <c r="AN74" s="5"/>
      <c r="AO74" s="5"/>
      <c r="AP74" s="5"/>
      <c r="AQ74" s="5"/>
      <c r="AR74" s="5"/>
      <c r="AS74" s="5"/>
      <c r="AT74" s="5"/>
      <c r="AU74" s="5"/>
    </row>
    <row r="75" spans="1:47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7"/>
      <c r="AH75" s="9"/>
      <c r="AI75" s="5"/>
      <c r="AJ75" s="5"/>
      <c r="AK75" s="5"/>
      <c r="AL75" s="9"/>
      <c r="AM75" s="5"/>
      <c r="AN75" s="5"/>
      <c r="AO75" s="5"/>
      <c r="AP75" s="5"/>
      <c r="AQ75" s="5"/>
      <c r="AR75" s="5"/>
      <c r="AS75" s="5"/>
      <c r="AT75" s="5"/>
      <c r="AU75" s="5"/>
    </row>
    <row r="76" spans="1:47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7"/>
      <c r="AH76" s="9"/>
      <c r="AI76" s="5"/>
      <c r="AJ76" s="5"/>
      <c r="AK76" s="5"/>
      <c r="AL76" s="9"/>
      <c r="AM76" s="5"/>
      <c r="AN76" s="5"/>
      <c r="AO76" s="5"/>
      <c r="AP76" s="5"/>
      <c r="AQ76" s="5"/>
      <c r="AR76" s="5"/>
      <c r="AS76" s="5"/>
      <c r="AT76" s="5"/>
      <c r="AU76" s="5"/>
    </row>
    <row r="77" spans="1:47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7"/>
      <c r="AH77" s="9"/>
      <c r="AI77" s="5"/>
      <c r="AJ77" s="5"/>
      <c r="AK77" s="5"/>
      <c r="AL77" s="9"/>
      <c r="AM77" s="5"/>
      <c r="AN77" s="5"/>
      <c r="AO77" s="5"/>
      <c r="AP77" s="5"/>
      <c r="AQ77" s="5"/>
      <c r="AR77" s="5"/>
      <c r="AS77" s="5"/>
      <c r="AT77" s="5"/>
      <c r="AU77" s="5"/>
    </row>
    <row r="78" spans="1:47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7"/>
      <c r="AH78" s="9"/>
      <c r="AI78" s="5"/>
      <c r="AJ78" s="5"/>
      <c r="AK78" s="5"/>
      <c r="AL78" s="9"/>
      <c r="AM78" s="5"/>
      <c r="AN78" s="5"/>
      <c r="AO78" s="5"/>
      <c r="AP78" s="5"/>
      <c r="AQ78" s="5"/>
      <c r="AR78" s="5"/>
      <c r="AS78" s="5"/>
      <c r="AT78" s="5"/>
      <c r="AU78" s="5"/>
    </row>
    <row r="79" spans="1:47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7"/>
      <c r="AH79" s="9"/>
      <c r="AI79" s="5"/>
      <c r="AJ79" s="5"/>
      <c r="AK79" s="5"/>
      <c r="AL79" s="9"/>
      <c r="AM79" s="5"/>
      <c r="AN79" s="5"/>
      <c r="AO79" s="5"/>
      <c r="AP79" s="5"/>
      <c r="AQ79" s="5"/>
      <c r="AR79" s="5"/>
      <c r="AS79" s="5"/>
      <c r="AT79" s="5"/>
      <c r="AU79" s="5"/>
    </row>
    <row r="80" spans="1:47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7"/>
      <c r="AH80" s="9"/>
      <c r="AI80" s="5"/>
      <c r="AJ80" s="5"/>
      <c r="AK80" s="5"/>
      <c r="AL80" s="9"/>
      <c r="AM80" s="5"/>
      <c r="AN80" s="5"/>
      <c r="AO80" s="5"/>
      <c r="AP80" s="5"/>
      <c r="AQ80" s="5"/>
      <c r="AR80" s="5"/>
      <c r="AS80" s="5"/>
      <c r="AT80" s="5"/>
      <c r="AU80" s="5"/>
    </row>
    <row r="81" spans="1:47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7"/>
      <c r="AH81" s="9"/>
      <c r="AI81" s="5"/>
      <c r="AJ81" s="5"/>
      <c r="AK81" s="5"/>
      <c r="AL81" s="9"/>
      <c r="AM81" s="5"/>
      <c r="AN81" s="5"/>
      <c r="AO81" s="5"/>
      <c r="AP81" s="5"/>
      <c r="AQ81" s="5"/>
      <c r="AR81" s="5"/>
      <c r="AS81" s="5"/>
      <c r="AT81" s="5"/>
      <c r="AU81" s="5"/>
    </row>
    <row r="82" spans="1:47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7"/>
      <c r="AH82" s="9"/>
      <c r="AI82" s="5"/>
      <c r="AJ82" s="5"/>
      <c r="AK82" s="5"/>
      <c r="AL82" s="9"/>
      <c r="AM82" s="5"/>
      <c r="AN82" s="5"/>
      <c r="AO82" s="5"/>
      <c r="AP82" s="5"/>
      <c r="AQ82" s="5"/>
      <c r="AR82" s="5"/>
      <c r="AS82" s="5"/>
      <c r="AT82" s="5"/>
      <c r="AU82" s="5"/>
    </row>
    <row r="83" spans="1:47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</row>
    <row r="84" spans="1:47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</row>
    <row r="85" spans="1:47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</row>
    <row r="86" spans="1:47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</row>
    <row r="87" spans="1:47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</row>
    <row r="88" spans="1:47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</row>
    <row r="89" spans="1:47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</row>
    <row r="90" spans="1:47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</row>
    <row r="91" spans="1:47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</row>
    <row r="92" spans="1:47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</row>
    <row r="93" spans="1:47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</row>
    <row r="94" spans="1:47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</row>
    <row r="95" spans="1:47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</row>
    <row r="96" spans="1:47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</row>
    <row r="97" spans="1:47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</row>
    <row r="98" spans="1:47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</row>
    <row r="99" spans="1:47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</row>
    <row r="100" spans="1:47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</row>
    <row r="101" spans="1:47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</row>
    <row r="102" spans="1:47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</row>
    <row r="103" spans="1:47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</row>
    <row r="104" spans="1:47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</row>
    <row r="105" spans="1:47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</row>
    <row r="106" spans="1:47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</row>
    <row r="107" spans="1:47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</row>
    <row r="108" spans="1:47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</row>
    <row r="109" spans="1:47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</row>
    <row r="110" spans="1:47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</row>
    <row r="111" spans="1:47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</row>
    <row r="112" spans="1:47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</row>
    <row r="113" spans="1:47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</row>
    <row r="114" spans="1:47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</row>
    <row r="115" spans="1:47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</row>
    <row r="116" spans="1:47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</row>
    <row r="117" spans="1:47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</row>
    <row r="118" spans="1:47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</row>
    <row r="119" spans="1:47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</row>
    <row r="120" spans="1:47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</row>
    <row r="121" spans="1:47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</row>
    <row r="122" spans="1:47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</row>
    <row r="123" spans="1:47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</row>
    <row r="124" spans="1:47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</row>
    <row r="125" spans="1:47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</row>
    <row r="126" spans="1:47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</row>
    <row r="127" spans="1:47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</row>
    <row r="128" spans="1:47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</row>
    <row r="129" spans="1:47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</row>
    <row r="130" spans="1:47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</row>
    <row r="131" spans="1:47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</row>
    <row r="132" spans="1:47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</row>
    <row r="133" spans="1:47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</row>
    <row r="134" spans="1:47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</row>
    <row r="135" spans="1:47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</row>
    <row r="136" spans="1:47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</row>
    <row r="137" spans="1:47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</row>
    <row r="138" spans="1:47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</row>
    <row r="139" spans="1:47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</row>
    <row r="140" spans="1:47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</row>
    <row r="141" spans="1:47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</row>
    <row r="142" spans="1:47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</row>
    <row r="143" spans="1:47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</row>
    <row r="144" spans="1:47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</row>
    <row r="145" spans="1:47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</row>
    <row r="146" spans="1:47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</row>
    <row r="147" spans="1:47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</row>
    <row r="148" spans="1:47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</row>
    <row r="149" spans="1:47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</row>
    <row r="150" spans="1:47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</row>
    <row r="151" spans="1:47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</row>
    <row r="152" spans="1:47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</row>
    <row r="153" spans="1:47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</row>
    <row r="154" spans="1:47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</row>
    <row r="155" spans="1:47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</row>
    <row r="156" spans="1:47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</row>
    <row r="157" spans="1:47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</row>
    <row r="158" spans="1:47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</row>
    <row r="159" spans="1:47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</row>
    <row r="160" spans="1:47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</row>
    <row r="161" spans="1:47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</row>
    <row r="162" spans="1:47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</row>
    <row r="163" spans="1:47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</row>
    <row r="164" spans="1:47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</row>
    <row r="165" spans="1:47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</row>
    <row r="166" spans="1:47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</row>
    <row r="167" spans="1:47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</row>
    <row r="168" spans="1:47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</row>
    <row r="169" spans="1:47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</row>
    <row r="170" spans="1:47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</row>
    <row r="171" spans="1:47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</row>
    <row r="172" spans="1:47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</row>
    <row r="173" spans="1:47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</row>
    <row r="174" spans="1:47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</row>
    <row r="175" spans="1:47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</row>
    <row r="176" spans="1:47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</row>
    <row r="177" spans="1:47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</row>
    <row r="178" spans="1:47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</row>
    <row r="179" spans="1:47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</row>
    <row r="180" spans="1:47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</row>
    <row r="181" spans="1:47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</row>
    <row r="182" spans="1:47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</row>
    <row r="183" spans="1:47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</row>
    <row r="184" spans="1:47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</row>
    <row r="185" spans="1:47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</row>
    <row r="186" spans="1:47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</row>
    <row r="187" spans="1:47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</row>
    <row r="188" spans="1:47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</row>
    <row r="189" spans="1:47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</row>
    <row r="190" spans="1:47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</row>
    <row r="191" spans="1:47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</row>
    <row r="192" spans="1:47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</row>
    <row r="193" spans="1:47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</row>
    <row r="194" spans="1:47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</row>
    <row r="195" spans="1:47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</row>
    <row r="196" spans="1:47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</row>
    <row r="197" spans="1:47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</row>
    <row r="198" spans="1:47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</row>
    <row r="199" spans="1:47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</row>
    <row r="200" spans="1:47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</row>
    <row r="201" spans="1:47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</row>
    <row r="202" spans="1:47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</row>
    <row r="203" spans="1:47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</row>
    <row r="204" spans="1:47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</row>
    <row r="205" spans="1:47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</row>
    <row r="206" spans="1:47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</row>
    <row r="207" spans="1:47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</row>
    <row r="208" spans="1:47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</row>
    <row r="209" spans="1:47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</row>
    <row r="210" spans="1:47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</row>
    <row r="211" spans="1:47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</row>
    <row r="212" spans="1:47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</row>
    <row r="213" spans="1:47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</row>
    <row r="214" spans="1:47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</row>
    <row r="215" spans="1:47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</row>
    <row r="216" spans="1:47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</row>
    <row r="217" spans="1:47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</row>
    <row r="218" spans="1:47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</row>
    <row r="219" spans="1:47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</row>
    <row r="220" spans="1:47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</row>
    <row r="221" spans="1:47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</row>
    <row r="222" spans="1:47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</row>
    <row r="223" spans="1:47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</row>
    <row r="224" spans="1:47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</row>
    <row r="225" spans="1:47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</row>
    <row r="226" spans="1:47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</row>
    <row r="227" spans="1:47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</row>
    <row r="228" spans="1:47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</row>
    <row r="229" spans="1:47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</row>
    <row r="230" spans="1:47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</row>
    <row r="231" spans="1:47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</row>
    <row r="232" spans="1:47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</row>
    <row r="233" spans="1:47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</row>
    <row r="234" spans="1:47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</row>
    <row r="235" spans="1:47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</row>
    <row r="236" spans="1:47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</row>
    <row r="237" spans="1:47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</row>
    <row r="238" spans="1:47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</row>
    <row r="239" spans="1:47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</row>
    <row r="240" spans="1:47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</row>
    <row r="241" spans="1:47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</row>
    <row r="242" spans="1:47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</row>
    <row r="243" spans="1:47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</row>
    <row r="244" spans="1:47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</row>
    <row r="245" spans="1:47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</row>
    <row r="246" spans="1:47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</row>
    <row r="247" spans="1:47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</row>
    <row r="248" spans="1:47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</row>
    <row r="249" spans="1:47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</row>
    <row r="250" spans="1:47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</row>
    <row r="251" spans="1:47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</row>
    <row r="252" spans="1:47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</row>
    <row r="253" spans="1:47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</row>
    <row r="254" spans="1:47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</row>
    <row r="255" spans="1:47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</row>
    <row r="256" spans="1:47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</row>
    <row r="257" spans="1:47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</row>
    <row r="258" spans="1:47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</row>
    <row r="259" spans="1:47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</row>
    <row r="260" spans="1:47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</row>
    <row r="261" spans="1:47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</row>
    <row r="262" spans="1:47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</row>
    <row r="263" spans="1:47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</row>
    <row r="264" spans="1:47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</row>
    <row r="265" spans="1:47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</row>
    <row r="266" spans="1:47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</row>
    <row r="267" spans="1:47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</row>
    <row r="268" spans="1:47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</row>
    <row r="269" spans="1:47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</row>
    <row r="270" spans="1:47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</row>
    <row r="271" spans="1:47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</row>
    <row r="272" spans="1:47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</row>
    <row r="273" spans="1:47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</row>
    <row r="274" spans="1:47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</row>
    <row r="275" spans="1:47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</row>
    <row r="276" spans="1:47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</row>
    <row r="277" spans="1:47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</row>
    <row r="278" spans="1:47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</row>
    <row r="279" spans="1:47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</row>
    <row r="280" spans="1:47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</row>
    <row r="281" spans="1:47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</row>
    <row r="282" spans="1:47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</row>
    <row r="283" spans="1:47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</row>
    <row r="284" spans="1:47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</row>
    <row r="285" spans="1:47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</row>
    <row r="286" spans="1:47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</row>
    <row r="287" spans="1:47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</row>
    <row r="288" spans="1:47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</row>
    <row r="289" spans="1:47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</row>
    <row r="290" spans="1:47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</row>
    <row r="291" spans="1:47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</row>
    <row r="292" spans="1:47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</row>
    <row r="293" spans="1:47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</row>
    <row r="294" spans="1:47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</row>
    <row r="295" spans="1:47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</row>
    <row r="296" spans="1:47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</row>
    <row r="297" spans="1:47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</row>
    <row r="298" spans="1:47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</row>
    <row r="299" spans="1:47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</row>
    <row r="300" spans="1:47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</row>
    <row r="301" spans="1:47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</row>
    <row r="302" spans="1:47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</row>
    <row r="303" spans="1:47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</row>
    <row r="304" spans="1:47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</row>
    <row r="305" spans="1:47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</row>
    <row r="306" spans="1:47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</row>
    <row r="307" spans="1:47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</row>
    <row r="308" spans="1:47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</row>
    <row r="309" spans="1:47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</row>
    <row r="310" spans="1:47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</row>
    <row r="311" spans="1:47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</row>
    <row r="312" spans="1:47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</row>
    <row r="313" spans="1:47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</row>
    <row r="314" spans="1:47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</row>
    <row r="315" spans="1:47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</row>
    <row r="316" spans="1:47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</row>
    <row r="317" spans="1:47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</row>
    <row r="318" spans="1:47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</row>
    <row r="319" spans="1:47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</row>
    <row r="320" spans="1:47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</row>
    <row r="321" spans="1:47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</row>
    <row r="322" spans="1:47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</row>
    <row r="323" spans="1:47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</row>
    <row r="324" spans="1:47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</row>
    <row r="325" spans="1:47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</row>
    <row r="326" spans="1:47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</row>
    <row r="327" spans="1:47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</row>
    <row r="328" spans="1:47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</row>
    <row r="329" spans="1:47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</row>
    <row r="330" spans="1:47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</row>
    <row r="331" spans="1:47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</row>
    <row r="332" spans="1:47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</row>
    <row r="333" spans="1:47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</row>
    <row r="334" spans="1:47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</row>
    <row r="335" spans="1:47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</row>
    <row r="336" spans="1:47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</row>
    <row r="337" spans="1:47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</row>
    <row r="338" spans="1:47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</row>
    <row r="339" spans="1:47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</row>
    <row r="340" spans="1:47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</row>
    <row r="341" spans="1:47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</row>
    <row r="342" spans="1:47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</row>
    <row r="343" spans="1:47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</row>
    <row r="344" spans="1:47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</row>
    <row r="345" spans="1:47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</row>
    <row r="346" spans="1:47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</row>
    <row r="347" spans="1:47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</row>
    <row r="348" spans="1:47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</row>
    <row r="349" spans="1:47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</row>
    <row r="350" spans="1:47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</row>
    <row r="351" spans="1:47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</row>
    <row r="352" spans="1:47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</row>
    <row r="353" spans="1:47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</row>
    <row r="354" spans="1:47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</row>
    <row r="355" spans="1:47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</row>
    <row r="356" spans="1:47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</row>
    <row r="357" spans="1:47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</row>
    <row r="358" spans="1:47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</row>
    <row r="359" spans="1:47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</row>
    <row r="360" spans="1:47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</row>
    <row r="361" spans="1:47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</row>
    <row r="362" spans="1:47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</row>
    <row r="363" spans="1:47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</row>
    <row r="364" spans="1:47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</row>
    <row r="365" spans="1:47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</row>
    <row r="366" spans="1:47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</row>
    <row r="367" spans="1:47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</row>
    <row r="368" spans="1:47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</row>
    <row r="369" spans="1:47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</row>
    <row r="370" spans="1:47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</row>
    <row r="371" spans="1:47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</row>
    <row r="372" spans="1:47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</row>
    <row r="373" spans="1:47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</row>
    <row r="374" spans="1:47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</row>
    <row r="375" spans="1:47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</row>
    <row r="376" spans="1:47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</row>
    <row r="377" spans="1:47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</row>
    <row r="378" spans="1:47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</row>
    <row r="379" spans="1:47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</row>
    <row r="380" spans="1:47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</row>
    <row r="381" spans="1:47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</row>
    <row r="382" spans="1:47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</row>
    <row r="383" spans="1:47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</row>
    <row r="384" spans="1:47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</row>
    <row r="385" spans="1:47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</row>
    <row r="386" spans="1:47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</row>
    <row r="387" spans="1:47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</row>
    <row r="388" spans="1:47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</row>
    <row r="389" spans="1:47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</row>
    <row r="390" spans="1:47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</row>
    <row r="391" spans="1:47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</row>
    <row r="392" spans="1:47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</row>
    <row r="393" spans="1:47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</row>
    <row r="394" spans="1:47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</row>
    <row r="395" spans="1:47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</row>
    <row r="396" spans="1:47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</row>
    <row r="397" spans="1:47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</row>
    <row r="398" spans="1:47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</row>
    <row r="399" spans="1:47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</row>
    <row r="400" spans="1:47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</row>
    <row r="401" spans="1:47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</row>
    <row r="402" spans="1:47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</row>
    <row r="403" spans="1:47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</row>
    <row r="404" spans="1:47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</row>
    <row r="405" spans="1:47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</row>
    <row r="406" spans="1:47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</row>
    <row r="407" spans="1:47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</row>
    <row r="408" spans="1:47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</row>
    <row r="409" spans="1:47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</row>
    <row r="410" spans="1:47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</row>
    <row r="411" spans="1:47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</row>
    <row r="412" spans="1:47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</row>
    <row r="413" spans="1:47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</row>
    <row r="414" spans="1:47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</row>
    <row r="415" spans="1:47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</row>
    <row r="416" spans="1:47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</row>
    <row r="417" spans="1:47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</row>
    <row r="418" spans="1:47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</row>
    <row r="419" spans="1:47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</row>
    <row r="420" spans="1:47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</row>
    <row r="421" spans="1:47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</row>
    <row r="422" spans="1:47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</row>
    <row r="423" spans="1:47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</row>
    <row r="424" spans="1:47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</row>
    <row r="425" spans="1:47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</row>
    <row r="426" spans="1:47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</row>
    <row r="427" spans="1:47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</row>
    <row r="428" spans="1:47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</row>
    <row r="429" spans="1:47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</row>
    <row r="430" spans="1:47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</row>
    <row r="431" spans="1:47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</row>
    <row r="432" spans="1:47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</row>
    <row r="433" spans="1:47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</row>
    <row r="434" spans="1:47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</row>
    <row r="435" spans="1:47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</row>
    <row r="436" spans="1:47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</row>
    <row r="437" spans="1:47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</row>
    <row r="438" spans="1:47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</row>
    <row r="439" spans="1:47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</row>
    <row r="440" spans="1:47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</row>
    <row r="441" spans="1:47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</row>
    <row r="442" spans="1:47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</row>
    <row r="443" spans="1:47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</row>
    <row r="444" spans="1:47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</row>
    <row r="445" spans="1:47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</row>
    <row r="446" spans="1:47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</row>
    <row r="447" spans="1:47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</row>
    <row r="448" spans="1:47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</row>
    <row r="449" spans="1:47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</row>
    <row r="450" spans="1:47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</row>
    <row r="451" spans="1:47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</row>
    <row r="452" spans="1:47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</row>
    <row r="453" spans="1:47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</row>
    <row r="454" spans="1:47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</row>
    <row r="455" spans="1:47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</row>
    <row r="456" spans="1:47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</row>
    <row r="457" spans="1:47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</row>
    <row r="458" spans="1:47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</row>
    <row r="459" spans="1:47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</row>
    <row r="460" spans="1:47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</row>
    <row r="461" spans="1:47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</row>
    <row r="462" spans="1:47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</row>
    <row r="463" spans="1:47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</row>
    <row r="464" spans="1:47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</row>
    <row r="465" spans="1:47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</row>
    <row r="466" spans="1:47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</row>
    <row r="467" spans="1:47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</row>
    <row r="468" spans="1:47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</row>
    <row r="469" spans="1:47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</row>
    <row r="470" spans="1:47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</row>
    <row r="471" spans="1:47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</row>
    <row r="472" spans="1:47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</row>
    <row r="473" spans="1:47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</row>
    <row r="474" spans="1:47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</row>
    <row r="475" spans="1:47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</row>
    <row r="476" spans="1:47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</row>
    <row r="477" spans="1:47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</row>
    <row r="478" spans="1:47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</row>
    <row r="479" spans="1:47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</row>
    <row r="480" spans="1:47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</row>
    <row r="481" spans="1:47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</row>
    <row r="482" spans="1:47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</row>
    <row r="483" spans="1:47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</row>
    <row r="484" spans="1:47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</row>
    <row r="485" spans="1:47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</row>
    <row r="486" spans="1:47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</row>
    <row r="487" spans="1:47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</row>
    <row r="488" spans="1:47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</row>
    <row r="489" spans="1:47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</row>
    <row r="490" spans="1:47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</row>
    <row r="491" spans="1:47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</row>
    <row r="492" spans="1:47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</row>
    <row r="493" spans="1:47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</row>
    <row r="494" spans="1:47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</row>
    <row r="495" spans="1:47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</row>
    <row r="496" spans="1:47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</row>
    <row r="497" spans="1:47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</row>
    <row r="498" spans="1:47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</row>
    <row r="499" spans="1:47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9"/>
      <c r="AI499" s="5"/>
      <c r="AJ499" s="5"/>
      <c r="AK499" s="5"/>
      <c r="AL499" s="9"/>
      <c r="AM499" s="5"/>
      <c r="AN499" s="5"/>
      <c r="AO499" s="5"/>
      <c r="AP499" s="5"/>
      <c r="AQ499" s="5"/>
      <c r="AR499" s="5"/>
      <c r="AS499" s="5"/>
      <c r="AT499" s="5"/>
      <c r="AU499" s="5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2026-08-13T08:31:28Z</dcterms:created>
  <dcterms:modified xsi:type="dcterms:W3CDTF">2026-08-16T06:39:54Z</dcterms:modified>
</cp:coreProperties>
</file>