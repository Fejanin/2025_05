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30,10 Вояж(Луганск) ЗПФ ЛП ближ\"/>
    </mc:Choice>
  </mc:AlternateContent>
  <xr:revisionPtr revIDLastSave="0" documentId="13_ncr:1_{A7E74144-EE5A-4317-8C00-0BB09A5CF1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заказа'!$B$118:$B$118</definedName>
    <definedName name="ProductId47">'Бланк заказа'!$B$122:$B$122</definedName>
    <definedName name="ProductId48">'Бланк заказа'!$B$127:$B$127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заказа'!$B$183:$B$183</definedName>
    <definedName name="ProductId67">'Бланк заказа'!$B$188:$B$188</definedName>
    <definedName name="ProductId68">'Бланк заказа'!$B$189:$B$189</definedName>
    <definedName name="ProductId69">'Бланк заказа'!$B$194:$B$194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заказа'!$B$209:$B$209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заказа'!$X$118:$X$118</definedName>
    <definedName name="SalesQty47">'Бланк заказа'!$X$122:$X$122</definedName>
    <definedName name="SalesQty48">'Бланк заказа'!$X$127:$X$127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заказа'!$X$183:$X$183</definedName>
    <definedName name="SalesQty67">'Бланк заказа'!$X$188:$X$188</definedName>
    <definedName name="SalesQty68">'Бланк заказа'!$X$189:$X$189</definedName>
    <definedName name="SalesQty69">'Бланк заказа'!$X$194:$X$194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заказа'!$X$209:$X$209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заказа'!$Y$118:$Y$118</definedName>
    <definedName name="SalesRoundBox47">'Бланк заказа'!$Y$122:$Y$122</definedName>
    <definedName name="SalesRoundBox48">'Бланк заказа'!$Y$127:$Y$127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заказа'!$Y$183:$Y$183</definedName>
    <definedName name="SalesRoundBox67">'Бланк заказа'!$Y$188:$Y$188</definedName>
    <definedName name="SalesRoundBox68">'Бланк заказа'!$Y$189:$Y$189</definedName>
    <definedName name="SalesRoundBox69">'Бланк заказа'!$Y$194:$Y$194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заказа'!$Y$209:$Y$209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заказа'!$W$118:$W$118</definedName>
    <definedName name="UnitOfMeasure47">'Бланк заказа'!$W$122:$W$122</definedName>
    <definedName name="UnitOfMeasure48">'Бланк заказа'!$W$127:$W$127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заказа'!$W$183:$W$183</definedName>
    <definedName name="UnitOfMeasure67">'Бланк заказа'!$W$188:$W$188</definedName>
    <definedName name="UnitOfMeasure68">'Бланк заказа'!$W$189:$W$189</definedName>
    <definedName name="UnitOfMeasure69">'Бланк заказа'!$W$194:$W$194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заказа'!$W$209:$W$209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X266" i="2"/>
  <c r="X265" i="2"/>
  <c r="BO264" i="2"/>
  <c r="BM264" i="2"/>
  <c r="Z264" i="2"/>
  <c r="Y264" i="2"/>
  <c r="BN264" i="2" s="1"/>
  <c r="BO263" i="2"/>
  <c r="BM263" i="2"/>
  <c r="Z263" i="2"/>
  <c r="Y263" i="2"/>
  <c r="BP263" i="2" s="1"/>
  <c r="BO262" i="2"/>
  <c r="BM262" i="2"/>
  <c r="Z262" i="2"/>
  <c r="Z265" i="2" s="1"/>
  <c r="Y262" i="2"/>
  <c r="Y265" i="2" s="1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P257" i="2"/>
  <c r="X253" i="2"/>
  <c r="X252" i="2"/>
  <c r="BO251" i="2"/>
  <c r="BM251" i="2"/>
  <c r="Z251" i="2"/>
  <c r="Z252" i="2" s="1"/>
  <c r="Y251" i="2"/>
  <c r="Y253" i="2" s="1"/>
  <c r="P251" i="2"/>
  <c r="X249" i="2"/>
  <c r="X248" i="2"/>
  <c r="BO247" i="2"/>
  <c r="BM247" i="2"/>
  <c r="Z247" i="2"/>
  <c r="Z248" i="2" s="1"/>
  <c r="Y247" i="2"/>
  <c r="BN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Y227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P219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P213" i="2"/>
  <c r="X211" i="2"/>
  <c r="X210" i="2"/>
  <c r="BO209" i="2"/>
  <c r="BM209" i="2"/>
  <c r="Z209" i="2"/>
  <c r="Z210" i="2" s="1"/>
  <c r="Y209" i="2"/>
  <c r="BN209" i="2" s="1"/>
  <c r="P209" i="2"/>
  <c r="X205" i="2"/>
  <c r="X204" i="2"/>
  <c r="BO203" i="2"/>
  <c r="BM203" i="2"/>
  <c r="Z203" i="2"/>
  <c r="Y203" i="2"/>
  <c r="BN203" i="2" s="1"/>
  <c r="P203" i="2"/>
  <c r="BO202" i="2"/>
  <c r="BM202" i="2"/>
  <c r="Z202" i="2"/>
  <c r="Y202" i="2"/>
  <c r="BN202" i="2" s="1"/>
  <c r="P202" i="2"/>
  <c r="BO201" i="2"/>
  <c r="BM201" i="2"/>
  <c r="Z201" i="2"/>
  <c r="Y201" i="2"/>
  <c r="P201" i="2"/>
  <c r="BO200" i="2"/>
  <c r="BM200" i="2"/>
  <c r="Z200" i="2"/>
  <c r="Y200" i="2"/>
  <c r="BP200" i="2" s="1"/>
  <c r="P200" i="2"/>
  <c r="X196" i="2"/>
  <c r="X195" i="2"/>
  <c r="BO194" i="2"/>
  <c r="BM194" i="2"/>
  <c r="Z194" i="2"/>
  <c r="Z195" i="2" s="1"/>
  <c r="Y194" i="2"/>
  <c r="Y196" i="2" s="1"/>
  <c r="P194" i="2"/>
  <c r="X191" i="2"/>
  <c r="X190" i="2"/>
  <c r="BO189" i="2"/>
  <c r="BM189" i="2"/>
  <c r="Z189" i="2"/>
  <c r="Y189" i="2"/>
  <c r="P189" i="2"/>
  <c r="BO188" i="2"/>
  <c r="BM188" i="2"/>
  <c r="Z188" i="2"/>
  <c r="Y188" i="2"/>
  <c r="BN188" i="2" s="1"/>
  <c r="P188" i="2"/>
  <c r="X185" i="2"/>
  <c r="X184" i="2"/>
  <c r="BO183" i="2"/>
  <c r="BM183" i="2"/>
  <c r="Z183" i="2"/>
  <c r="Z184" i="2" s="1"/>
  <c r="Y183" i="2"/>
  <c r="Y185" i="2" s="1"/>
  <c r="P183" i="2"/>
  <c r="X181" i="2"/>
  <c r="X180" i="2"/>
  <c r="BO179" i="2"/>
  <c r="BM179" i="2"/>
  <c r="Z179" i="2"/>
  <c r="Z180" i="2" s="1"/>
  <c r="Y179" i="2"/>
  <c r="Y180" i="2" s="1"/>
  <c r="P179" i="2"/>
  <c r="X175" i="2"/>
  <c r="X174" i="2"/>
  <c r="BO173" i="2"/>
  <c r="BM173" i="2"/>
  <c r="Z173" i="2"/>
  <c r="Z174" i="2" s="1"/>
  <c r="Y173" i="2"/>
  <c r="BN173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N152" i="2" s="1"/>
  <c r="P152" i="2"/>
  <c r="BO151" i="2"/>
  <c r="BM151" i="2"/>
  <c r="Z151" i="2"/>
  <c r="Y151" i="2"/>
  <c r="BN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9" i="2"/>
  <c r="X128" i="2"/>
  <c r="BO127" i="2"/>
  <c r="BM127" i="2"/>
  <c r="Z127" i="2"/>
  <c r="Z128" i="2" s="1"/>
  <c r="Y127" i="2"/>
  <c r="Y129" i="2" s="1"/>
  <c r="P127" i="2"/>
  <c r="X124" i="2"/>
  <c r="X123" i="2"/>
  <c r="BO122" i="2"/>
  <c r="BM122" i="2"/>
  <c r="Z122" i="2"/>
  <c r="Z123" i="2" s="1"/>
  <c r="Y122" i="2"/>
  <c r="BN122" i="2" s="1"/>
  <c r="P122" i="2"/>
  <c r="X120" i="2"/>
  <c r="X119" i="2"/>
  <c r="BO118" i="2"/>
  <c r="BM118" i="2"/>
  <c r="Z118" i="2"/>
  <c r="Z119" i="2" s="1"/>
  <c r="Y118" i="2"/>
  <c r="BN118" i="2" s="1"/>
  <c r="P118" i="2"/>
  <c r="X116" i="2"/>
  <c r="X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P109" i="2" s="1"/>
  <c r="P109" i="2"/>
  <c r="BO108" i="2"/>
  <c r="BM108" i="2"/>
  <c r="Z108" i="2"/>
  <c r="Y108" i="2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P102" i="2"/>
  <c r="BO101" i="2"/>
  <c r="BM101" i="2"/>
  <c r="Z101" i="2"/>
  <c r="Y101" i="2"/>
  <c r="BP101" i="2" s="1"/>
  <c r="P101" i="2"/>
  <c r="X98" i="2"/>
  <c r="X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BP85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N60" i="2" s="1"/>
  <c r="P60" i="2"/>
  <c r="BO59" i="2"/>
  <c r="BM59" i="2"/>
  <c r="Z59" i="2"/>
  <c r="Y59" i="2"/>
  <c r="BP59" i="2" s="1"/>
  <c r="P59" i="2"/>
  <c r="BO58" i="2"/>
  <c r="BM58" i="2"/>
  <c r="Z58" i="2"/>
  <c r="Y58" i="2"/>
  <c r="BP58" i="2" s="1"/>
  <c r="P58" i="2"/>
  <c r="BO57" i="2"/>
  <c r="BM57" i="2"/>
  <c r="Z57" i="2"/>
  <c r="Y57" i="2"/>
  <c r="P57" i="2"/>
  <c r="X54" i="2"/>
  <c r="X53" i="2"/>
  <c r="BO52" i="2"/>
  <c r="BM52" i="2"/>
  <c r="Z52" i="2"/>
  <c r="Y52" i="2"/>
  <c r="BN52" i="2" s="1"/>
  <c r="P52" i="2"/>
  <c r="BO51" i="2"/>
  <c r="BM51" i="2"/>
  <c r="Z51" i="2"/>
  <c r="Y51" i="2"/>
  <c r="P51" i="2"/>
  <c r="X48" i="2"/>
  <c r="X47" i="2"/>
  <c r="BO46" i="2"/>
  <c r="BM46" i="2"/>
  <c r="Z46" i="2"/>
  <c r="Y46" i="2"/>
  <c r="BP46" i="2" s="1"/>
  <c r="P46" i="2"/>
  <c r="BO45" i="2"/>
  <c r="BM45" i="2"/>
  <c r="Z45" i="2"/>
  <c r="Y45" i="2"/>
  <c r="P45" i="2"/>
  <c r="X41" i="2"/>
  <c r="X40" i="2"/>
  <c r="BO39" i="2"/>
  <c r="BM39" i="2"/>
  <c r="Z39" i="2"/>
  <c r="Y39" i="2"/>
  <c r="P39" i="2"/>
  <c r="BO38" i="2"/>
  <c r="BM38" i="2"/>
  <c r="Z38" i="2"/>
  <c r="Y38" i="2"/>
  <c r="P38" i="2"/>
  <c r="X35" i="2"/>
  <c r="X34" i="2"/>
  <c r="BO33" i="2"/>
  <c r="BM33" i="2"/>
  <c r="Z33" i="2"/>
  <c r="Z34" i="2" s="1"/>
  <c r="Y33" i="2"/>
  <c r="Y35" i="2" s="1"/>
  <c r="P33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147" i="2" l="1"/>
  <c r="Z159" i="2"/>
  <c r="BN27" i="2"/>
  <c r="BN29" i="2"/>
  <c r="Z47" i="2"/>
  <c r="Z53" i="2"/>
  <c r="Z61" i="2"/>
  <c r="BN59" i="2"/>
  <c r="Z70" i="2"/>
  <c r="BN65" i="2"/>
  <c r="Y70" i="2"/>
  <c r="Y76" i="2"/>
  <c r="Z76" i="2"/>
  <c r="BN75" i="2"/>
  <c r="Z87" i="2"/>
  <c r="BN95" i="2"/>
  <c r="BN101" i="2"/>
  <c r="Y104" i="2"/>
  <c r="BN113" i="2"/>
  <c r="Y128" i="2"/>
  <c r="Z135" i="2"/>
  <c r="Z204" i="2"/>
  <c r="BN200" i="2"/>
  <c r="Y204" i="2"/>
  <c r="Y216" i="2"/>
  <c r="Y222" i="2"/>
  <c r="Y259" i="2"/>
  <c r="BN258" i="2"/>
  <c r="Z277" i="2"/>
  <c r="X279" i="2"/>
  <c r="BN85" i="2"/>
  <c r="Z30" i="2"/>
  <c r="BN22" i="2"/>
  <c r="BN24" i="2"/>
  <c r="Y40" i="2"/>
  <c r="Y98" i="2"/>
  <c r="Y103" i="2"/>
  <c r="Z115" i="2"/>
  <c r="Y142" i="2"/>
  <c r="Z141" i="2"/>
  <c r="Z153" i="2"/>
  <c r="X280" i="2"/>
  <c r="X281" i="2"/>
  <c r="BP26" i="2"/>
  <c r="X283" i="2"/>
  <c r="Z40" i="2"/>
  <c r="BN38" i="2"/>
  <c r="BP38" i="2"/>
  <c r="Y41" i="2"/>
  <c r="Y48" i="2"/>
  <c r="Y53" i="2"/>
  <c r="Y54" i="2"/>
  <c r="Y62" i="2"/>
  <c r="BN58" i="2"/>
  <c r="BP67" i="2"/>
  <c r="BN69" i="2"/>
  <c r="Y88" i="2"/>
  <c r="Z97" i="2"/>
  <c r="BN91" i="2"/>
  <c r="BP91" i="2"/>
  <c r="BN96" i="2"/>
  <c r="Z103" i="2"/>
  <c r="BN102" i="2"/>
  <c r="BP102" i="2"/>
  <c r="BN107" i="2"/>
  <c r="Y116" i="2"/>
  <c r="BP110" i="2"/>
  <c r="BN112" i="2"/>
  <c r="Y124" i="2"/>
  <c r="Y136" i="2"/>
  <c r="BP133" i="2"/>
  <c r="BN138" i="2"/>
  <c r="BP138" i="2"/>
  <c r="BN140" i="2"/>
  <c r="Y141" i="2"/>
  <c r="BP146" i="2"/>
  <c r="Y147" i="2"/>
  <c r="BP158" i="2"/>
  <c r="Y159" i="2"/>
  <c r="BP163" i="2"/>
  <c r="Y165" i="2"/>
  <c r="BP188" i="2"/>
  <c r="Y191" i="2"/>
  <c r="BN194" i="2"/>
  <c r="BP194" i="2"/>
  <c r="Y195" i="2"/>
  <c r="Y205" i="2"/>
  <c r="BN201" i="2"/>
  <c r="BP201" i="2"/>
  <c r="Z215" i="2"/>
  <c r="Z221" i="2"/>
  <c r="BP220" i="2"/>
  <c r="BP237" i="2"/>
  <c r="Z259" i="2"/>
  <c r="Y260" i="2"/>
  <c r="Y278" i="2"/>
  <c r="F10" i="2"/>
  <c r="Y31" i="2"/>
  <c r="Y30" i="2"/>
  <c r="BP52" i="2"/>
  <c r="Y71" i="2"/>
  <c r="Y77" i="2"/>
  <c r="BP93" i="2"/>
  <c r="BP122" i="2"/>
  <c r="Y123" i="2"/>
  <c r="Y148" i="2"/>
  <c r="BP151" i="2"/>
  <c r="BP152" i="2"/>
  <c r="Y153" i="2"/>
  <c r="BP173" i="2"/>
  <c r="Y174" i="2"/>
  <c r="BP179" i="2"/>
  <c r="Y181" i="2"/>
  <c r="Z190" i="2"/>
  <c r="BP203" i="2"/>
  <c r="BP209" i="2"/>
  <c r="Y210" i="2"/>
  <c r="Y211" i="2"/>
  <c r="BP231" i="2"/>
  <c r="Y232" i="2"/>
  <c r="BP247" i="2"/>
  <c r="Y248" i="2"/>
  <c r="BP264" i="2"/>
  <c r="BN219" i="2"/>
  <c r="BN270" i="2"/>
  <c r="BN273" i="2"/>
  <c r="BP45" i="2"/>
  <c r="BN57" i="2"/>
  <c r="BN68" i="2"/>
  <c r="BN94" i="2"/>
  <c r="Y97" i="2"/>
  <c r="BP108" i="2"/>
  <c r="BP118" i="2"/>
  <c r="BP131" i="2"/>
  <c r="Y154" i="2"/>
  <c r="BN168" i="2"/>
  <c r="BN183" i="2"/>
  <c r="BP213" i="2"/>
  <c r="BN225" i="2"/>
  <c r="BN241" i="2"/>
  <c r="BN257" i="2"/>
  <c r="BN262" i="2"/>
  <c r="BN134" i="2"/>
  <c r="Y160" i="2"/>
  <c r="Y175" i="2"/>
  <c r="BN189" i="2"/>
  <c r="BP219" i="2"/>
  <c r="Y233" i="2"/>
  <c r="Y249" i="2"/>
  <c r="Y266" i="2"/>
  <c r="BN276" i="2"/>
  <c r="Y169" i="2"/>
  <c r="Y184" i="2"/>
  <c r="Y226" i="2"/>
  <c r="Y242" i="2"/>
  <c r="BP80" i="2"/>
  <c r="BN92" i="2"/>
  <c r="BN114" i="2"/>
  <c r="BN127" i="2"/>
  <c r="BP139" i="2"/>
  <c r="H9" i="2"/>
  <c r="BP23" i="2"/>
  <c r="BP33" i="2"/>
  <c r="BN46" i="2"/>
  <c r="BP60" i="2"/>
  <c r="BP86" i="2"/>
  <c r="BN109" i="2"/>
  <c r="Y120" i="2"/>
  <c r="BN132" i="2"/>
  <c r="Y135" i="2"/>
  <c r="BP145" i="2"/>
  <c r="BN157" i="2"/>
  <c r="Y190" i="2"/>
  <c r="BP202" i="2"/>
  <c r="BN214" i="2"/>
  <c r="BN268" i="2"/>
  <c r="BN271" i="2"/>
  <c r="Y277" i="2"/>
  <c r="BN25" i="2"/>
  <c r="BP25" i="2"/>
  <c r="BP51" i="2"/>
  <c r="BN74" i="2"/>
  <c r="BN111" i="2"/>
  <c r="BN28" i="2"/>
  <c r="BP57" i="2"/>
  <c r="Y119" i="2"/>
  <c r="F9" i="2"/>
  <c r="BN39" i="2"/>
  <c r="BN66" i="2"/>
  <c r="J9" i="2"/>
  <c r="BP39" i="2"/>
  <c r="BP66" i="2"/>
  <c r="Y81" i="2"/>
  <c r="BP127" i="2"/>
  <c r="BN163" i="2"/>
  <c r="BN179" i="2"/>
  <c r="BN237" i="2"/>
  <c r="BN251" i="2"/>
  <c r="BN263" i="2"/>
  <c r="BN274" i="2"/>
  <c r="BN45" i="2"/>
  <c r="BN213" i="2"/>
  <c r="BN51" i="2"/>
  <c r="BN80" i="2"/>
  <c r="BP168" i="2"/>
  <c r="BP183" i="2"/>
  <c r="BP225" i="2"/>
  <c r="BP241" i="2"/>
  <c r="BP257" i="2"/>
  <c r="BP262" i="2"/>
  <c r="BN33" i="2"/>
  <c r="BP74" i="2"/>
  <c r="BP189" i="2"/>
  <c r="Y34" i="2"/>
  <c r="Y61" i="2"/>
  <c r="Y87" i="2"/>
  <c r="BP268" i="2"/>
  <c r="BP251" i="2"/>
  <c r="BP275" i="2"/>
  <c r="Y47" i="2"/>
  <c r="Y215" i="2"/>
  <c r="Y221" i="2"/>
  <c r="Y238" i="2"/>
  <c r="Y252" i="2"/>
  <c r="BN269" i="2"/>
  <c r="BN272" i="2"/>
  <c r="BN108" i="2"/>
  <c r="BN131" i="2"/>
  <c r="Y115" i="2"/>
  <c r="X282" i="2" l="1"/>
  <c r="Z284" i="2"/>
  <c r="Y280" i="2"/>
  <c r="Y283" i="2"/>
  <c r="Y279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<sst xmlns="http://schemas.openxmlformats.org/spreadsheetml/2006/main" count="1731" uniqueCount="414">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</sst>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/>
      <c r="R5" s="465"/>
      <c r="T5" s="466" t="s">
        <v>3</v>
      </c>
      <c r="U5" s="467"/>
      <c r="V5" s="468"/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79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 xml:space="preserve"> 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 t="s">
        <v>80</v>
      </c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/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6" t="s">
        <v>81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54"/>
      <c r="AB19" s="54"/>
      <c r="AC19" s="54"/>
    </row>
    <row r="20" spans="1:68" ht="16.5" hidden="1" customHeight="1" x14ac:dyDescent="0.25">
      <c r="A20" s="317" t="s">
        <v>81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65"/>
      <c r="AB20" s="65"/>
      <c r="AC20" s="82"/>
    </row>
    <row r="21" spans="1:68" ht="14.25" hidden="1" customHeight="1" x14ac:dyDescent="0.25">
      <c r="A21" s="309" t="s">
        <v>82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09" t="s">
        <v>106</v>
      </c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66"/>
      <c r="AB32" s="66"/>
      <c r="AC32" s="83"/>
    </row>
    <row r="33" spans="1:68" ht="37.5" hidden="1" customHeight="1" x14ac:dyDescent="0.25">
      <c r="A33" s="63" t="s">
        <v>107</v>
      </c>
      <c r="B33" s="63" t="s">
        <v>108</v>
      </c>
      <c r="C33" s="36">
        <v>4301080162</v>
      </c>
      <c r="D33" s="289">
        <v>4620207492178</v>
      </c>
      <c r="E33" s="289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9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1"/>
      <c r="R33" s="291"/>
      <c r="S33" s="291"/>
      <c r="T33" s="29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8"/>
      <c r="P34" s="294" t="s">
        <v>40</v>
      </c>
      <c r="Q34" s="295"/>
      <c r="R34" s="295"/>
      <c r="S34" s="295"/>
      <c r="T34" s="295"/>
      <c r="U34" s="295"/>
      <c r="V34" s="296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8"/>
      <c r="P35" s="294" t="s">
        <v>40</v>
      </c>
      <c r="Q35" s="295"/>
      <c r="R35" s="295"/>
      <c r="S35" s="295"/>
      <c r="T35" s="295"/>
      <c r="U35" s="295"/>
      <c r="V35" s="296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17" t="s">
        <v>111</v>
      </c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65"/>
      <c r="AB36" s="65"/>
      <c r="AC36" s="82"/>
    </row>
    <row r="37" spans="1:68" ht="14.25" hidden="1" customHeight="1" x14ac:dyDescent="0.25">
      <c r="A37" s="309" t="s">
        <v>82</v>
      </c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289">
        <v>4607111039019</v>
      </c>
      <c r="E38" s="289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1"/>
      <c r="R38" s="291"/>
      <c r="S38" s="291"/>
      <c r="T38" s="292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289">
        <v>4607111038708</v>
      </c>
      <c r="E39" s="289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1"/>
      <c r="R39" s="291"/>
      <c r="S39" s="291"/>
      <c r="T39" s="29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8"/>
      <c r="P40" s="294" t="s">
        <v>40</v>
      </c>
      <c r="Q40" s="295"/>
      <c r="R40" s="295"/>
      <c r="S40" s="295"/>
      <c r="T40" s="295"/>
      <c r="U40" s="295"/>
      <c r="V40" s="296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8"/>
      <c r="P41" s="294" t="s">
        <v>40</v>
      </c>
      <c r="Q41" s="295"/>
      <c r="R41" s="295"/>
      <c r="S41" s="295"/>
      <c r="T41" s="295"/>
      <c r="U41" s="295"/>
      <c r="V41" s="296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16" t="s">
        <v>45</v>
      </c>
      <c r="B42" s="316"/>
      <c r="C42" s="316"/>
      <c r="D42" s="316"/>
      <c r="E42" s="316"/>
      <c r="F42" s="316"/>
      <c r="G42" s="316"/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54"/>
      <c r="AB42" s="54"/>
      <c r="AC42" s="54"/>
    </row>
    <row r="43" spans="1:68" ht="16.5" hidden="1" customHeight="1" x14ac:dyDescent="0.25">
      <c r="A43" s="317" t="s">
        <v>117</v>
      </c>
      <c r="B43" s="317"/>
      <c r="C43" s="317"/>
      <c r="D43" s="317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65"/>
      <c r="AB43" s="65"/>
      <c r="AC43" s="82"/>
    </row>
    <row r="44" spans="1:68" ht="14.25" hidden="1" customHeight="1" x14ac:dyDescent="0.25">
      <c r="A44" s="309" t="s">
        <v>118</v>
      </c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289">
        <v>4607111036537</v>
      </c>
      <c r="E45" s="289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1"/>
      <c r="R45" s="291"/>
      <c r="S45" s="291"/>
      <c r="T45" s="292"/>
      <c r="U45" s="39" t="s">
        <v>46</v>
      </c>
      <c r="V45" s="39" t="s">
        <v>46</v>
      </c>
      <c r="W45" s="40" t="s">
        <v>39</v>
      </c>
      <c r="X45" s="58">
        <v>126</v>
      </c>
      <c r="Y45" s="55">
        <f>IFERROR(IF(X45="","",X45),"")</f>
        <v>126</v>
      </c>
      <c r="Z45" s="41">
        <f>IFERROR(IF(X45="","",X45*0.00941),"")</f>
        <v>1.1856599999999999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242.14679999999998</v>
      </c>
      <c r="BN45" s="81">
        <f>IFERROR(Y45*I45,"0")</f>
        <v>242.14679999999998</v>
      </c>
      <c r="BO45" s="81">
        <f>IFERROR(X45/J45,"0")</f>
        <v>0.9</v>
      </c>
      <c r="BP45" s="81">
        <f>IFERROR(Y45/J45,"0")</f>
        <v>0.9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289">
        <v>4607111036605</v>
      </c>
      <c r="E46" s="289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124</v>
      </c>
      <c r="M46" s="38" t="s">
        <v>86</v>
      </c>
      <c r="N46" s="38"/>
      <c r="O46" s="37">
        <v>365</v>
      </c>
      <c r="P46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1"/>
      <c r="R46" s="291"/>
      <c r="S46" s="291"/>
      <c r="T46" s="292"/>
      <c r="U46" s="39" t="s">
        <v>46</v>
      </c>
      <c r="V46" s="39" t="s">
        <v>46</v>
      </c>
      <c r="W46" s="40" t="s">
        <v>39</v>
      </c>
      <c r="X46" s="58">
        <v>126</v>
      </c>
      <c r="Y46" s="55">
        <f>IFERROR(IF(X46="","",X46),"")</f>
        <v>126</v>
      </c>
      <c r="Z46" s="41">
        <f>IFERROR(IF(X46="","",X46*0.00941),"")</f>
        <v>1.1856599999999999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125</v>
      </c>
      <c r="AK46" s="87">
        <v>14</v>
      </c>
      <c r="BB46" s="114" t="s">
        <v>122</v>
      </c>
      <c r="BM46" s="81">
        <f>IFERROR(X46*I46,"0")</f>
        <v>242.14679999999998</v>
      </c>
      <c r="BN46" s="81">
        <f>IFERROR(Y46*I46,"0")</f>
        <v>242.14679999999998</v>
      </c>
      <c r="BO46" s="81">
        <f>IFERROR(X46/J46,"0")</f>
        <v>0.9</v>
      </c>
      <c r="BP46" s="81">
        <f>IFERROR(Y46/J46,"0")</f>
        <v>0.9</v>
      </c>
    </row>
    <row r="47" spans="1:68" x14ac:dyDescent="0.2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8"/>
      <c r="P47" s="294" t="s">
        <v>40</v>
      </c>
      <c r="Q47" s="295"/>
      <c r="R47" s="295"/>
      <c r="S47" s="295"/>
      <c r="T47" s="295"/>
      <c r="U47" s="295"/>
      <c r="V47" s="296"/>
      <c r="W47" s="42" t="s">
        <v>39</v>
      </c>
      <c r="X47" s="43">
        <f>IFERROR(SUM(X45:X46),"0")</f>
        <v>252</v>
      </c>
      <c r="Y47" s="43">
        <f>IFERROR(SUM(Y45:Y46),"0")</f>
        <v>252</v>
      </c>
      <c r="Z47" s="43">
        <f>IFERROR(IF(Z45="",0,Z45),"0")+IFERROR(IF(Z46="",0,Z46),"0")</f>
        <v>2.3713199999999999</v>
      </c>
      <c r="AA47" s="67"/>
      <c r="AB47" s="67"/>
      <c r="AC47" s="67"/>
    </row>
    <row r="48" spans="1:68" x14ac:dyDescent="0.2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8"/>
      <c r="P48" s="294" t="s">
        <v>40</v>
      </c>
      <c r="Q48" s="295"/>
      <c r="R48" s="295"/>
      <c r="S48" s="295"/>
      <c r="T48" s="295"/>
      <c r="U48" s="295"/>
      <c r="V48" s="296"/>
      <c r="W48" s="42" t="s">
        <v>0</v>
      </c>
      <c r="X48" s="43">
        <f>IFERROR(SUMPRODUCT(X45:X46*H45:H46),"0")</f>
        <v>378</v>
      </c>
      <c r="Y48" s="43">
        <f>IFERROR(SUMPRODUCT(Y45:Y46*H45:H46),"0")</f>
        <v>378</v>
      </c>
      <c r="Z48" s="42"/>
      <c r="AA48" s="67"/>
      <c r="AB48" s="67"/>
      <c r="AC48" s="67"/>
    </row>
    <row r="49" spans="1:68" ht="16.5" hidden="1" customHeight="1" x14ac:dyDescent="0.25">
      <c r="A49" s="317" t="s">
        <v>128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65"/>
      <c r="AB49" s="65"/>
      <c r="AC49" s="82"/>
    </row>
    <row r="50" spans="1:68" ht="14.25" hidden="1" customHeight="1" x14ac:dyDescent="0.25">
      <c r="A50" s="309" t="s">
        <v>82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4301071090</v>
      </c>
      <c r="D51" s="289">
        <v>4620207490075</v>
      </c>
      <c r="E51" s="289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124</v>
      </c>
      <c r="M51" s="38" t="s">
        <v>86</v>
      </c>
      <c r="N51" s="38"/>
      <c r="O51" s="37">
        <v>180</v>
      </c>
      <c r="P51" s="38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1"/>
      <c r="R51" s="291"/>
      <c r="S51" s="291"/>
      <c r="T51" s="292"/>
      <c r="U51" s="39" t="s">
        <v>46</v>
      </c>
      <c r="V51" s="39" t="s">
        <v>46</v>
      </c>
      <c r="W51" s="40" t="s">
        <v>39</v>
      </c>
      <c r="X51" s="58">
        <v>36</v>
      </c>
      <c r="Y51" s="55">
        <f>IFERROR(IF(X51="","",X51),"")</f>
        <v>36</v>
      </c>
      <c r="Z51" s="41">
        <f>IFERROR(IF(X51="","",X51*0.0155),"")</f>
        <v>0.55800000000000005</v>
      </c>
      <c r="AA51" s="68" t="s">
        <v>46</v>
      </c>
      <c r="AB51" s="69" t="s">
        <v>46</v>
      </c>
      <c r="AC51" s="115" t="s">
        <v>131</v>
      </c>
      <c r="AG51" s="81"/>
      <c r="AJ51" s="87" t="s">
        <v>125</v>
      </c>
      <c r="AK51" s="87">
        <v>12</v>
      </c>
      <c r="BB51" s="116" t="s">
        <v>70</v>
      </c>
      <c r="BM51" s="81">
        <f>IFERROR(X51*I51,"0")</f>
        <v>211.32</v>
      </c>
      <c r="BN51" s="81">
        <f>IFERROR(Y51*I51,"0")</f>
        <v>211.32</v>
      </c>
      <c r="BO51" s="81">
        <f>IFERROR(X51/J51,"0")</f>
        <v>0.42857142857142855</v>
      </c>
      <c r="BP51" s="81">
        <f>IFERROR(Y51/J51,"0")</f>
        <v>0.42857142857142855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289">
        <v>4620207490174</v>
      </c>
      <c r="E52" s="289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88</v>
      </c>
      <c r="M52" s="38" t="s">
        <v>86</v>
      </c>
      <c r="N52" s="38"/>
      <c r="O52" s="37">
        <v>180</v>
      </c>
      <c r="P52" s="38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1"/>
      <c r="R52" s="291"/>
      <c r="S52" s="291"/>
      <c r="T52" s="292"/>
      <c r="U52" s="39" t="s">
        <v>46</v>
      </c>
      <c r="V52" s="39" t="s">
        <v>46</v>
      </c>
      <c r="W52" s="40" t="s">
        <v>39</v>
      </c>
      <c r="X52" s="58">
        <v>32</v>
      </c>
      <c r="Y52" s="55">
        <f>IFERROR(IF(X52="","",X52),"")</f>
        <v>32</v>
      </c>
      <c r="Z52" s="41">
        <f>IFERROR(IF(X52="","",X52*0.0155),"")</f>
        <v>0.496</v>
      </c>
      <c r="AA52" s="68" t="s">
        <v>46</v>
      </c>
      <c r="AB52" s="69" t="s">
        <v>46</v>
      </c>
      <c r="AC52" s="117" t="s">
        <v>134</v>
      </c>
      <c r="AG52" s="81"/>
      <c r="AJ52" s="87" t="s">
        <v>89</v>
      </c>
      <c r="AK52" s="87">
        <v>1</v>
      </c>
      <c r="BB52" s="118" t="s">
        <v>70</v>
      </c>
      <c r="BM52" s="81">
        <f>IFERROR(X52*I52,"0")</f>
        <v>187.84</v>
      </c>
      <c r="BN52" s="81">
        <f>IFERROR(Y52*I52,"0")</f>
        <v>187.84</v>
      </c>
      <c r="BO52" s="81">
        <f>IFERROR(X52/J52,"0")</f>
        <v>0.38095238095238093</v>
      </c>
      <c r="BP52" s="81">
        <f>IFERROR(Y52/J52,"0")</f>
        <v>0.38095238095238093</v>
      </c>
    </row>
    <row r="53" spans="1:68" x14ac:dyDescent="0.2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8"/>
      <c r="P53" s="294" t="s">
        <v>40</v>
      </c>
      <c r="Q53" s="295"/>
      <c r="R53" s="295"/>
      <c r="S53" s="295"/>
      <c r="T53" s="295"/>
      <c r="U53" s="295"/>
      <c r="V53" s="296"/>
      <c r="W53" s="42" t="s">
        <v>39</v>
      </c>
      <c r="X53" s="43">
        <f>IFERROR(SUM(X51:X52),"0")</f>
        <v>68</v>
      </c>
      <c r="Y53" s="43">
        <f>IFERROR(SUM(Y51:Y52),"0")</f>
        <v>68</v>
      </c>
      <c r="Z53" s="43">
        <f>IFERROR(IF(Z51="",0,Z51),"0")+IFERROR(IF(Z52="",0,Z52),"0")</f>
        <v>1.054</v>
      </c>
      <c r="AA53" s="67"/>
      <c r="AB53" s="67"/>
      <c r="AC53" s="67"/>
    </row>
    <row r="54" spans="1:68" x14ac:dyDescent="0.2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8"/>
      <c r="P54" s="294" t="s">
        <v>40</v>
      </c>
      <c r="Q54" s="295"/>
      <c r="R54" s="295"/>
      <c r="S54" s="295"/>
      <c r="T54" s="295"/>
      <c r="U54" s="295"/>
      <c r="V54" s="296"/>
      <c r="W54" s="42" t="s">
        <v>0</v>
      </c>
      <c r="X54" s="43">
        <f>IFERROR(SUMPRODUCT(X51:X52*H51:H52),"0")</f>
        <v>380.79999999999995</v>
      </c>
      <c r="Y54" s="43">
        <f>IFERROR(SUMPRODUCT(Y51:Y52*H51:H52),"0")</f>
        <v>380.79999999999995</v>
      </c>
      <c r="Z54" s="42"/>
      <c r="AA54" s="67"/>
      <c r="AB54" s="67"/>
      <c r="AC54" s="67"/>
    </row>
    <row r="55" spans="1:68" ht="16.5" hidden="1" customHeight="1" x14ac:dyDescent="0.25">
      <c r="A55" s="317" t="s">
        <v>135</v>
      </c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65"/>
      <c r="AB55" s="65"/>
      <c r="AC55" s="82"/>
    </row>
    <row r="56" spans="1:68" ht="14.25" hidden="1" customHeight="1" x14ac:dyDescent="0.25">
      <c r="A56" s="309" t="s">
        <v>82</v>
      </c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66"/>
      <c r="AB56" s="66"/>
      <c r="AC56" s="83"/>
    </row>
    <row r="57" spans="1:68" ht="27" hidden="1" customHeight="1" x14ac:dyDescent="0.25">
      <c r="A57" s="63" t="s">
        <v>136</v>
      </c>
      <c r="B57" s="63" t="s">
        <v>137</v>
      </c>
      <c r="C57" s="36">
        <v>4301071044</v>
      </c>
      <c r="D57" s="289">
        <v>4607111039385</v>
      </c>
      <c r="E57" s="289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1"/>
      <c r="R57" s="291"/>
      <c r="S57" s="291"/>
      <c r="T57" s="29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hidden="1" customHeight="1" x14ac:dyDescent="0.25">
      <c r="A58" s="63" t="s">
        <v>139</v>
      </c>
      <c r="B58" s="63" t="s">
        <v>140</v>
      </c>
      <c r="C58" s="36">
        <v>4301071031</v>
      </c>
      <c r="D58" s="289">
        <v>4607111038982</v>
      </c>
      <c r="E58" s="289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1"/>
      <c r="R58" s="291"/>
      <c r="S58" s="291"/>
      <c r="T58" s="29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hidden="1" customHeight="1" x14ac:dyDescent="0.25">
      <c r="A59" s="63" t="s">
        <v>142</v>
      </c>
      <c r="B59" s="63" t="s">
        <v>143</v>
      </c>
      <c r="C59" s="36">
        <v>4301071046</v>
      </c>
      <c r="D59" s="289">
        <v>4607111039354</v>
      </c>
      <c r="E59" s="289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1"/>
      <c r="R59" s="291"/>
      <c r="S59" s="291"/>
      <c r="T59" s="292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hidden="1" customHeight="1" x14ac:dyDescent="0.25">
      <c r="A60" s="63" t="s">
        <v>144</v>
      </c>
      <c r="B60" s="63" t="s">
        <v>145</v>
      </c>
      <c r="C60" s="36">
        <v>4301071047</v>
      </c>
      <c r="D60" s="289">
        <v>4607111039330</v>
      </c>
      <c r="E60" s="289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1"/>
      <c r="R60" s="291"/>
      <c r="S60" s="291"/>
      <c r="T60" s="29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idden="1" x14ac:dyDescent="0.2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8"/>
      <c r="P61" s="294" t="s">
        <v>40</v>
      </c>
      <c r="Q61" s="295"/>
      <c r="R61" s="295"/>
      <c r="S61" s="295"/>
      <c r="T61" s="295"/>
      <c r="U61" s="295"/>
      <c r="V61" s="296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hidden="1" customHeight="1" x14ac:dyDescent="0.25">
      <c r="A63" s="317" t="s">
        <v>146</v>
      </c>
      <c r="B63" s="317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65"/>
      <c r="AB63" s="65"/>
      <c r="AC63" s="82"/>
    </row>
    <row r="64" spans="1:68" ht="14.25" hidden="1" customHeight="1" x14ac:dyDescent="0.25">
      <c r="A64" s="309" t="s">
        <v>147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289">
        <v>4607111039712</v>
      </c>
      <c r="E65" s="289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289">
        <v>4607111039705</v>
      </c>
      <c r="E66" s="289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hidden="1" customHeight="1" x14ac:dyDescent="0.25">
      <c r="A67" s="63" t="s">
        <v>154</v>
      </c>
      <c r="B67" s="63" t="s">
        <v>155</v>
      </c>
      <c r="C67" s="36">
        <v>4301135665</v>
      </c>
      <c r="D67" s="289">
        <v>4607111039729</v>
      </c>
      <c r="E67" s="289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88</v>
      </c>
      <c r="M67" s="38" t="s">
        <v>86</v>
      </c>
      <c r="N67" s="38"/>
      <c r="O67" s="37">
        <v>365</v>
      </c>
      <c r="P67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1"/>
      <c r="R67" s="291"/>
      <c r="S67" s="291"/>
      <c r="T67" s="292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156</v>
      </c>
      <c r="AG67" s="81"/>
      <c r="AJ67" s="87" t="s">
        <v>89</v>
      </c>
      <c r="AK67" s="87">
        <v>1</v>
      </c>
      <c r="BB67" s="132" t="s">
        <v>122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hidden="1" customHeight="1" x14ac:dyDescent="0.25">
      <c r="A68" s="63" t="s">
        <v>157</v>
      </c>
      <c r="B68" s="63" t="s">
        <v>158</v>
      </c>
      <c r="C68" s="36">
        <v>4301135702</v>
      </c>
      <c r="D68" s="289">
        <v>4620207490228</v>
      </c>
      <c r="E68" s="289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88</v>
      </c>
      <c r="M68" s="38" t="s">
        <v>86</v>
      </c>
      <c r="N68" s="38"/>
      <c r="O68" s="37">
        <v>365</v>
      </c>
      <c r="P68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1"/>
      <c r="R68" s="291"/>
      <c r="S68" s="291"/>
      <c r="T68" s="29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156</v>
      </c>
      <c r="AG68" s="81"/>
      <c r="AJ68" s="87" t="s">
        <v>89</v>
      </c>
      <c r="AK68" s="87">
        <v>1</v>
      </c>
      <c r="BB68" s="134" t="s">
        <v>122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289">
        <v>4607111037398</v>
      </c>
      <c r="E69" s="28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1"/>
      <c r="R69" s="291"/>
      <c r="S69" s="291"/>
      <c r="T69" s="29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idden="1" x14ac:dyDescent="0.2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8"/>
      <c r="P70" s="294" t="s">
        <v>40</v>
      </c>
      <c r="Q70" s="295"/>
      <c r="R70" s="295"/>
      <c r="S70" s="295"/>
      <c r="T70" s="295"/>
      <c r="U70" s="295"/>
      <c r="V70" s="296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8"/>
      <c r="P71" s="294" t="s">
        <v>40</v>
      </c>
      <c r="Q71" s="295"/>
      <c r="R71" s="295"/>
      <c r="S71" s="295"/>
      <c r="T71" s="295"/>
      <c r="U71" s="295"/>
      <c r="V71" s="296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hidden="1" customHeight="1" x14ac:dyDescent="0.25">
      <c r="A72" s="317" t="s">
        <v>161</v>
      </c>
      <c r="B72" s="317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65"/>
      <c r="AB72" s="65"/>
      <c r="AC72" s="82"/>
    </row>
    <row r="73" spans="1:68" ht="14.25" hidden="1" customHeight="1" x14ac:dyDescent="0.25">
      <c r="A73" s="309" t="s">
        <v>82</v>
      </c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289">
        <v>4607111037411</v>
      </c>
      <c r="E74" s="289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1"/>
      <c r="R74" s="291"/>
      <c r="S74" s="291"/>
      <c r="T74" s="29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hidden="1" customHeight="1" x14ac:dyDescent="0.25">
      <c r="A75" s="63" t="s">
        <v>166</v>
      </c>
      <c r="B75" s="63" t="s">
        <v>167</v>
      </c>
      <c r="C75" s="36">
        <v>4301070981</v>
      </c>
      <c r="D75" s="289">
        <v>4607111036728</v>
      </c>
      <c r="E75" s="289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1"/>
      <c r="R75" s="291"/>
      <c r="S75" s="291"/>
      <c r="T75" s="29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idden="1" x14ac:dyDescent="0.2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8"/>
      <c r="P76" s="294" t="s">
        <v>40</v>
      </c>
      <c r="Q76" s="295"/>
      <c r="R76" s="295"/>
      <c r="S76" s="295"/>
      <c r="T76" s="295"/>
      <c r="U76" s="295"/>
      <c r="V76" s="296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hidden="1" x14ac:dyDescent="0.2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8"/>
      <c r="P77" s="294" t="s">
        <v>40</v>
      </c>
      <c r="Q77" s="295"/>
      <c r="R77" s="295"/>
      <c r="S77" s="295"/>
      <c r="T77" s="295"/>
      <c r="U77" s="295"/>
      <c r="V77" s="296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hidden="1" customHeight="1" x14ac:dyDescent="0.25">
      <c r="A78" s="317" t="s">
        <v>168</v>
      </c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65"/>
      <c r="AB78" s="65"/>
      <c r="AC78" s="82"/>
    </row>
    <row r="79" spans="1:68" ht="14.25" hidden="1" customHeight="1" x14ac:dyDescent="0.25">
      <c r="A79" s="309" t="s">
        <v>169</v>
      </c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66"/>
      <c r="AB79" s="66"/>
      <c r="AC79" s="83"/>
    </row>
    <row r="80" spans="1:68" ht="27" hidden="1" customHeight="1" x14ac:dyDescent="0.25">
      <c r="A80" s="63" t="s">
        <v>170</v>
      </c>
      <c r="B80" s="63" t="s">
        <v>171</v>
      </c>
      <c r="C80" s="36">
        <v>4301135910</v>
      </c>
      <c r="D80" s="289">
        <v>4620207491638</v>
      </c>
      <c r="E80" s="28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1"/>
      <c r="R80" s="291"/>
      <c r="S80" s="291"/>
      <c r="T80" s="29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idden="1" x14ac:dyDescent="0.2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294" t="s">
        <v>40</v>
      </c>
      <c r="Q81" s="295"/>
      <c r="R81" s="295"/>
      <c r="S81" s="295"/>
      <c r="T81" s="295"/>
      <c r="U81" s="295"/>
      <c r="V81" s="296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hidden="1" x14ac:dyDescent="0.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8"/>
      <c r="P82" s="294" t="s">
        <v>40</v>
      </c>
      <c r="Q82" s="295"/>
      <c r="R82" s="295"/>
      <c r="S82" s="295"/>
      <c r="T82" s="295"/>
      <c r="U82" s="295"/>
      <c r="V82" s="296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hidden="1" customHeight="1" x14ac:dyDescent="0.25">
      <c r="A83" s="317" t="s">
        <v>173</v>
      </c>
      <c r="B83" s="317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65"/>
      <c r="AB83" s="65"/>
      <c r="AC83" s="82"/>
    </row>
    <row r="84" spans="1:68" ht="14.25" hidden="1" customHeight="1" x14ac:dyDescent="0.25">
      <c r="A84" s="309" t="s">
        <v>174</v>
      </c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289">
        <v>4607111034120</v>
      </c>
      <c r="E85" s="289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1"/>
      <c r="R85" s="291"/>
      <c r="S85" s="291"/>
      <c r="T85" s="292"/>
      <c r="U85" s="39" t="s">
        <v>46</v>
      </c>
      <c r="V85" s="39" t="s">
        <v>46</v>
      </c>
      <c r="W85" s="40" t="s">
        <v>39</v>
      </c>
      <c r="X85" s="58">
        <v>28</v>
      </c>
      <c r="Y85" s="55">
        <f>IFERROR(IF(X85="","",X85),"")</f>
        <v>28</v>
      </c>
      <c r="Z85" s="41">
        <f>IFERROR(IF(X85="","",X85*0.01788),"")</f>
        <v>0.50063999999999997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120.50080000000001</v>
      </c>
      <c r="BN85" s="81">
        <f>IFERROR(Y85*I85,"0")</f>
        <v>120.50080000000001</v>
      </c>
      <c r="BO85" s="81">
        <f>IFERROR(X85/J85,"0")</f>
        <v>0.4</v>
      </c>
      <c r="BP85" s="81">
        <f>IFERROR(Y85/J85,"0")</f>
        <v>0.4</v>
      </c>
    </row>
    <row r="86" spans="1:68" ht="27" hidden="1" customHeight="1" x14ac:dyDescent="0.25">
      <c r="A86" s="63" t="s">
        <v>178</v>
      </c>
      <c r="B86" s="63" t="s">
        <v>179</v>
      </c>
      <c r="C86" s="36">
        <v>4301131046</v>
      </c>
      <c r="D86" s="289">
        <v>4607111034137</v>
      </c>
      <c r="E86" s="28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1"/>
      <c r="R86" s="291"/>
      <c r="S86" s="291"/>
      <c r="T86" s="29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8"/>
      <c r="P87" s="294" t="s">
        <v>40</v>
      </c>
      <c r="Q87" s="295"/>
      <c r="R87" s="295"/>
      <c r="S87" s="295"/>
      <c r="T87" s="295"/>
      <c r="U87" s="295"/>
      <c r="V87" s="296"/>
      <c r="W87" s="42" t="s">
        <v>39</v>
      </c>
      <c r="X87" s="43">
        <f>IFERROR(SUM(X85:X86),"0")</f>
        <v>28</v>
      </c>
      <c r="Y87" s="43">
        <f>IFERROR(SUM(Y85:Y86),"0")</f>
        <v>28</v>
      </c>
      <c r="Z87" s="43">
        <f>IFERROR(IF(Z85="",0,Z85),"0")+IFERROR(IF(Z86="",0,Z86),"0")</f>
        <v>0.50063999999999997</v>
      </c>
      <c r="AA87" s="67"/>
      <c r="AB87" s="67"/>
      <c r="AC87" s="67"/>
    </row>
    <row r="88" spans="1:68" x14ac:dyDescent="0.2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8"/>
      <c r="P88" s="294" t="s">
        <v>40</v>
      </c>
      <c r="Q88" s="295"/>
      <c r="R88" s="295"/>
      <c r="S88" s="295"/>
      <c r="T88" s="295"/>
      <c r="U88" s="295"/>
      <c r="V88" s="296"/>
      <c r="W88" s="42" t="s">
        <v>0</v>
      </c>
      <c r="X88" s="43">
        <f>IFERROR(SUMPRODUCT(X85:X86*H85:H86),"0")</f>
        <v>100.8</v>
      </c>
      <c r="Y88" s="43">
        <f>IFERROR(SUMPRODUCT(Y85:Y86*H85:H86),"0")</f>
        <v>100.8</v>
      </c>
      <c r="Z88" s="42"/>
      <c r="AA88" s="67"/>
      <c r="AB88" s="67"/>
      <c r="AC88" s="67"/>
    </row>
    <row r="89" spans="1:68" ht="16.5" hidden="1" customHeight="1" x14ac:dyDescent="0.25">
      <c r="A89" s="317" t="s">
        <v>181</v>
      </c>
      <c r="B89" s="317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65"/>
      <c r="AB89" s="65"/>
      <c r="AC89" s="82"/>
    </row>
    <row r="90" spans="1:68" ht="14.25" hidden="1" customHeight="1" x14ac:dyDescent="0.25">
      <c r="A90" s="309" t="s">
        <v>169</v>
      </c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  <c r="AA90" s="66"/>
      <c r="AB90" s="66"/>
      <c r="AC90" s="83"/>
    </row>
    <row r="91" spans="1:68" ht="27" hidden="1" customHeight="1" x14ac:dyDescent="0.25">
      <c r="A91" s="63" t="s">
        <v>182</v>
      </c>
      <c r="B91" s="63" t="s">
        <v>183</v>
      </c>
      <c r="C91" s="36">
        <v>4301135763</v>
      </c>
      <c r="D91" s="289">
        <v>4620207491027</v>
      </c>
      <c r="E91" s="289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88</v>
      </c>
      <c r="M91" s="38" t="s">
        <v>86</v>
      </c>
      <c r="N91" s="38"/>
      <c r="O91" s="37">
        <v>180</v>
      </c>
      <c r="P91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1"/>
      <c r="R91" s="291"/>
      <c r="S91" s="291"/>
      <c r="T91" s="29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184</v>
      </c>
      <c r="AG91" s="81"/>
      <c r="AJ91" s="87" t="s">
        <v>89</v>
      </c>
      <c r="AK91" s="87">
        <v>1</v>
      </c>
      <c r="BB91" s="148" t="s">
        <v>122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customHeight="1" x14ac:dyDescent="0.25">
      <c r="A92" s="63" t="s">
        <v>185</v>
      </c>
      <c r="B92" s="63" t="s">
        <v>186</v>
      </c>
      <c r="C92" s="36">
        <v>4301135914</v>
      </c>
      <c r="D92" s="289">
        <v>4620207491621</v>
      </c>
      <c r="E92" s="289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1"/>
      <c r="R92" s="291"/>
      <c r="S92" s="291"/>
      <c r="T92" s="292"/>
      <c r="U92" s="39" t="s">
        <v>46</v>
      </c>
      <c r="V92" s="39" t="s">
        <v>46</v>
      </c>
      <c r="W92" s="40" t="s">
        <v>39</v>
      </c>
      <c r="X92" s="58">
        <v>90</v>
      </c>
      <c r="Y92" s="55">
        <f t="shared" si="6"/>
        <v>90</v>
      </c>
      <c r="Z92" s="41">
        <f t="shared" si="7"/>
        <v>1.6092</v>
      </c>
      <c r="AA92" s="68" t="s">
        <v>46</v>
      </c>
      <c r="AB92" s="69" t="s">
        <v>46</v>
      </c>
      <c r="AC92" s="149" t="s">
        <v>187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322.524</v>
      </c>
      <c r="BN92" s="81">
        <f t="shared" si="9"/>
        <v>322.524</v>
      </c>
      <c r="BO92" s="81">
        <f t="shared" si="10"/>
        <v>1.2857142857142858</v>
      </c>
      <c r="BP92" s="81">
        <f t="shared" si="11"/>
        <v>1.2857142857142858</v>
      </c>
    </row>
    <row r="93" spans="1:68" ht="27" customHeight="1" x14ac:dyDescent="0.25">
      <c r="A93" s="63" t="s">
        <v>188</v>
      </c>
      <c r="B93" s="63" t="s">
        <v>189</v>
      </c>
      <c r="C93" s="36">
        <v>4301135990</v>
      </c>
      <c r="D93" s="289">
        <v>4620207491881</v>
      </c>
      <c r="E93" s="28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36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1"/>
      <c r="R93" s="291"/>
      <c r="S93" s="291"/>
      <c r="T93" s="292"/>
      <c r="U93" s="39" t="s">
        <v>46</v>
      </c>
      <c r="V93" s="39" t="s">
        <v>46</v>
      </c>
      <c r="W93" s="40" t="s">
        <v>39</v>
      </c>
      <c r="X93" s="58">
        <v>90</v>
      </c>
      <c r="Y93" s="55">
        <f t="shared" si="6"/>
        <v>90</v>
      </c>
      <c r="Z93" s="41">
        <f t="shared" si="7"/>
        <v>1.6092</v>
      </c>
      <c r="AA93" s="68" t="s">
        <v>46</v>
      </c>
      <c r="AB93" s="69" t="s">
        <v>46</v>
      </c>
      <c r="AC93" s="151" t="s">
        <v>187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322.524</v>
      </c>
      <c r="BN93" s="81">
        <f t="shared" si="9"/>
        <v>322.524</v>
      </c>
      <c r="BO93" s="81">
        <f t="shared" si="10"/>
        <v>1.2857142857142858</v>
      </c>
      <c r="BP93" s="81">
        <f t="shared" si="11"/>
        <v>1.2857142857142858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4301135920</v>
      </c>
      <c r="D94" s="289">
        <v>4620207491577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36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187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hidden="1" customHeight="1" x14ac:dyDescent="0.25">
      <c r="A95" s="63" t="s">
        <v>192</v>
      </c>
      <c r="B95" s="63" t="s">
        <v>193</v>
      </c>
      <c r="C95" s="36">
        <v>4301135984</v>
      </c>
      <c r="D95" s="289">
        <v>4620207491874</v>
      </c>
      <c r="E95" s="289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36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187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194</v>
      </c>
      <c r="B96" s="63" t="s">
        <v>195</v>
      </c>
      <c r="C96" s="36">
        <v>4301137008</v>
      </c>
      <c r="D96" s="289">
        <v>4620207491782</v>
      </c>
      <c r="E96" s="289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7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187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x14ac:dyDescent="0.2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8"/>
      <c r="P97" s="294" t="s">
        <v>40</v>
      </c>
      <c r="Q97" s="295"/>
      <c r="R97" s="295"/>
      <c r="S97" s="295"/>
      <c r="T97" s="295"/>
      <c r="U97" s="295"/>
      <c r="V97" s="296"/>
      <c r="W97" s="42" t="s">
        <v>39</v>
      </c>
      <c r="X97" s="43">
        <f>IFERROR(SUM(X91:X96),"0")</f>
        <v>180</v>
      </c>
      <c r="Y97" s="43">
        <f>IFERROR(SUM(Y91:Y96),"0")</f>
        <v>180</v>
      </c>
      <c r="Z97" s="43">
        <f>IFERROR(IF(Z91="",0,Z91),"0")+IFERROR(IF(Z92="",0,Z92),"0")+IFERROR(IF(Z93="",0,Z93),"0")+IFERROR(IF(Z94="",0,Z94),"0")+IFERROR(IF(Z95="",0,Z95),"0")+IFERROR(IF(Z96="",0,Z96),"0")</f>
        <v>3.2183999999999999</v>
      </c>
      <c r="AA97" s="67"/>
      <c r="AB97" s="67"/>
      <c r="AC97" s="67"/>
    </row>
    <row r="98" spans="1:68" x14ac:dyDescent="0.2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8"/>
      <c r="P98" s="294" t="s">
        <v>40</v>
      </c>
      <c r="Q98" s="295"/>
      <c r="R98" s="295"/>
      <c r="S98" s="295"/>
      <c r="T98" s="295"/>
      <c r="U98" s="295"/>
      <c r="V98" s="296"/>
      <c r="W98" s="42" t="s">
        <v>0</v>
      </c>
      <c r="X98" s="43">
        <f>IFERROR(SUMPRODUCT(X91:X96*H91:H96),"0")</f>
        <v>518.4</v>
      </c>
      <c r="Y98" s="43">
        <f>IFERROR(SUMPRODUCT(Y91:Y96*H91:H96),"0")</f>
        <v>518.4</v>
      </c>
      <c r="Z98" s="42"/>
      <c r="AA98" s="67"/>
      <c r="AB98" s="67"/>
      <c r="AC98" s="67"/>
    </row>
    <row r="99" spans="1:68" ht="16.5" hidden="1" customHeight="1" x14ac:dyDescent="0.25">
      <c r="A99" s="317" t="s">
        <v>196</v>
      </c>
      <c r="B99" s="317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65"/>
      <c r="AB99" s="65"/>
      <c r="AC99" s="82"/>
    </row>
    <row r="100" spans="1:68" ht="14.25" hidden="1" customHeight="1" x14ac:dyDescent="0.25">
      <c r="A100" s="309" t="s">
        <v>197</v>
      </c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66"/>
      <c r="AB100" s="66"/>
      <c r="AC100" s="83"/>
    </row>
    <row r="101" spans="1:68" ht="27" hidden="1" customHeight="1" x14ac:dyDescent="0.25">
      <c r="A101" s="63" t="s">
        <v>198</v>
      </c>
      <c r="B101" s="63" t="s">
        <v>199</v>
      </c>
      <c r="C101" s="36">
        <v>4301136101</v>
      </c>
      <c r="D101" s="289">
        <v>4620207491652</v>
      </c>
      <c r="E101" s="289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123</v>
      </c>
      <c r="L101" s="37" t="s">
        <v>88</v>
      </c>
      <c r="M101" s="38" t="s">
        <v>86</v>
      </c>
      <c r="N101" s="38"/>
      <c r="O101" s="37">
        <v>180</v>
      </c>
      <c r="P101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1"/>
      <c r="R101" s="291"/>
      <c r="S101" s="291"/>
      <c r="T101" s="292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200</v>
      </c>
      <c r="AG101" s="81"/>
      <c r="AJ101" s="87" t="s">
        <v>89</v>
      </c>
      <c r="AK101" s="87">
        <v>1</v>
      </c>
      <c r="BB101" s="160" t="s">
        <v>122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hidden="1" customHeight="1" x14ac:dyDescent="0.25">
      <c r="A102" s="63" t="s">
        <v>201</v>
      </c>
      <c r="B102" s="63" t="s">
        <v>202</v>
      </c>
      <c r="C102" s="36">
        <v>4301136103</v>
      </c>
      <c r="D102" s="289">
        <v>4620207491645</v>
      </c>
      <c r="E102" s="289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123</v>
      </c>
      <c r="L102" s="37" t="s">
        <v>88</v>
      </c>
      <c r="M102" s="38" t="s">
        <v>86</v>
      </c>
      <c r="N102" s="38"/>
      <c r="O102" s="37">
        <v>180</v>
      </c>
      <c r="P102" s="36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1"/>
      <c r="R102" s="291"/>
      <c r="S102" s="291"/>
      <c r="T102" s="292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200</v>
      </c>
      <c r="AG102" s="81"/>
      <c r="AJ102" s="87" t="s">
        <v>89</v>
      </c>
      <c r="AK102" s="87">
        <v>1</v>
      </c>
      <c r="BB102" s="162" t="s">
        <v>122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hidden="1" x14ac:dyDescent="0.2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8"/>
      <c r="P103" s="294" t="s">
        <v>40</v>
      </c>
      <c r="Q103" s="295"/>
      <c r="R103" s="295"/>
      <c r="S103" s="295"/>
      <c r="T103" s="295"/>
      <c r="U103" s="295"/>
      <c r="V103" s="296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hidden="1" x14ac:dyDescent="0.2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8"/>
      <c r="P104" s="294" t="s">
        <v>40</v>
      </c>
      <c r="Q104" s="295"/>
      <c r="R104" s="295"/>
      <c r="S104" s="295"/>
      <c r="T104" s="295"/>
      <c r="U104" s="295"/>
      <c r="V104" s="296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hidden="1" customHeight="1" x14ac:dyDescent="0.25">
      <c r="A105" s="317" t="s">
        <v>203</v>
      </c>
      <c r="B105" s="317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65"/>
      <c r="AB105" s="65"/>
      <c r="AC105" s="82"/>
    </row>
    <row r="106" spans="1:68" ht="14.25" hidden="1" customHeight="1" x14ac:dyDescent="0.25">
      <c r="A106" s="309" t="s">
        <v>82</v>
      </c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  <c r="AA106" s="66"/>
      <c r="AB106" s="66"/>
      <c r="AC106" s="83"/>
    </row>
    <row r="107" spans="1:68" ht="27" hidden="1" customHeight="1" x14ac:dyDescent="0.25">
      <c r="A107" s="63" t="s">
        <v>204</v>
      </c>
      <c r="B107" s="63" t="s">
        <v>205</v>
      </c>
      <c r="C107" s="36">
        <v>4301071074</v>
      </c>
      <c r="D107" s="289">
        <v>4620207491157</v>
      </c>
      <c r="E107" s="289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87</v>
      </c>
      <c r="L107" s="37" t="s">
        <v>124</v>
      </c>
      <c r="M107" s="38" t="s">
        <v>86</v>
      </c>
      <c r="N107" s="38"/>
      <c r="O107" s="37">
        <v>180</v>
      </c>
      <c r="P107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1"/>
      <c r="R107" s="291"/>
      <c r="S107" s="291"/>
      <c r="T107" s="29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4" si="12">IFERROR(IF(X107="","",X107),"")</f>
        <v>0</v>
      </c>
      <c r="Z107" s="41">
        <f t="shared" ref="Z107:Z114" si="13">IFERROR(IF(X107="","",X107*0.0155),"")</f>
        <v>0</v>
      </c>
      <c r="AA107" s="68" t="s">
        <v>46</v>
      </c>
      <c r="AB107" s="69" t="s">
        <v>46</v>
      </c>
      <c r="AC107" s="163" t="s">
        <v>206</v>
      </c>
      <c r="AG107" s="81"/>
      <c r="AJ107" s="87" t="s">
        <v>125</v>
      </c>
      <c r="AK107" s="87">
        <v>12</v>
      </c>
      <c r="BB107" s="164" t="s">
        <v>70</v>
      </c>
      <c r="BM107" s="81">
        <f t="shared" ref="BM107:BM114" si="14">IFERROR(X107*I107,"0")</f>
        <v>0</v>
      </c>
      <c r="BN107" s="81">
        <f t="shared" ref="BN107:BN114" si="15">IFERROR(Y107*I107,"0")</f>
        <v>0</v>
      </c>
      <c r="BO107" s="81">
        <f t="shared" ref="BO107:BO114" si="16">IFERROR(X107/J107,"0")</f>
        <v>0</v>
      </c>
      <c r="BP107" s="81">
        <f t="shared" ref="BP107:BP114" si="17">IFERROR(Y107/J107,"0")</f>
        <v>0</v>
      </c>
    </row>
    <row r="108" spans="1:68" ht="27" hidden="1" customHeight="1" x14ac:dyDescent="0.25">
      <c r="A108" s="63" t="s">
        <v>207</v>
      </c>
      <c r="B108" s="63" t="s">
        <v>208</v>
      </c>
      <c r="C108" s="36">
        <v>4301071121</v>
      </c>
      <c r="D108" s="289">
        <v>4620207491393</v>
      </c>
      <c r="E108" s="289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1"/>
      <c r="R108" s="291"/>
      <c r="S108" s="291"/>
      <c r="T108" s="29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209</v>
      </c>
      <c r="AG108" s="81"/>
      <c r="AJ108" s="87" t="s">
        <v>89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hidden="1" customHeight="1" x14ac:dyDescent="0.25">
      <c r="A109" s="63" t="s">
        <v>210</v>
      </c>
      <c r="B109" s="63" t="s">
        <v>211</v>
      </c>
      <c r="C109" s="36">
        <v>4301071051</v>
      </c>
      <c r="D109" s="289">
        <v>4607111039262</v>
      </c>
      <c r="E109" s="289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1"/>
      <c r="R109" s="291"/>
      <c r="S109" s="291"/>
      <c r="T109" s="29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164</v>
      </c>
      <c r="AG109" s="81"/>
      <c r="AJ109" s="87" t="s">
        <v>125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customHeight="1" x14ac:dyDescent="0.25">
      <c r="A110" s="63" t="s">
        <v>212</v>
      </c>
      <c r="B110" s="63" t="s">
        <v>213</v>
      </c>
      <c r="C110" s="36">
        <v>4301071038</v>
      </c>
      <c r="D110" s="289">
        <v>4607111039248</v>
      </c>
      <c r="E110" s="289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87</v>
      </c>
      <c r="L110" s="37" t="s">
        <v>124</v>
      </c>
      <c r="M110" s="38" t="s">
        <v>86</v>
      </c>
      <c r="N110" s="38"/>
      <c r="O110" s="37">
        <v>180</v>
      </c>
      <c r="P110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24</v>
      </c>
      <c r="Y110" s="55">
        <f t="shared" si="12"/>
        <v>24</v>
      </c>
      <c r="Z110" s="41">
        <f t="shared" si="13"/>
        <v>0.372</v>
      </c>
      <c r="AA110" s="68" t="s">
        <v>46</v>
      </c>
      <c r="AB110" s="69" t="s">
        <v>46</v>
      </c>
      <c r="AC110" s="169" t="s">
        <v>164</v>
      </c>
      <c r="AG110" s="81"/>
      <c r="AJ110" s="87" t="s">
        <v>125</v>
      </c>
      <c r="AK110" s="87">
        <v>12</v>
      </c>
      <c r="BB110" s="170" t="s">
        <v>70</v>
      </c>
      <c r="BM110" s="81">
        <f t="shared" si="14"/>
        <v>175.2</v>
      </c>
      <c r="BN110" s="81">
        <f t="shared" si="15"/>
        <v>175.2</v>
      </c>
      <c r="BO110" s="81">
        <f t="shared" si="16"/>
        <v>0.2857142857142857</v>
      </c>
      <c r="BP110" s="81">
        <f t="shared" si="17"/>
        <v>0.2857142857142857</v>
      </c>
    </row>
    <row r="111" spans="1:68" ht="27" hidden="1" customHeight="1" x14ac:dyDescent="0.25">
      <c r="A111" s="63" t="s">
        <v>214</v>
      </c>
      <c r="B111" s="63" t="s">
        <v>215</v>
      </c>
      <c r="C111" s="36">
        <v>4301070979</v>
      </c>
      <c r="D111" s="289">
        <v>4607111037145</v>
      </c>
      <c r="E111" s="289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216</v>
      </c>
      <c r="AG111" s="81"/>
      <c r="AJ111" s="87" t="s">
        <v>89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217</v>
      </c>
      <c r="B112" s="63" t="s">
        <v>218</v>
      </c>
      <c r="C112" s="36">
        <v>4301071075</v>
      </c>
      <c r="D112" s="289">
        <v>4620207491102</v>
      </c>
      <c r="E112" s="289"/>
      <c r="F112" s="62">
        <v>0.7</v>
      </c>
      <c r="G112" s="37">
        <v>10</v>
      </c>
      <c r="H112" s="62">
        <v>7</v>
      </c>
      <c r="I112" s="62">
        <v>7.23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5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219</v>
      </c>
      <c r="AG112" s="81"/>
      <c r="AJ112" s="87" t="s">
        <v>89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220</v>
      </c>
      <c r="B113" s="63" t="s">
        <v>221</v>
      </c>
      <c r="C113" s="36">
        <v>4301071139</v>
      </c>
      <c r="D113" s="289">
        <v>4607111039293</v>
      </c>
      <c r="E113" s="289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222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4301071138</v>
      </c>
      <c r="D114" s="289">
        <v>4607111039279</v>
      </c>
      <c r="E114" s="289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6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20</v>
      </c>
      <c r="Y114" s="55">
        <f t="shared" si="12"/>
        <v>20</v>
      </c>
      <c r="Z114" s="41">
        <f t="shared" si="13"/>
        <v>0.31</v>
      </c>
      <c r="AA114" s="68" t="s">
        <v>46</v>
      </c>
      <c r="AB114" s="69" t="s">
        <v>46</v>
      </c>
      <c r="AC114" s="177" t="s">
        <v>222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146</v>
      </c>
      <c r="BN114" s="81">
        <f t="shared" si="15"/>
        <v>146</v>
      </c>
      <c r="BO114" s="81">
        <f t="shared" si="16"/>
        <v>0.23809523809523808</v>
      </c>
      <c r="BP114" s="81">
        <f t="shared" si="17"/>
        <v>0.23809523809523808</v>
      </c>
    </row>
    <row r="115" spans="1:68" x14ac:dyDescent="0.2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8"/>
      <c r="P115" s="294" t="s">
        <v>40</v>
      </c>
      <c r="Q115" s="295"/>
      <c r="R115" s="295"/>
      <c r="S115" s="295"/>
      <c r="T115" s="295"/>
      <c r="U115" s="295"/>
      <c r="V115" s="296"/>
      <c r="W115" s="42" t="s">
        <v>39</v>
      </c>
      <c r="X115" s="43">
        <f>IFERROR(SUM(X107:X114),"0")</f>
        <v>44</v>
      </c>
      <c r="Y115" s="43">
        <f>IFERROR(SUM(Y107:Y114),"0")</f>
        <v>44</v>
      </c>
      <c r="Z115" s="43">
        <f>IFERROR(IF(Z107="",0,Z107),"0")+IFERROR(IF(Z108="",0,Z108),"0")+IFERROR(IF(Z109="",0,Z109),"0")+IFERROR(IF(Z110="",0,Z110),"0")+IFERROR(IF(Z111="",0,Z111),"0")+IFERROR(IF(Z112="",0,Z112),"0")+IFERROR(IF(Z113="",0,Z113),"0")+IFERROR(IF(Z114="",0,Z114),"0")</f>
        <v>0.68199999999999994</v>
      </c>
      <c r="AA115" s="67"/>
      <c r="AB115" s="67"/>
      <c r="AC115" s="67"/>
    </row>
    <row r="116" spans="1:68" x14ac:dyDescent="0.2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8"/>
      <c r="P116" s="294" t="s">
        <v>40</v>
      </c>
      <c r="Q116" s="295"/>
      <c r="R116" s="295"/>
      <c r="S116" s="295"/>
      <c r="T116" s="295"/>
      <c r="U116" s="295"/>
      <c r="V116" s="296"/>
      <c r="W116" s="42" t="s">
        <v>0</v>
      </c>
      <c r="X116" s="43">
        <f>IFERROR(SUMPRODUCT(X107:X114*H107:H114),"0")</f>
        <v>308</v>
      </c>
      <c r="Y116" s="43">
        <f>IFERROR(SUMPRODUCT(Y107:Y114*H107:H114),"0")</f>
        <v>308</v>
      </c>
      <c r="Z116" s="42"/>
      <c r="AA116" s="67"/>
      <c r="AB116" s="67"/>
      <c r="AC116" s="67"/>
    </row>
    <row r="117" spans="1:68" ht="14.25" hidden="1" customHeight="1" x14ac:dyDescent="0.25">
      <c r="A117" s="309" t="s">
        <v>169</v>
      </c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  <c r="AA117" s="66"/>
      <c r="AB117" s="66"/>
      <c r="AC117" s="83"/>
    </row>
    <row r="118" spans="1:68" ht="27" hidden="1" customHeight="1" x14ac:dyDescent="0.25">
      <c r="A118" s="63" t="s">
        <v>225</v>
      </c>
      <c r="B118" s="63" t="s">
        <v>226</v>
      </c>
      <c r="C118" s="36">
        <v>4301135826</v>
      </c>
      <c r="D118" s="289">
        <v>4620207490983</v>
      </c>
      <c r="E118" s="289"/>
      <c r="F118" s="62">
        <v>0.22</v>
      </c>
      <c r="G118" s="37">
        <v>12</v>
      </c>
      <c r="H118" s="62">
        <v>2.64</v>
      </c>
      <c r="I118" s="62">
        <v>3.3435999999999999</v>
      </c>
      <c r="J118" s="37">
        <v>70</v>
      </c>
      <c r="K118" s="37" t="s">
        <v>123</v>
      </c>
      <c r="L118" s="37" t="s">
        <v>88</v>
      </c>
      <c r="M118" s="38" t="s">
        <v>86</v>
      </c>
      <c r="N118" s="38"/>
      <c r="O118" s="37">
        <v>180</v>
      </c>
      <c r="P118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8" s="291"/>
      <c r="R118" s="291"/>
      <c r="S118" s="291"/>
      <c r="T118" s="292"/>
      <c r="U118" s="39" t="s">
        <v>46</v>
      </c>
      <c r="V118" s="39" t="s">
        <v>46</v>
      </c>
      <c r="W118" s="40" t="s">
        <v>39</v>
      </c>
      <c r="X118" s="58">
        <v>0</v>
      </c>
      <c r="Y118" s="55">
        <f>IFERROR(IF(X118="","",X118),"")</f>
        <v>0</v>
      </c>
      <c r="Z118" s="41">
        <f>IFERROR(IF(X118="","",X118*0.01788),"")</f>
        <v>0</v>
      </c>
      <c r="AA118" s="68" t="s">
        <v>46</v>
      </c>
      <c r="AB118" s="69" t="s">
        <v>46</v>
      </c>
      <c r="AC118" s="179" t="s">
        <v>227</v>
      </c>
      <c r="AG118" s="81"/>
      <c r="AJ118" s="87" t="s">
        <v>89</v>
      </c>
      <c r="AK118" s="87">
        <v>1</v>
      </c>
      <c r="BB118" s="180" t="s">
        <v>122</v>
      </c>
      <c r="BM118" s="81">
        <f>IFERROR(X118*I118,"0")</f>
        <v>0</v>
      </c>
      <c r="BN118" s="81">
        <f>IFERROR(Y118*I118,"0")</f>
        <v>0</v>
      </c>
      <c r="BO118" s="81">
        <f>IFERROR(X118/J118,"0")</f>
        <v>0</v>
      </c>
      <c r="BP118" s="81">
        <f>IFERROR(Y118/J118,"0")</f>
        <v>0</v>
      </c>
    </row>
    <row r="119" spans="1:68" hidden="1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2" t="s">
        <v>39</v>
      </c>
      <c r="X119" s="43">
        <f>IFERROR(SUM(X118:X118),"0")</f>
        <v>0</v>
      </c>
      <c r="Y119" s="43">
        <f>IFERROR(SUM(Y118:Y118),"0")</f>
        <v>0</v>
      </c>
      <c r="Z119" s="43">
        <f>IFERROR(IF(Z118="",0,Z118),"0")</f>
        <v>0</v>
      </c>
      <c r="AA119" s="67"/>
      <c r="AB119" s="67"/>
      <c r="AC119" s="67"/>
    </row>
    <row r="120" spans="1:68" hidden="1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2" t="s">
        <v>0</v>
      </c>
      <c r="X120" s="43">
        <f>IFERROR(SUMPRODUCT(X118:X118*H118:H118),"0")</f>
        <v>0</v>
      </c>
      <c r="Y120" s="43">
        <f>IFERROR(SUMPRODUCT(Y118:Y118*H118:H118),"0")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09" t="s">
        <v>228</v>
      </c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66"/>
      <c r="AB121" s="66"/>
      <c r="AC121" s="83"/>
    </row>
    <row r="122" spans="1:68" ht="27" hidden="1" customHeight="1" x14ac:dyDescent="0.25">
      <c r="A122" s="63" t="s">
        <v>229</v>
      </c>
      <c r="B122" s="63" t="s">
        <v>230</v>
      </c>
      <c r="C122" s="36">
        <v>4301071094</v>
      </c>
      <c r="D122" s="289">
        <v>4620207491140</v>
      </c>
      <c r="E122" s="289"/>
      <c r="F122" s="62">
        <v>0.6</v>
      </c>
      <c r="G122" s="37">
        <v>10</v>
      </c>
      <c r="H122" s="62">
        <v>6</v>
      </c>
      <c r="I122" s="62">
        <v>6.28</v>
      </c>
      <c r="J122" s="37">
        <v>84</v>
      </c>
      <c r="K122" s="37" t="s">
        <v>87</v>
      </c>
      <c r="L122" s="37" t="s">
        <v>88</v>
      </c>
      <c r="M122" s="38" t="s">
        <v>86</v>
      </c>
      <c r="N122" s="38"/>
      <c r="O122" s="37">
        <v>180</v>
      </c>
      <c r="P122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2" s="291"/>
      <c r="R122" s="291"/>
      <c r="S122" s="291"/>
      <c r="T122" s="29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46</v>
      </c>
      <c r="AC122" s="181" t="s">
        <v>231</v>
      </c>
      <c r="AG122" s="81"/>
      <c r="AJ122" s="87" t="s">
        <v>89</v>
      </c>
      <c r="AK122" s="87">
        <v>1</v>
      </c>
      <c r="BB122" s="182" t="s">
        <v>122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6.5" hidden="1" customHeight="1" x14ac:dyDescent="0.25">
      <c r="A125" s="317" t="s">
        <v>232</v>
      </c>
      <c r="B125" s="317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65"/>
      <c r="AB125" s="65"/>
      <c r="AC125" s="82"/>
    </row>
    <row r="126" spans="1:68" ht="14.25" hidden="1" customHeight="1" x14ac:dyDescent="0.25">
      <c r="A126" s="309" t="s">
        <v>82</v>
      </c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  <c r="AA126" s="66"/>
      <c r="AB126" s="66"/>
      <c r="AC126" s="83"/>
    </row>
    <row r="127" spans="1:68" ht="27" hidden="1" customHeight="1" x14ac:dyDescent="0.25">
      <c r="A127" s="63" t="s">
        <v>233</v>
      </c>
      <c r="B127" s="63" t="s">
        <v>234</v>
      </c>
      <c r="C127" s="36">
        <v>4301071142</v>
      </c>
      <c r="D127" s="289">
        <v>4620207491904</v>
      </c>
      <c r="E127" s="289"/>
      <c r="F127" s="62">
        <v>0.56999999999999995</v>
      </c>
      <c r="G127" s="37">
        <v>10</v>
      </c>
      <c r="H127" s="62">
        <v>5.7</v>
      </c>
      <c r="I127" s="62">
        <v>5.98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35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7" s="291"/>
      <c r="R127" s="291"/>
      <c r="S127" s="291"/>
      <c r="T127" s="292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110</v>
      </c>
      <c r="AC127" s="183" t="s">
        <v>235</v>
      </c>
      <c r="AG127" s="81"/>
      <c r="AJ127" s="87" t="s">
        <v>89</v>
      </c>
      <c r="AK127" s="87">
        <v>1</v>
      </c>
      <c r="BB127" s="184" t="s">
        <v>70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8"/>
      <c r="P129" s="294" t="s">
        <v>40</v>
      </c>
      <c r="Q129" s="295"/>
      <c r="R129" s="295"/>
      <c r="S129" s="295"/>
      <c r="T129" s="295"/>
      <c r="U129" s="295"/>
      <c r="V129" s="296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4.25" hidden="1" customHeight="1" x14ac:dyDescent="0.25">
      <c r="A130" s="309" t="s">
        <v>169</v>
      </c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66"/>
      <c r="AB130" s="66"/>
      <c r="AC130" s="83"/>
    </row>
    <row r="131" spans="1:68" ht="27" hidden="1" customHeight="1" x14ac:dyDescent="0.25">
      <c r="A131" s="63" t="s">
        <v>236</v>
      </c>
      <c r="B131" s="63" t="s">
        <v>237</v>
      </c>
      <c r="C131" s="36">
        <v>4301135850</v>
      </c>
      <c r="D131" s="289">
        <v>4620207491492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123</v>
      </c>
      <c r="L131" s="37" t="s">
        <v>88</v>
      </c>
      <c r="M131" s="38" t="s">
        <v>86</v>
      </c>
      <c r="N131" s="38"/>
      <c r="O131" s="37">
        <v>180</v>
      </c>
      <c r="P131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238</v>
      </c>
      <c r="AG131" s="81"/>
      <c r="AJ131" s="87" t="s">
        <v>89</v>
      </c>
      <c r="AK131" s="87">
        <v>1</v>
      </c>
      <c r="BB131" s="186" t="s">
        <v>122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239</v>
      </c>
      <c r="B132" s="63" t="s">
        <v>240</v>
      </c>
      <c r="C132" s="36">
        <v>4301190118</v>
      </c>
      <c r="D132" s="289">
        <v>4620207491461</v>
      </c>
      <c r="E132" s="28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123</v>
      </c>
      <c r="L132" s="37" t="s">
        <v>88</v>
      </c>
      <c r="M132" s="38" t="s">
        <v>86</v>
      </c>
      <c r="N132" s="38"/>
      <c r="O132" s="37">
        <v>180</v>
      </c>
      <c r="P132" s="35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238</v>
      </c>
      <c r="AG132" s="81"/>
      <c r="AJ132" s="87" t="s">
        <v>89</v>
      </c>
      <c r="AK132" s="87">
        <v>1</v>
      </c>
      <c r="BB132" s="188" t="s">
        <v>122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241</v>
      </c>
      <c r="B133" s="63" t="s">
        <v>242</v>
      </c>
      <c r="C133" s="36">
        <v>4301135865</v>
      </c>
      <c r="D133" s="289">
        <v>4620207491485</v>
      </c>
      <c r="E133" s="28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1"/>
      <c r="R133" s="291"/>
      <c r="S133" s="291"/>
      <c r="T133" s="29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238</v>
      </c>
      <c r="AG133" s="81"/>
      <c r="AJ133" s="87" t="s">
        <v>89</v>
      </c>
      <c r="AK133" s="87">
        <v>1</v>
      </c>
      <c r="BB133" s="190" t="s">
        <v>122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243</v>
      </c>
      <c r="B134" s="63" t="s">
        <v>244</v>
      </c>
      <c r="C134" s="36">
        <v>4301135848</v>
      </c>
      <c r="D134" s="289">
        <v>4620207491799</v>
      </c>
      <c r="E134" s="289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5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1"/>
      <c r="R134" s="291"/>
      <c r="S134" s="291"/>
      <c r="T134" s="29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238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idden="1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09" t="s">
        <v>245</v>
      </c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66"/>
      <c r="AB137" s="66"/>
      <c r="AC137" s="83"/>
    </row>
    <row r="138" spans="1:68" ht="27" hidden="1" customHeight="1" x14ac:dyDescent="0.25">
      <c r="A138" s="63" t="s">
        <v>246</v>
      </c>
      <c r="B138" s="63" t="s">
        <v>247</v>
      </c>
      <c r="C138" s="36">
        <v>4301190117</v>
      </c>
      <c r="D138" s="289">
        <v>4620207491386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123</v>
      </c>
      <c r="L138" s="37" t="s">
        <v>88</v>
      </c>
      <c r="M138" s="38" t="s">
        <v>86</v>
      </c>
      <c r="N138" s="38"/>
      <c r="O138" s="37">
        <v>180</v>
      </c>
      <c r="P138" s="34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248</v>
      </c>
      <c r="AG138" s="81"/>
      <c r="AJ138" s="87" t="s">
        <v>89</v>
      </c>
      <c r="AK138" s="87">
        <v>1</v>
      </c>
      <c r="BB138" s="194" t="s">
        <v>122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249</v>
      </c>
      <c r="B139" s="63" t="s">
        <v>250</v>
      </c>
      <c r="C139" s="36">
        <v>4301190115</v>
      </c>
      <c r="D139" s="289">
        <v>4620207491362</v>
      </c>
      <c r="E139" s="28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123</v>
      </c>
      <c r="L139" s="37" t="s">
        <v>88</v>
      </c>
      <c r="M139" s="38" t="s">
        <v>86</v>
      </c>
      <c r="N139" s="38"/>
      <c r="O139" s="37">
        <v>180</v>
      </c>
      <c r="P139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1"/>
      <c r="R139" s="291"/>
      <c r="S139" s="291"/>
      <c r="T139" s="29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248</v>
      </c>
      <c r="AG139" s="81"/>
      <c r="AJ139" s="87" t="s">
        <v>89</v>
      </c>
      <c r="AK139" s="87">
        <v>1</v>
      </c>
      <c r="BB139" s="196" t="s">
        <v>122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251</v>
      </c>
      <c r="B140" s="63" t="s">
        <v>252</v>
      </c>
      <c r="C140" s="36">
        <v>4301190116</v>
      </c>
      <c r="D140" s="289">
        <v>4620207491379</v>
      </c>
      <c r="E140" s="289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4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1"/>
      <c r="R140" s="291"/>
      <c r="S140" s="291"/>
      <c r="T140" s="29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248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17" t="s">
        <v>253</v>
      </c>
      <c r="B143" s="317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65"/>
      <c r="AB143" s="65"/>
      <c r="AC143" s="82"/>
    </row>
    <row r="144" spans="1:68" ht="14.25" hidden="1" customHeight="1" x14ac:dyDescent="0.25">
      <c r="A144" s="309" t="s">
        <v>169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66"/>
      <c r="AB144" s="66"/>
      <c r="AC144" s="83"/>
    </row>
    <row r="145" spans="1:68" ht="27" customHeight="1" x14ac:dyDescent="0.25">
      <c r="A145" s="63" t="s">
        <v>254</v>
      </c>
      <c r="B145" s="63" t="s">
        <v>255</v>
      </c>
      <c r="C145" s="36">
        <v>4301135956</v>
      </c>
      <c r="D145" s="289">
        <v>4620207491560</v>
      </c>
      <c r="E145" s="28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123</v>
      </c>
      <c r="L145" s="37" t="s">
        <v>88</v>
      </c>
      <c r="M145" s="38" t="s">
        <v>86</v>
      </c>
      <c r="N145" s="38"/>
      <c r="O145" s="37">
        <v>180</v>
      </c>
      <c r="P145" s="34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5" s="291"/>
      <c r="R145" s="291"/>
      <c r="S145" s="291"/>
      <c r="T145" s="292"/>
      <c r="U145" s="39" t="s">
        <v>46</v>
      </c>
      <c r="V145" s="39" t="s">
        <v>46</v>
      </c>
      <c r="W145" s="40" t="s">
        <v>39</v>
      </c>
      <c r="X145" s="58">
        <v>30</v>
      </c>
      <c r="Y145" s="55">
        <f>IFERROR(IF(X145="","",X145),"")</f>
        <v>30</v>
      </c>
      <c r="Z145" s="41">
        <f>IFERROR(IF(X145="","",X145*0.01788),"")</f>
        <v>0.53639999999999999</v>
      </c>
      <c r="AA145" s="68" t="s">
        <v>46</v>
      </c>
      <c r="AB145" s="69" t="s">
        <v>46</v>
      </c>
      <c r="AC145" s="199" t="s">
        <v>256</v>
      </c>
      <c r="AG145" s="81"/>
      <c r="AJ145" s="87" t="s">
        <v>89</v>
      </c>
      <c r="AK145" s="87">
        <v>1</v>
      </c>
      <c r="BB145" s="200" t="s">
        <v>122</v>
      </c>
      <c r="BM145" s="81">
        <f>IFERROR(X145*I145,"0")</f>
        <v>111.10799999999999</v>
      </c>
      <c r="BN145" s="81">
        <f>IFERROR(Y145*I145,"0")</f>
        <v>111.10799999999999</v>
      </c>
      <c r="BO145" s="81">
        <f>IFERROR(X145/J145,"0")</f>
        <v>0.42857142857142855</v>
      </c>
      <c r="BP145" s="81">
        <f>IFERROR(Y145/J145,"0")</f>
        <v>0.42857142857142855</v>
      </c>
    </row>
    <row r="146" spans="1:68" ht="27" customHeight="1" x14ac:dyDescent="0.25">
      <c r="A146" s="63" t="s">
        <v>257</v>
      </c>
      <c r="B146" s="63" t="s">
        <v>258</v>
      </c>
      <c r="C146" s="36">
        <v>4301135962</v>
      </c>
      <c r="D146" s="289">
        <v>4620207491584</v>
      </c>
      <c r="E146" s="289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123</v>
      </c>
      <c r="L146" s="37" t="s">
        <v>88</v>
      </c>
      <c r="M146" s="38" t="s">
        <v>86</v>
      </c>
      <c r="N146" s="38"/>
      <c r="O146" s="37">
        <v>180</v>
      </c>
      <c r="P146" s="34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291"/>
      <c r="R146" s="291"/>
      <c r="S146" s="291"/>
      <c r="T146" s="292"/>
      <c r="U146" s="39" t="s">
        <v>46</v>
      </c>
      <c r="V146" s="39" t="s">
        <v>46</v>
      </c>
      <c r="W146" s="40" t="s">
        <v>39</v>
      </c>
      <c r="X146" s="58">
        <v>30</v>
      </c>
      <c r="Y146" s="55">
        <f>IFERROR(IF(X146="","",X146),"")</f>
        <v>30</v>
      </c>
      <c r="Z146" s="41">
        <f>IFERROR(IF(X146="","",X146*0.01788),"")</f>
        <v>0.53639999999999999</v>
      </c>
      <c r="AA146" s="68" t="s">
        <v>46</v>
      </c>
      <c r="AB146" s="69" t="s">
        <v>46</v>
      </c>
      <c r="AC146" s="201" t="s">
        <v>256</v>
      </c>
      <c r="AG146" s="81"/>
      <c r="AJ146" s="87" t="s">
        <v>89</v>
      </c>
      <c r="AK146" s="87">
        <v>1</v>
      </c>
      <c r="BB146" s="202" t="s">
        <v>122</v>
      </c>
      <c r="BM146" s="81">
        <f>IFERROR(X146*I146,"0")</f>
        <v>111.10799999999999</v>
      </c>
      <c r="BN146" s="81">
        <f>IFERROR(Y146*I146,"0")</f>
        <v>111.10799999999999</v>
      </c>
      <c r="BO146" s="81">
        <f>IFERROR(X146/J146,"0")</f>
        <v>0.42857142857142855</v>
      </c>
      <c r="BP146" s="81">
        <f>IFERROR(Y146/J146,"0")</f>
        <v>0.42857142857142855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2" t="s">
        <v>39</v>
      </c>
      <c r="X147" s="43">
        <f>IFERROR(SUM(X145:X146),"0")</f>
        <v>60</v>
      </c>
      <c r="Y147" s="43">
        <f>IFERROR(SUM(Y145:Y146),"0")</f>
        <v>60</v>
      </c>
      <c r="Z147" s="43">
        <f>IFERROR(IF(Z145="",0,Z145),"0")+IFERROR(IF(Z146="",0,Z146),"0")</f>
        <v>1.0728</v>
      </c>
      <c r="AA147" s="67"/>
      <c r="AB147" s="67"/>
      <c r="AC147" s="67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2" t="s">
        <v>0</v>
      </c>
      <c r="X148" s="43">
        <f>IFERROR(SUMPRODUCT(X145:X146*H145:H146),"0")</f>
        <v>180</v>
      </c>
      <c r="Y148" s="43">
        <f>IFERROR(SUMPRODUCT(Y145:Y146*H145:H146),"0")</f>
        <v>180</v>
      </c>
      <c r="Z148" s="42"/>
      <c r="AA148" s="67"/>
      <c r="AB148" s="67"/>
      <c r="AC148" s="67"/>
    </row>
    <row r="149" spans="1:68" ht="16.5" hidden="1" customHeight="1" x14ac:dyDescent="0.25">
      <c r="A149" s="317" t="s">
        <v>259</v>
      </c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65"/>
      <c r="AB149" s="65"/>
      <c r="AC149" s="82"/>
    </row>
    <row r="150" spans="1:68" ht="14.25" hidden="1" customHeight="1" x14ac:dyDescent="0.25">
      <c r="A150" s="309" t="s">
        <v>169</v>
      </c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66"/>
      <c r="AB150" s="66"/>
      <c r="AC150" s="83"/>
    </row>
    <row r="151" spans="1:68" ht="27" hidden="1" customHeight="1" x14ac:dyDescent="0.25">
      <c r="A151" s="63" t="s">
        <v>260</v>
      </c>
      <c r="B151" s="63" t="s">
        <v>261</v>
      </c>
      <c r="C151" s="36">
        <v>4301135954</v>
      </c>
      <c r="D151" s="289">
        <v>4620207491768</v>
      </c>
      <c r="E151" s="289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123</v>
      </c>
      <c r="L151" s="37" t="s">
        <v>88</v>
      </c>
      <c r="M151" s="38" t="s">
        <v>86</v>
      </c>
      <c r="N151" s="38"/>
      <c r="O151" s="37">
        <v>180</v>
      </c>
      <c r="P151" s="34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1" s="291"/>
      <c r="R151" s="291"/>
      <c r="S151" s="291"/>
      <c r="T151" s="292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262</v>
      </c>
      <c r="AG151" s="81"/>
      <c r="AJ151" s="87" t="s">
        <v>89</v>
      </c>
      <c r="AK151" s="87">
        <v>1</v>
      </c>
      <c r="BB151" s="204" t="s">
        <v>122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263</v>
      </c>
      <c r="B152" s="63" t="s">
        <v>264</v>
      </c>
      <c r="C152" s="36">
        <v>4301135946</v>
      </c>
      <c r="D152" s="289">
        <v>4620207491553</v>
      </c>
      <c r="E152" s="289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123</v>
      </c>
      <c r="L152" s="37" t="s">
        <v>88</v>
      </c>
      <c r="M152" s="38" t="s">
        <v>86</v>
      </c>
      <c r="N152" s="38"/>
      <c r="O152" s="37">
        <v>180</v>
      </c>
      <c r="P152" s="34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1"/>
      <c r="R152" s="291"/>
      <c r="S152" s="291"/>
      <c r="T152" s="292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262</v>
      </c>
      <c r="AG152" s="81"/>
      <c r="AJ152" s="87" t="s">
        <v>89</v>
      </c>
      <c r="AK152" s="87">
        <v>1</v>
      </c>
      <c r="BB152" s="206" t="s">
        <v>122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1.5019199999999999</v>
      </c>
      <c r="AA153" s="67"/>
      <c r="AB153" s="67"/>
      <c r="AC153" s="67"/>
    </row>
    <row r="154" spans="1:68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17" t="s">
        <v>265</v>
      </c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65"/>
      <c r="AB155" s="65"/>
      <c r="AC155" s="82"/>
    </row>
    <row r="156" spans="1:68" ht="14.25" hidden="1" customHeight="1" x14ac:dyDescent="0.25">
      <c r="A156" s="309" t="s">
        <v>169</v>
      </c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66"/>
      <c r="AB156" s="66"/>
      <c r="AC156" s="83"/>
    </row>
    <row r="157" spans="1:68" ht="27" hidden="1" customHeight="1" x14ac:dyDescent="0.25">
      <c r="A157" s="63" t="s">
        <v>266</v>
      </c>
      <c r="B157" s="63" t="s">
        <v>267</v>
      </c>
      <c r="C157" s="36">
        <v>4301135926</v>
      </c>
      <c r="D157" s="289">
        <v>4620207491669</v>
      </c>
      <c r="E157" s="28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123</v>
      </c>
      <c r="L157" s="37" t="s">
        <v>88</v>
      </c>
      <c r="M157" s="38" t="s">
        <v>86</v>
      </c>
      <c r="N157" s="38"/>
      <c r="O157" s="37">
        <v>180</v>
      </c>
      <c r="P157" s="34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7" s="291"/>
      <c r="R157" s="291"/>
      <c r="S157" s="291"/>
      <c r="T157" s="29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268</v>
      </c>
      <c r="AG157" s="81"/>
      <c r="AJ157" s="87" t="s">
        <v>89</v>
      </c>
      <c r="AK157" s="87">
        <v>1</v>
      </c>
      <c r="BB157" s="208" t="s">
        <v>122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269</v>
      </c>
      <c r="B158" s="63" t="s">
        <v>270</v>
      </c>
      <c r="C158" s="36">
        <v>4301135932</v>
      </c>
      <c r="D158" s="289">
        <v>4620207491676</v>
      </c>
      <c r="E158" s="289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123</v>
      </c>
      <c r="L158" s="37" t="s">
        <v>88</v>
      </c>
      <c r="M158" s="38" t="s">
        <v>86</v>
      </c>
      <c r="N158" s="38"/>
      <c r="O158" s="37">
        <v>180</v>
      </c>
      <c r="P158" s="34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8" s="291"/>
      <c r="R158" s="291"/>
      <c r="S158" s="291"/>
      <c r="T158" s="292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268</v>
      </c>
      <c r="AG158" s="81"/>
      <c r="AJ158" s="87" t="s">
        <v>89</v>
      </c>
      <c r="AK158" s="87">
        <v>1</v>
      </c>
      <c r="BB158" s="210" t="s">
        <v>122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17" t="s">
        <v>271</v>
      </c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65"/>
      <c r="AB161" s="65"/>
      <c r="AC161" s="82"/>
    </row>
    <row r="162" spans="1:68" ht="14.25" hidden="1" customHeight="1" x14ac:dyDescent="0.25">
      <c r="A162" s="309" t="s">
        <v>169</v>
      </c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66"/>
      <c r="AB162" s="66"/>
      <c r="AC162" s="83"/>
    </row>
    <row r="163" spans="1:68" ht="27" hidden="1" customHeight="1" x14ac:dyDescent="0.25">
      <c r="A163" s="63" t="s">
        <v>272</v>
      </c>
      <c r="B163" s="63" t="s">
        <v>273</v>
      </c>
      <c r="C163" s="36">
        <v>4301135940</v>
      </c>
      <c r="D163" s="289">
        <v>4620207491614</v>
      </c>
      <c r="E163" s="289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123</v>
      </c>
      <c r="L163" s="37" t="s">
        <v>88</v>
      </c>
      <c r="M163" s="38" t="s">
        <v>86</v>
      </c>
      <c r="N163" s="38"/>
      <c r="O163" s="37">
        <v>180</v>
      </c>
      <c r="P163" s="34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1"/>
      <c r="R163" s="291"/>
      <c r="S163" s="291"/>
      <c r="T163" s="292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172</v>
      </c>
      <c r="AG163" s="81"/>
      <c r="AJ163" s="87" t="s">
        <v>89</v>
      </c>
      <c r="AK163" s="87">
        <v>1</v>
      </c>
      <c r="BB163" s="212" t="s">
        <v>122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17" t="s">
        <v>274</v>
      </c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65"/>
      <c r="AB166" s="65"/>
      <c r="AC166" s="82"/>
    </row>
    <row r="167" spans="1:68" ht="14.25" hidden="1" customHeight="1" x14ac:dyDescent="0.25">
      <c r="A167" s="309" t="s">
        <v>169</v>
      </c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66"/>
      <c r="AB167" s="66"/>
      <c r="AC167" s="83"/>
    </row>
    <row r="168" spans="1:68" ht="16.5" hidden="1" customHeight="1" x14ac:dyDescent="0.25">
      <c r="A168" s="63" t="s">
        <v>275</v>
      </c>
      <c r="B168" s="63" t="s">
        <v>276</v>
      </c>
      <c r="C168" s="36">
        <v>4301135607</v>
      </c>
      <c r="D168" s="289">
        <v>4607111039613</v>
      </c>
      <c r="E168" s="289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123</v>
      </c>
      <c r="L168" s="37" t="s">
        <v>124</v>
      </c>
      <c r="M168" s="38" t="s">
        <v>86</v>
      </c>
      <c r="N168" s="38"/>
      <c r="O168" s="37">
        <v>180</v>
      </c>
      <c r="P168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1"/>
      <c r="R168" s="291"/>
      <c r="S168" s="291"/>
      <c r="T168" s="292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277</v>
      </c>
      <c r="AG168" s="81"/>
      <c r="AJ168" s="87" t="s">
        <v>125</v>
      </c>
      <c r="AK168" s="87">
        <v>14</v>
      </c>
      <c r="BB168" s="214" t="s">
        <v>122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17" t="s">
        <v>278</v>
      </c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65"/>
      <c r="AB171" s="65"/>
      <c r="AC171" s="82"/>
    </row>
    <row r="172" spans="1:68" ht="14.25" hidden="1" customHeight="1" x14ac:dyDescent="0.25">
      <c r="A172" s="309" t="s">
        <v>169</v>
      </c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66"/>
      <c r="AB172" s="66"/>
      <c r="AC172" s="83"/>
    </row>
    <row r="173" spans="1:68" ht="27" hidden="1" customHeight="1" x14ac:dyDescent="0.25">
      <c r="A173" s="63" t="s">
        <v>279</v>
      </c>
      <c r="B173" s="63" t="s">
        <v>280</v>
      </c>
      <c r="C173" s="36">
        <v>4301135912</v>
      </c>
      <c r="D173" s="289">
        <v>4620207491751</v>
      </c>
      <c r="E173" s="289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123</v>
      </c>
      <c r="L173" s="37" t="s">
        <v>88</v>
      </c>
      <c r="M173" s="38" t="s">
        <v>86</v>
      </c>
      <c r="N173" s="38"/>
      <c r="O173" s="37">
        <v>180</v>
      </c>
      <c r="P173" s="337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3" s="291"/>
      <c r="R173" s="291"/>
      <c r="S173" s="291"/>
      <c r="T173" s="29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172</v>
      </c>
      <c r="AG173" s="81"/>
      <c r="AJ173" s="87" t="s">
        <v>89</v>
      </c>
      <c r="AK173" s="87">
        <v>1</v>
      </c>
      <c r="BB173" s="216" t="s">
        <v>122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16" t="s">
        <v>281</v>
      </c>
      <c r="B176" s="316"/>
      <c r="C176" s="316"/>
      <c r="D176" s="316"/>
      <c r="E176" s="316"/>
      <c r="F176" s="316"/>
      <c r="G176" s="316"/>
      <c r="H176" s="316"/>
      <c r="I176" s="316"/>
      <c r="J176" s="316"/>
      <c r="K176" s="316"/>
      <c r="L176" s="316"/>
      <c r="M176" s="316"/>
      <c r="N176" s="316"/>
      <c r="O176" s="316"/>
      <c r="P176" s="316"/>
      <c r="Q176" s="316"/>
      <c r="R176" s="316"/>
      <c r="S176" s="316"/>
      <c r="T176" s="316"/>
      <c r="U176" s="316"/>
      <c r="V176" s="316"/>
      <c r="W176" s="316"/>
      <c r="X176" s="316"/>
      <c r="Y176" s="316"/>
      <c r="Z176" s="316"/>
      <c r="AA176" s="54"/>
      <c r="AB176" s="54"/>
      <c r="AC176" s="54"/>
    </row>
    <row r="177" spans="1:68" ht="16.5" hidden="1" customHeight="1" x14ac:dyDescent="0.25">
      <c r="A177" s="317" t="s">
        <v>282</v>
      </c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65"/>
      <c r="AB177" s="65"/>
      <c r="AC177" s="82"/>
    </row>
    <row r="178" spans="1:68" ht="14.25" hidden="1" customHeight="1" x14ac:dyDescent="0.25">
      <c r="A178" s="309" t="s">
        <v>118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66"/>
      <c r="AB178" s="66"/>
      <c r="AC178" s="83"/>
    </row>
    <row r="179" spans="1:68" ht="27" hidden="1" customHeight="1" x14ac:dyDescent="0.25">
      <c r="A179" s="63" t="s">
        <v>283</v>
      </c>
      <c r="B179" s="63" t="s">
        <v>284</v>
      </c>
      <c r="C179" s="36">
        <v>4301132226</v>
      </c>
      <c r="D179" s="289">
        <v>4620207490631</v>
      </c>
      <c r="E179" s="289"/>
      <c r="F179" s="62">
        <v>6</v>
      </c>
      <c r="G179" s="37">
        <v>1</v>
      </c>
      <c r="H179" s="62">
        <v>6</v>
      </c>
      <c r="I179" s="62">
        <v>6.2350000000000003</v>
      </c>
      <c r="J179" s="37">
        <v>84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3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9" s="291"/>
      <c r="R179" s="291"/>
      <c r="S179" s="291"/>
      <c r="T179" s="29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IFERROR(IF(X179="","",X179*0.0155),"")</f>
        <v>0</v>
      </c>
      <c r="AA179" s="68" t="s">
        <v>46</v>
      </c>
      <c r="AB179" s="69" t="s">
        <v>46</v>
      </c>
      <c r="AC179" s="217" t="s">
        <v>285</v>
      </c>
      <c r="AG179" s="81"/>
      <c r="AJ179" s="87" t="s">
        <v>89</v>
      </c>
      <c r="AK179" s="87">
        <v>1</v>
      </c>
      <c r="BB179" s="218" t="s">
        <v>122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8"/>
      <c r="P180" s="294" t="s">
        <v>40</v>
      </c>
      <c r="Q180" s="295"/>
      <c r="R180" s="295"/>
      <c r="S180" s="295"/>
      <c r="T180" s="295"/>
      <c r="U180" s="295"/>
      <c r="V180" s="296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hidden="1" customHeight="1" x14ac:dyDescent="0.25">
      <c r="A182" s="309" t="s">
        <v>169</v>
      </c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66"/>
      <c r="AB182" s="66"/>
      <c r="AC182" s="83"/>
    </row>
    <row r="183" spans="1:68" ht="27" hidden="1" customHeight="1" x14ac:dyDescent="0.25">
      <c r="A183" s="63" t="s">
        <v>286</v>
      </c>
      <c r="B183" s="63" t="s">
        <v>287</v>
      </c>
      <c r="C183" s="36">
        <v>4301135392</v>
      </c>
      <c r="D183" s="289">
        <v>4607111039132</v>
      </c>
      <c r="E183" s="289"/>
      <c r="F183" s="62">
        <v>3.7</v>
      </c>
      <c r="G183" s="37">
        <v>1</v>
      </c>
      <c r="H183" s="62">
        <v>3.7</v>
      </c>
      <c r="I183" s="62">
        <v>3.8919999999999999</v>
      </c>
      <c r="J183" s="37">
        <v>126</v>
      </c>
      <c r="K183" s="37" t="s">
        <v>123</v>
      </c>
      <c r="L183" s="37" t="s">
        <v>88</v>
      </c>
      <c r="M183" s="38" t="s">
        <v>86</v>
      </c>
      <c r="N183" s="38"/>
      <c r="O183" s="37">
        <v>180</v>
      </c>
      <c r="P183" s="33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IFERROR(IF(X183="","",X183*0.00936),"")</f>
        <v>0</v>
      </c>
      <c r="AA183" s="68" t="s">
        <v>46</v>
      </c>
      <c r="AB183" s="69" t="s">
        <v>46</v>
      </c>
      <c r="AC183" s="219" t="s">
        <v>288</v>
      </c>
      <c r="AG183" s="81"/>
      <c r="AJ183" s="87" t="s">
        <v>89</v>
      </c>
      <c r="AK183" s="87">
        <v>1</v>
      </c>
      <c r="BB183" s="220" t="s">
        <v>122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8"/>
      <c r="P184" s="294" t="s">
        <v>40</v>
      </c>
      <c r="Q184" s="295"/>
      <c r="R184" s="295"/>
      <c r="S184" s="295"/>
      <c r="T184" s="295"/>
      <c r="U184" s="295"/>
      <c r="V184" s="296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8"/>
      <c r="P185" s="294" t="s">
        <v>40</v>
      </c>
      <c r="Q185" s="295"/>
      <c r="R185" s="295"/>
      <c r="S185" s="295"/>
      <c r="T185" s="295"/>
      <c r="U185" s="295"/>
      <c r="V185" s="296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16.5" hidden="1" customHeight="1" x14ac:dyDescent="0.25">
      <c r="A186" s="317" t="s">
        <v>289</v>
      </c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65"/>
      <c r="AB186" s="65"/>
      <c r="AC186" s="82"/>
    </row>
    <row r="187" spans="1:68" ht="14.25" hidden="1" customHeight="1" x14ac:dyDescent="0.25">
      <c r="A187" s="309" t="s">
        <v>82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16.5" hidden="1" customHeight="1" x14ac:dyDescent="0.25">
      <c r="A188" s="63" t="s">
        <v>290</v>
      </c>
      <c r="B188" s="63" t="s">
        <v>291</v>
      </c>
      <c r="C188" s="36">
        <v>4301071062</v>
      </c>
      <c r="D188" s="289">
        <v>4607111036384</v>
      </c>
      <c r="E188" s="289"/>
      <c r="F188" s="62">
        <v>5</v>
      </c>
      <c r="G188" s="37">
        <v>1</v>
      </c>
      <c r="H188" s="62">
        <v>5</v>
      </c>
      <c r="I188" s="62">
        <v>5.2106000000000003</v>
      </c>
      <c r="J188" s="37">
        <v>144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8" s="291"/>
      <c r="R188" s="291"/>
      <c r="S188" s="291"/>
      <c r="T188" s="292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292</v>
      </c>
      <c r="AG188" s="81"/>
      <c r="AJ188" s="87" t="s">
        <v>89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27" hidden="1" customHeight="1" x14ac:dyDescent="0.25">
      <c r="A189" s="63" t="s">
        <v>293</v>
      </c>
      <c r="B189" s="63" t="s">
        <v>294</v>
      </c>
      <c r="C189" s="36">
        <v>4301071050</v>
      </c>
      <c r="D189" s="289">
        <v>4607111036216</v>
      </c>
      <c r="E189" s="289"/>
      <c r="F189" s="62">
        <v>5</v>
      </c>
      <c r="G189" s="37">
        <v>1</v>
      </c>
      <c r="H189" s="62">
        <v>5</v>
      </c>
      <c r="I189" s="62">
        <v>5.2131999999999996</v>
      </c>
      <c r="J189" s="37">
        <v>144</v>
      </c>
      <c r="K189" s="37" t="s">
        <v>87</v>
      </c>
      <c r="L189" s="37" t="s">
        <v>124</v>
      </c>
      <c r="M189" s="38" t="s">
        <v>86</v>
      </c>
      <c r="N189" s="38"/>
      <c r="O189" s="37">
        <v>180</v>
      </c>
      <c r="P189" s="3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23" t="s">
        <v>295</v>
      </c>
      <c r="AG189" s="81"/>
      <c r="AJ189" s="87" t="s">
        <v>125</v>
      </c>
      <c r="AK189" s="87">
        <v>12</v>
      </c>
      <c r="BB189" s="224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idden="1" x14ac:dyDescent="0.2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8"/>
      <c r="P190" s="294" t="s">
        <v>40</v>
      </c>
      <c r="Q190" s="295"/>
      <c r="R190" s="295"/>
      <c r="S190" s="295"/>
      <c r="T190" s="295"/>
      <c r="U190" s="295"/>
      <c r="V190" s="296"/>
      <c r="W190" s="42" t="s">
        <v>39</v>
      </c>
      <c r="X190" s="43">
        <f>IFERROR(SUM(X188:X189),"0")</f>
        <v>0</v>
      </c>
      <c r="Y190" s="43">
        <f>IFERROR(SUM(Y188:Y189),"0")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8"/>
      <c r="P191" s="294" t="s">
        <v>40</v>
      </c>
      <c r="Q191" s="295"/>
      <c r="R191" s="295"/>
      <c r="S191" s="295"/>
      <c r="T191" s="295"/>
      <c r="U191" s="295"/>
      <c r="V191" s="296"/>
      <c r="W191" s="42" t="s">
        <v>0</v>
      </c>
      <c r="X191" s="43">
        <f>IFERROR(SUMPRODUCT(X188:X189*H188:H189),"0")</f>
        <v>0</v>
      </c>
      <c r="Y191" s="43">
        <f>IFERROR(SUMPRODUCT(Y188:Y189*H188:H189),"0")</f>
        <v>0</v>
      </c>
      <c r="Z191" s="42"/>
      <c r="AA191" s="67"/>
      <c r="AB191" s="67"/>
      <c r="AC191" s="67"/>
    </row>
    <row r="192" spans="1:68" ht="16.5" hidden="1" customHeight="1" x14ac:dyDescent="0.25">
      <c r="A192" s="317" t="s">
        <v>296</v>
      </c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65"/>
      <c r="AB192" s="65"/>
      <c r="AC192" s="82"/>
    </row>
    <row r="193" spans="1:68" ht="14.25" hidden="1" customHeight="1" x14ac:dyDescent="0.25">
      <c r="A193" s="309" t="s">
        <v>82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27" hidden="1" customHeight="1" x14ac:dyDescent="0.25">
      <c r="A194" s="63" t="s">
        <v>297</v>
      </c>
      <c r="B194" s="63" t="s">
        <v>298</v>
      </c>
      <c r="C194" s="36">
        <v>4301071117</v>
      </c>
      <c r="D194" s="289">
        <v>4620207491737</v>
      </c>
      <c r="E194" s="289"/>
      <c r="F194" s="62">
        <v>1</v>
      </c>
      <c r="G194" s="37">
        <v>5</v>
      </c>
      <c r="H194" s="62">
        <v>5</v>
      </c>
      <c r="I194" s="62">
        <v>5.2619999999999996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3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4" s="291"/>
      <c r="R194" s="291"/>
      <c r="S194" s="291"/>
      <c r="T194" s="292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25" t="s">
        <v>295</v>
      </c>
      <c r="AG194" s="81"/>
      <c r="AJ194" s="87" t="s">
        <v>89</v>
      </c>
      <c r="AK194" s="87">
        <v>1</v>
      </c>
      <c r="BB194" s="22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2" t="s">
        <v>39</v>
      </c>
      <c r="X195" s="43">
        <f>IFERROR(SUM(X194:X194),"0")</f>
        <v>0</v>
      </c>
      <c r="Y195" s="43">
        <f>IFERROR(SUM(Y194:Y194),"0")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2" t="s">
        <v>0</v>
      </c>
      <c r="X196" s="43">
        <f>IFERROR(SUMPRODUCT(X194:X194*H194:H194),"0")</f>
        <v>0</v>
      </c>
      <c r="Y196" s="43">
        <f>IFERROR(SUMPRODUCT(Y194:Y194*H194:H194),"0")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16" t="s">
        <v>299</v>
      </c>
      <c r="B197" s="316"/>
      <c r="C197" s="316"/>
      <c r="D197" s="316"/>
      <c r="E197" s="316"/>
      <c r="F197" s="316"/>
      <c r="G197" s="316"/>
      <c r="H197" s="316"/>
      <c r="I197" s="316"/>
      <c r="J197" s="316"/>
      <c r="K197" s="316"/>
      <c r="L197" s="316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54"/>
      <c r="AB197" s="54"/>
      <c r="AC197" s="54"/>
    </row>
    <row r="198" spans="1:68" ht="16.5" hidden="1" customHeight="1" x14ac:dyDescent="0.25">
      <c r="A198" s="317" t="s">
        <v>300</v>
      </c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65"/>
      <c r="AB198" s="65"/>
      <c r="AC198" s="82"/>
    </row>
    <row r="199" spans="1:68" ht="14.25" hidden="1" customHeight="1" x14ac:dyDescent="0.25">
      <c r="A199" s="309" t="s">
        <v>118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66"/>
      <c r="AB199" s="66"/>
      <c r="AC199" s="83"/>
    </row>
    <row r="200" spans="1:68" ht="16.5" hidden="1" customHeight="1" x14ac:dyDescent="0.25">
      <c r="A200" s="63" t="s">
        <v>301</v>
      </c>
      <c r="B200" s="63" t="s">
        <v>302</v>
      </c>
      <c r="C200" s="36">
        <v>4301132179</v>
      </c>
      <c r="D200" s="289">
        <v>4607111035691</v>
      </c>
      <c r="E200" s="289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123</v>
      </c>
      <c r="L200" s="37" t="s">
        <v>124</v>
      </c>
      <c r="M200" s="38" t="s">
        <v>86</v>
      </c>
      <c r="N200" s="38"/>
      <c r="O200" s="37">
        <v>365</v>
      </c>
      <c r="P200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0" s="291"/>
      <c r="R200" s="291"/>
      <c r="S200" s="291"/>
      <c r="T200" s="29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303</v>
      </c>
      <c r="AG200" s="81"/>
      <c r="AJ200" s="87" t="s">
        <v>125</v>
      </c>
      <c r="AK200" s="87">
        <v>14</v>
      </c>
      <c r="BB200" s="228" t="s">
        <v>122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hidden="1" customHeight="1" x14ac:dyDescent="0.25">
      <c r="A201" s="63" t="s">
        <v>304</v>
      </c>
      <c r="B201" s="63" t="s">
        <v>305</v>
      </c>
      <c r="C201" s="36">
        <v>4301132182</v>
      </c>
      <c r="D201" s="289">
        <v>4607111035721</v>
      </c>
      <c r="E201" s="289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123</v>
      </c>
      <c r="L201" s="37" t="s">
        <v>124</v>
      </c>
      <c r="M201" s="38" t="s">
        <v>86</v>
      </c>
      <c r="N201" s="38"/>
      <c r="O201" s="37">
        <v>365</v>
      </c>
      <c r="P201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1" s="291"/>
      <c r="R201" s="291"/>
      <c r="S201" s="291"/>
      <c r="T201" s="292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306</v>
      </c>
      <c r="AG201" s="81"/>
      <c r="AJ201" s="87" t="s">
        <v>125</v>
      </c>
      <c r="AK201" s="87">
        <v>14</v>
      </c>
      <c r="BB201" s="230" t="s">
        <v>122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hidden="1" customHeight="1" x14ac:dyDescent="0.25">
      <c r="A202" s="63" t="s">
        <v>307</v>
      </c>
      <c r="B202" s="63" t="s">
        <v>308</v>
      </c>
      <c r="C202" s="36">
        <v>4301132170</v>
      </c>
      <c r="D202" s="289">
        <v>4607111038487</v>
      </c>
      <c r="E202" s="289"/>
      <c r="F202" s="62">
        <v>0.25</v>
      </c>
      <c r="G202" s="37">
        <v>12</v>
      </c>
      <c r="H202" s="62">
        <v>3</v>
      </c>
      <c r="I202" s="62">
        <v>3.7360000000000002</v>
      </c>
      <c r="J202" s="37">
        <v>70</v>
      </c>
      <c r="K202" s="37" t="s">
        <v>123</v>
      </c>
      <c r="L202" s="37" t="s">
        <v>124</v>
      </c>
      <c r="M202" s="38" t="s">
        <v>86</v>
      </c>
      <c r="N202" s="38"/>
      <c r="O202" s="37">
        <v>180</v>
      </c>
      <c r="P202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309</v>
      </c>
      <c r="AG202" s="81"/>
      <c r="AJ202" s="87" t="s">
        <v>125</v>
      </c>
      <c r="AK202" s="87">
        <v>14</v>
      </c>
      <c r="BB202" s="232" t="s">
        <v>122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310</v>
      </c>
      <c r="B203" s="63" t="s">
        <v>311</v>
      </c>
      <c r="C203" s="36">
        <v>4301132243</v>
      </c>
      <c r="D203" s="289">
        <v>4620207491195</v>
      </c>
      <c r="E203" s="289"/>
      <c r="F203" s="62">
        <v>0.23</v>
      </c>
      <c r="G203" s="37">
        <v>12</v>
      </c>
      <c r="H203" s="62">
        <v>2.76</v>
      </c>
      <c r="I203" s="62">
        <v>3.1480000000000001</v>
      </c>
      <c r="J203" s="37">
        <v>70</v>
      </c>
      <c r="K203" s="37" t="s">
        <v>123</v>
      </c>
      <c r="L203" s="37" t="s">
        <v>88</v>
      </c>
      <c r="M203" s="38" t="s">
        <v>86</v>
      </c>
      <c r="N203" s="38"/>
      <c r="O203" s="37">
        <v>180</v>
      </c>
      <c r="P203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312</v>
      </c>
      <c r="AG203" s="81"/>
      <c r="AJ203" s="87" t="s">
        <v>89</v>
      </c>
      <c r="AK203" s="87">
        <v>1</v>
      </c>
      <c r="BB203" s="234" t="s">
        <v>122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idden="1" x14ac:dyDescent="0.2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8"/>
      <c r="P204" s="294" t="s">
        <v>40</v>
      </c>
      <c r="Q204" s="295"/>
      <c r="R204" s="295"/>
      <c r="S204" s="295"/>
      <c r="T204" s="295"/>
      <c r="U204" s="295"/>
      <c r="V204" s="296"/>
      <c r="W204" s="42" t="s">
        <v>39</v>
      </c>
      <c r="X204" s="43">
        <f>IFERROR(SUM(X200:X203),"0")</f>
        <v>0</v>
      </c>
      <c r="Y204" s="43">
        <f>IFERROR(SUM(Y200:Y203),"0")</f>
        <v>0</v>
      </c>
      <c r="Z204" s="43">
        <f>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hidden="1" x14ac:dyDescent="0.2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8"/>
      <c r="P205" s="294" t="s">
        <v>40</v>
      </c>
      <c r="Q205" s="295"/>
      <c r="R205" s="295"/>
      <c r="S205" s="295"/>
      <c r="T205" s="295"/>
      <c r="U205" s="295"/>
      <c r="V205" s="296"/>
      <c r="W205" s="42" t="s">
        <v>0</v>
      </c>
      <c r="X205" s="43">
        <f>IFERROR(SUMPRODUCT(X200:X203*H200:H203),"0")</f>
        <v>0</v>
      </c>
      <c r="Y205" s="43">
        <f>IFERROR(SUMPRODUCT(Y200:Y203*H200:H203),"0")</f>
        <v>0</v>
      </c>
      <c r="Z205" s="42"/>
      <c r="AA205" s="67"/>
      <c r="AB205" s="67"/>
      <c r="AC205" s="67"/>
    </row>
    <row r="206" spans="1:68" ht="27.75" hidden="1" customHeight="1" x14ac:dyDescent="0.2">
      <c r="A206" s="316" t="s">
        <v>313</v>
      </c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54"/>
      <c r="AB206" s="54"/>
      <c r="AC206" s="54"/>
    </row>
    <row r="207" spans="1:68" ht="16.5" hidden="1" customHeight="1" x14ac:dyDescent="0.25">
      <c r="A207" s="317" t="s">
        <v>314</v>
      </c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65"/>
      <c r="AB207" s="65"/>
      <c r="AC207" s="82"/>
    </row>
    <row r="208" spans="1:68" ht="14.25" hidden="1" customHeight="1" x14ac:dyDescent="0.25">
      <c r="A208" s="309" t="s">
        <v>118</v>
      </c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66"/>
      <c r="AB208" s="66"/>
      <c r="AC208" s="83"/>
    </row>
    <row r="209" spans="1:68" ht="27" hidden="1" customHeight="1" x14ac:dyDescent="0.25">
      <c r="A209" s="63" t="s">
        <v>315</v>
      </c>
      <c r="B209" s="63" t="s">
        <v>316</v>
      </c>
      <c r="C209" s="36">
        <v>4301132227</v>
      </c>
      <c r="D209" s="289">
        <v>4620207491133</v>
      </c>
      <c r="E209" s="289"/>
      <c r="F209" s="62">
        <v>0.23</v>
      </c>
      <c r="G209" s="37">
        <v>12</v>
      </c>
      <c r="H209" s="62">
        <v>2.76</v>
      </c>
      <c r="I209" s="62">
        <v>2.98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180</v>
      </c>
      <c r="P209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317</v>
      </c>
      <c r="AG209" s="81"/>
      <c r="AJ209" s="87" t="s">
        <v>125</v>
      </c>
      <c r="AK209" s="87">
        <v>14</v>
      </c>
      <c r="BB209" s="236" t="s">
        <v>122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8"/>
      <c r="P210" s="294" t="s">
        <v>40</v>
      </c>
      <c r="Q210" s="295"/>
      <c r="R210" s="295"/>
      <c r="S210" s="295"/>
      <c r="T210" s="295"/>
      <c r="U210" s="295"/>
      <c r="V210" s="296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8"/>
      <c r="P211" s="294" t="s">
        <v>40</v>
      </c>
      <c r="Q211" s="295"/>
      <c r="R211" s="295"/>
      <c r="S211" s="295"/>
      <c r="T211" s="295"/>
      <c r="U211" s="295"/>
      <c r="V211" s="296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hidden="1" customHeight="1" x14ac:dyDescent="0.25">
      <c r="A212" s="309" t="s">
        <v>169</v>
      </c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4301135834</v>
      </c>
      <c r="D213" s="289">
        <v>4620207491188</v>
      </c>
      <c r="E213" s="289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123</v>
      </c>
      <c r="L213" s="37" t="s">
        <v>88</v>
      </c>
      <c r="M213" s="38" t="s">
        <v>86</v>
      </c>
      <c r="N213" s="38"/>
      <c r="O213" s="37">
        <v>180</v>
      </c>
      <c r="P213" s="3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3" s="291"/>
      <c r="R213" s="291"/>
      <c r="S213" s="291"/>
      <c r="T213" s="292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89</v>
      </c>
      <c r="AK213" s="87">
        <v>1</v>
      </c>
      <c r="BB213" s="238" t="s">
        <v>122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hidden="1" customHeight="1" x14ac:dyDescent="0.25">
      <c r="A214" s="63" t="s">
        <v>321</v>
      </c>
      <c r="B214" s="63" t="s">
        <v>322</v>
      </c>
      <c r="C214" s="36">
        <v>4301135697</v>
      </c>
      <c r="D214" s="289">
        <v>4620207490259</v>
      </c>
      <c r="E214" s="289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123</v>
      </c>
      <c r="L214" s="37" t="s">
        <v>88</v>
      </c>
      <c r="M214" s="38" t="s">
        <v>86</v>
      </c>
      <c r="N214" s="38"/>
      <c r="O214" s="37">
        <v>180</v>
      </c>
      <c r="P214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1"/>
      <c r="R214" s="291"/>
      <c r="S214" s="291"/>
      <c r="T214" s="292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323</v>
      </c>
      <c r="AG214" s="81"/>
      <c r="AJ214" s="87" t="s">
        <v>89</v>
      </c>
      <c r="AK214" s="87">
        <v>1</v>
      </c>
      <c r="BB214" s="240" t="s">
        <v>122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idden="1" x14ac:dyDescent="0.2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8"/>
      <c r="P215" s="294" t="s">
        <v>40</v>
      </c>
      <c r="Q215" s="295"/>
      <c r="R215" s="295"/>
      <c r="S215" s="295"/>
      <c r="T215" s="295"/>
      <c r="U215" s="295"/>
      <c r="V215" s="296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hidden="1" x14ac:dyDescent="0.2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8"/>
      <c r="P216" s="294" t="s">
        <v>40</v>
      </c>
      <c r="Q216" s="295"/>
      <c r="R216" s="295"/>
      <c r="S216" s="295"/>
      <c r="T216" s="295"/>
      <c r="U216" s="295"/>
      <c r="V216" s="296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hidden="1" customHeight="1" x14ac:dyDescent="0.25">
      <c r="A217" s="317" t="s">
        <v>324</v>
      </c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65"/>
      <c r="AB217" s="65"/>
      <c r="AC217" s="82"/>
    </row>
    <row r="218" spans="1:68" ht="14.25" hidden="1" customHeight="1" x14ac:dyDescent="0.25">
      <c r="A218" s="309" t="s">
        <v>169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66"/>
      <c r="AB218" s="66"/>
      <c r="AC218" s="83"/>
    </row>
    <row r="219" spans="1:68" ht="27" hidden="1" customHeight="1" x14ac:dyDescent="0.25">
      <c r="A219" s="63" t="s">
        <v>325</v>
      </c>
      <c r="B219" s="63" t="s">
        <v>326</v>
      </c>
      <c r="C219" s="36">
        <v>4301135854</v>
      </c>
      <c r="D219" s="289">
        <v>4620207491706</v>
      </c>
      <c r="E219" s="289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123</v>
      </c>
      <c r="L219" s="37" t="s">
        <v>88</v>
      </c>
      <c r="M219" s="38" t="s">
        <v>86</v>
      </c>
      <c r="N219" s="38"/>
      <c r="O219" s="37">
        <v>180</v>
      </c>
      <c r="P219" s="32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1"/>
      <c r="R219" s="291"/>
      <c r="S219" s="291"/>
      <c r="T219" s="292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327</v>
      </c>
      <c r="AG219" s="81"/>
      <c r="AJ219" s="87" t="s">
        <v>89</v>
      </c>
      <c r="AK219" s="87">
        <v>1</v>
      </c>
      <c r="BB219" s="242" t="s">
        <v>122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hidden="1" customHeight="1" x14ac:dyDescent="0.25">
      <c r="A220" s="63" t="s">
        <v>328</v>
      </c>
      <c r="B220" s="63" t="s">
        <v>329</v>
      </c>
      <c r="C220" s="36">
        <v>4301135895</v>
      </c>
      <c r="D220" s="289">
        <v>4620207491522</v>
      </c>
      <c r="E220" s="289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123</v>
      </c>
      <c r="L220" s="37" t="s">
        <v>88</v>
      </c>
      <c r="M220" s="38" t="s">
        <v>86</v>
      </c>
      <c r="N220" s="38"/>
      <c r="O220" s="37">
        <v>180</v>
      </c>
      <c r="P220" s="32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3" t="s">
        <v>330</v>
      </c>
      <c r="AG220" s="81"/>
      <c r="AJ220" s="87" t="s">
        <v>89</v>
      </c>
      <c r="AK220" s="87">
        <v>1</v>
      </c>
      <c r="BB220" s="244" t="s">
        <v>122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8"/>
      <c r="P221" s="294" t="s">
        <v>40</v>
      </c>
      <c r="Q221" s="295"/>
      <c r="R221" s="295"/>
      <c r="S221" s="295"/>
      <c r="T221" s="295"/>
      <c r="U221" s="295"/>
      <c r="V221" s="296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8"/>
      <c r="P222" s="294" t="s">
        <v>40</v>
      </c>
      <c r="Q222" s="295"/>
      <c r="R222" s="295"/>
      <c r="S222" s="295"/>
      <c r="T222" s="295"/>
      <c r="U222" s="295"/>
      <c r="V222" s="296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17" t="s">
        <v>331</v>
      </c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65"/>
      <c r="AB223" s="65"/>
      <c r="AC223" s="82"/>
    </row>
    <row r="224" spans="1:68" ht="14.25" hidden="1" customHeight="1" x14ac:dyDescent="0.25">
      <c r="A224" s="309" t="s">
        <v>82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hidden="1" customHeight="1" x14ac:dyDescent="0.25">
      <c r="A225" s="63" t="s">
        <v>332</v>
      </c>
      <c r="B225" s="63" t="s">
        <v>333</v>
      </c>
      <c r="C225" s="36">
        <v>4301071097</v>
      </c>
      <c r="D225" s="289">
        <v>4620207491096</v>
      </c>
      <c r="E225" s="289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87</v>
      </c>
      <c r="L225" s="37" t="s">
        <v>124</v>
      </c>
      <c r="M225" s="38" t="s">
        <v>86</v>
      </c>
      <c r="N225" s="38"/>
      <c r="O225" s="37">
        <v>180</v>
      </c>
      <c r="P225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1"/>
      <c r="R225" s="291"/>
      <c r="S225" s="291"/>
      <c r="T225" s="292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5" t="s">
        <v>334</v>
      </c>
      <c r="AG225" s="81"/>
      <c r="AJ225" s="87" t="s">
        <v>125</v>
      </c>
      <c r="AK225" s="87">
        <v>12</v>
      </c>
      <c r="BB225" s="24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8"/>
      <c r="P226" s="294" t="s">
        <v>40</v>
      </c>
      <c r="Q226" s="295"/>
      <c r="R226" s="295"/>
      <c r="S226" s="295"/>
      <c r="T226" s="295"/>
      <c r="U226" s="295"/>
      <c r="V226" s="296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8"/>
      <c r="P227" s="294" t="s">
        <v>40</v>
      </c>
      <c r="Q227" s="295"/>
      <c r="R227" s="295"/>
      <c r="S227" s="295"/>
      <c r="T227" s="295"/>
      <c r="U227" s="295"/>
      <c r="V227" s="296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16" t="s">
        <v>335</v>
      </c>
      <c r="B228" s="316"/>
      <c r="C228" s="316"/>
      <c r="D228" s="316"/>
      <c r="E228" s="316"/>
      <c r="F228" s="316"/>
      <c r="G228" s="316"/>
      <c r="H228" s="316"/>
      <c r="I228" s="316"/>
      <c r="J228" s="316"/>
      <c r="K228" s="316"/>
      <c r="L228" s="316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54"/>
      <c r="AB228" s="54"/>
      <c r="AC228" s="54"/>
    </row>
    <row r="229" spans="1:68" ht="16.5" hidden="1" customHeight="1" x14ac:dyDescent="0.25">
      <c r="A229" s="317" t="s">
        <v>336</v>
      </c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65"/>
      <c r="AB229" s="65"/>
      <c r="AC229" s="82"/>
    </row>
    <row r="230" spans="1:68" ht="14.25" hidden="1" customHeight="1" x14ac:dyDescent="0.25">
      <c r="A230" s="309" t="s">
        <v>82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hidden="1" customHeight="1" x14ac:dyDescent="0.25">
      <c r="A231" s="63" t="s">
        <v>337</v>
      </c>
      <c r="B231" s="63" t="s">
        <v>338</v>
      </c>
      <c r="C231" s="36">
        <v>4301071036</v>
      </c>
      <c r="D231" s="289">
        <v>4607111036162</v>
      </c>
      <c r="E231" s="289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90</v>
      </c>
      <c r="P231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1"/>
      <c r="R231" s="291"/>
      <c r="S231" s="291"/>
      <c r="T231" s="292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339</v>
      </c>
      <c r="AG231" s="81"/>
      <c r="AJ231" s="87" t="s">
        <v>89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8"/>
      <c r="P232" s="294" t="s">
        <v>40</v>
      </c>
      <c r="Q232" s="295"/>
      <c r="R232" s="295"/>
      <c r="S232" s="295"/>
      <c r="T232" s="295"/>
      <c r="U232" s="295"/>
      <c r="V232" s="296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8"/>
      <c r="P233" s="294" t="s">
        <v>40</v>
      </c>
      <c r="Q233" s="295"/>
      <c r="R233" s="295"/>
      <c r="S233" s="295"/>
      <c r="T233" s="295"/>
      <c r="U233" s="295"/>
      <c r="V233" s="296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16" t="s">
        <v>340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54"/>
      <c r="AB234" s="54"/>
      <c r="AC234" s="54"/>
    </row>
    <row r="235" spans="1:68" ht="16.5" hidden="1" customHeight="1" x14ac:dyDescent="0.25">
      <c r="A235" s="317" t="s">
        <v>341</v>
      </c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65"/>
      <c r="AB235" s="65"/>
      <c r="AC235" s="82"/>
    </row>
    <row r="236" spans="1:68" ht="14.25" hidden="1" customHeight="1" x14ac:dyDescent="0.25">
      <c r="A236" s="309" t="s">
        <v>342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hidden="1" customHeight="1" x14ac:dyDescent="0.25">
      <c r="A237" s="63" t="s">
        <v>343</v>
      </c>
      <c r="B237" s="63" t="s">
        <v>344</v>
      </c>
      <c r="C237" s="36">
        <v>4301133004</v>
      </c>
      <c r="D237" s="289">
        <v>4607111039774</v>
      </c>
      <c r="E237" s="289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123</v>
      </c>
      <c r="L237" s="37" t="s">
        <v>88</v>
      </c>
      <c r="M237" s="38" t="s">
        <v>86</v>
      </c>
      <c r="N237" s="38"/>
      <c r="O237" s="37">
        <v>180</v>
      </c>
      <c r="P237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1"/>
      <c r="R237" s="291"/>
      <c r="S237" s="291"/>
      <c r="T237" s="29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345</v>
      </c>
      <c r="AG237" s="81"/>
      <c r="AJ237" s="87" t="s">
        <v>89</v>
      </c>
      <c r="AK237" s="87">
        <v>1</v>
      </c>
      <c r="BB237" s="250" t="s">
        <v>122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8"/>
      <c r="P238" s="294" t="s">
        <v>40</v>
      </c>
      <c r="Q238" s="295"/>
      <c r="R238" s="295"/>
      <c r="S238" s="295"/>
      <c r="T238" s="295"/>
      <c r="U238" s="295"/>
      <c r="V238" s="296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9" t="s">
        <v>169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hidden="1" customHeight="1" x14ac:dyDescent="0.25">
      <c r="A241" s="63" t="s">
        <v>346</v>
      </c>
      <c r="B241" s="63" t="s">
        <v>347</v>
      </c>
      <c r="C241" s="36">
        <v>4301135400</v>
      </c>
      <c r="D241" s="289">
        <v>4607111039361</v>
      </c>
      <c r="E241" s="289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123</v>
      </c>
      <c r="L241" s="37" t="s">
        <v>88</v>
      </c>
      <c r="M241" s="38" t="s">
        <v>86</v>
      </c>
      <c r="N241" s="38"/>
      <c r="O241" s="37">
        <v>180</v>
      </c>
      <c r="P241" s="32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1"/>
      <c r="R241" s="291"/>
      <c r="S241" s="291"/>
      <c r="T241" s="292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345</v>
      </c>
      <c r="AG241" s="81"/>
      <c r="AJ241" s="87" t="s">
        <v>89</v>
      </c>
      <c r="AK241" s="87">
        <v>1</v>
      </c>
      <c r="BB241" s="252" t="s">
        <v>122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8"/>
      <c r="P242" s="294" t="s">
        <v>40</v>
      </c>
      <c r="Q242" s="295"/>
      <c r="R242" s="295"/>
      <c r="S242" s="295"/>
      <c r="T242" s="295"/>
      <c r="U242" s="295"/>
      <c r="V242" s="296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8"/>
      <c r="P243" s="294" t="s">
        <v>40</v>
      </c>
      <c r="Q243" s="295"/>
      <c r="R243" s="295"/>
      <c r="S243" s="295"/>
      <c r="T243" s="295"/>
      <c r="U243" s="295"/>
      <c r="V243" s="296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16" t="s">
        <v>348</v>
      </c>
      <c r="B244" s="316"/>
      <c r="C244" s="316"/>
      <c r="D244" s="316"/>
      <c r="E244" s="316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54"/>
      <c r="AB244" s="54"/>
      <c r="AC244" s="54"/>
    </row>
    <row r="245" spans="1:68" ht="16.5" hidden="1" customHeight="1" x14ac:dyDescent="0.25">
      <c r="A245" s="317" t="s">
        <v>348</v>
      </c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65"/>
      <c r="AB245" s="65"/>
      <c r="AC245" s="82"/>
    </row>
    <row r="246" spans="1:68" ht="14.25" hidden="1" customHeight="1" x14ac:dyDescent="0.25">
      <c r="A246" s="309" t="s">
        <v>118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hidden="1" customHeight="1" x14ac:dyDescent="0.25">
      <c r="A247" s="63" t="s">
        <v>349</v>
      </c>
      <c r="B247" s="63" t="s">
        <v>350</v>
      </c>
      <c r="C247" s="36">
        <v>4301132228</v>
      </c>
      <c r="D247" s="289">
        <v>4640242181950</v>
      </c>
      <c r="E247" s="289"/>
      <c r="F247" s="62">
        <v>0.23</v>
      </c>
      <c r="G247" s="37">
        <v>12</v>
      </c>
      <c r="H247" s="62">
        <v>2.76</v>
      </c>
      <c r="I247" s="62">
        <v>3.22</v>
      </c>
      <c r="J247" s="37">
        <v>70</v>
      </c>
      <c r="K247" s="37" t="s">
        <v>123</v>
      </c>
      <c r="L247" s="37" t="s">
        <v>88</v>
      </c>
      <c r="M247" s="38" t="s">
        <v>86</v>
      </c>
      <c r="N247" s="38"/>
      <c r="O247" s="37">
        <v>365</v>
      </c>
      <c r="P247" s="31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1"/>
      <c r="R247" s="291"/>
      <c r="S247" s="291"/>
      <c r="T247" s="29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3" t="s">
        <v>351</v>
      </c>
      <c r="AG247" s="81"/>
      <c r="AJ247" s="87" t="s">
        <v>89</v>
      </c>
      <c r="AK247" s="87">
        <v>1</v>
      </c>
      <c r="BB247" s="254" t="s">
        <v>122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8"/>
      <c r="P248" s="294" t="s">
        <v>40</v>
      </c>
      <c r="Q248" s="295"/>
      <c r="R248" s="295"/>
      <c r="S248" s="295"/>
      <c r="T248" s="295"/>
      <c r="U248" s="295"/>
      <c r="V248" s="296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hidden="1" customHeight="1" x14ac:dyDescent="0.25">
      <c r="A250" s="309" t="s">
        <v>197</v>
      </c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  <c r="AA250" s="66"/>
      <c r="AB250" s="66"/>
      <c r="AC250" s="83"/>
    </row>
    <row r="251" spans="1:68" ht="27" hidden="1" customHeight="1" x14ac:dyDescent="0.25">
      <c r="A251" s="63" t="s">
        <v>352</v>
      </c>
      <c r="B251" s="63" t="s">
        <v>353</v>
      </c>
      <c r="C251" s="36">
        <v>4301136098</v>
      </c>
      <c r="D251" s="289">
        <v>4640242181943</v>
      </c>
      <c r="E251" s="289"/>
      <c r="F251" s="62">
        <v>0.09</v>
      </c>
      <c r="G251" s="37">
        <v>24</v>
      </c>
      <c r="H251" s="62">
        <v>2.16</v>
      </c>
      <c r="I251" s="62">
        <v>2.34</v>
      </c>
      <c r="J251" s="37">
        <v>126</v>
      </c>
      <c r="K251" s="37" t="s">
        <v>123</v>
      </c>
      <c r="L251" s="37" t="s">
        <v>88</v>
      </c>
      <c r="M251" s="38" t="s">
        <v>86</v>
      </c>
      <c r="N251" s="38"/>
      <c r="O251" s="37">
        <v>180</v>
      </c>
      <c r="P251" s="31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1"/>
      <c r="R251" s="291"/>
      <c r="S251" s="291"/>
      <c r="T251" s="29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55" t="s">
        <v>354</v>
      </c>
      <c r="AG251" s="81"/>
      <c r="AJ251" s="87" t="s">
        <v>89</v>
      </c>
      <c r="AK251" s="87">
        <v>1</v>
      </c>
      <c r="BB251" s="256" t="s">
        <v>122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8"/>
      <c r="P252" s="294" t="s">
        <v>40</v>
      </c>
      <c r="Q252" s="295"/>
      <c r="R252" s="295"/>
      <c r="S252" s="295"/>
      <c r="T252" s="295"/>
      <c r="U252" s="295"/>
      <c r="V252" s="296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8"/>
      <c r="P253" s="294" t="s">
        <v>40</v>
      </c>
      <c r="Q253" s="295"/>
      <c r="R253" s="295"/>
      <c r="S253" s="295"/>
      <c r="T253" s="295"/>
      <c r="U253" s="295"/>
      <c r="V253" s="296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hidden="1" customHeight="1" x14ac:dyDescent="0.2">
      <c r="A254" s="316" t="s">
        <v>282</v>
      </c>
      <c r="B254" s="316"/>
      <c r="C254" s="316"/>
      <c r="D254" s="316"/>
      <c r="E254" s="316"/>
      <c r="F254" s="316"/>
      <c r="G254" s="316"/>
      <c r="H254" s="316"/>
      <c r="I254" s="316"/>
      <c r="J254" s="316"/>
      <c r="K254" s="316"/>
      <c r="L254" s="316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54"/>
      <c r="AB254" s="54"/>
      <c r="AC254" s="54"/>
    </row>
    <row r="255" spans="1:68" ht="16.5" hidden="1" customHeight="1" x14ac:dyDescent="0.25">
      <c r="A255" s="317" t="s">
        <v>282</v>
      </c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65"/>
      <c r="AB255" s="65"/>
      <c r="AC255" s="82"/>
    </row>
    <row r="256" spans="1:68" ht="14.25" hidden="1" customHeight="1" x14ac:dyDescent="0.25">
      <c r="A256" s="309" t="s">
        <v>82</v>
      </c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66"/>
      <c r="AB256" s="66"/>
      <c r="AC256" s="83"/>
    </row>
    <row r="257" spans="1:68" ht="27" hidden="1" customHeight="1" x14ac:dyDescent="0.25">
      <c r="A257" s="63" t="s">
        <v>355</v>
      </c>
      <c r="B257" s="63" t="s">
        <v>356</v>
      </c>
      <c r="C257" s="36">
        <v>4301071014</v>
      </c>
      <c r="D257" s="289">
        <v>4640242181264</v>
      </c>
      <c r="E257" s="289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87</v>
      </c>
      <c r="L257" s="37" t="s">
        <v>88</v>
      </c>
      <c r="M257" s="38" t="s">
        <v>86</v>
      </c>
      <c r="N257" s="38"/>
      <c r="O257" s="37">
        <v>180</v>
      </c>
      <c r="P257" s="31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357</v>
      </c>
      <c r="AG257" s="81"/>
      <c r="AJ257" s="87" t="s">
        <v>89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4301071141</v>
      </c>
      <c r="D258" s="289">
        <v>4620207491980</v>
      </c>
      <c r="E258" s="289"/>
      <c r="F258" s="62">
        <v>0.7</v>
      </c>
      <c r="G258" s="37">
        <v>10</v>
      </c>
      <c r="H258" s="62">
        <v>7</v>
      </c>
      <c r="I258" s="62">
        <v>7.28</v>
      </c>
      <c r="J258" s="37">
        <v>84</v>
      </c>
      <c r="K258" s="37" t="s">
        <v>87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1"/>
      <c r="R258" s="291"/>
      <c r="S258" s="291"/>
      <c r="T258" s="29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360</v>
      </c>
      <c r="AG258" s="81"/>
      <c r="AJ258" s="87" t="s">
        <v>89</v>
      </c>
      <c r="AK258" s="87">
        <v>1</v>
      </c>
      <c r="BB258" s="260" t="s">
        <v>70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8"/>
      <c r="P259" s="294" t="s">
        <v>40</v>
      </c>
      <c r="Q259" s="295"/>
      <c r="R259" s="295"/>
      <c r="S259" s="295"/>
      <c r="T259" s="295"/>
      <c r="U259" s="295"/>
      <c r="V259" s="296"/>
      <c r="W259" s="42" t="s">
        <v>39</v>
      </c>
      <c r="X259" s="43">
        <f>IFERROR(SUM(X257:X258),"0")</f>
        <v>0</v>
      </c>
      <c r="Y259" s="43">
        <f>IFERROR(SUM(Y257:Y258),"0")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8"/>
      <c r="P260" s="294" t="s">
        <v>40</v>
      </c>
      <c r="Q260" s="295"/>
      <c r="R260" s="295"/>
      <c r="S260" s="295"/>
      <c r="T260" s="295"/>
      <c r="U260" s="295"/>
      <c r="V260" s="296"/>
      <c r="W260" s="42" t="s">
        <v>0</v>
      </c>
      <c r="X260" s="43">
        <f>IFERROR(SUMPRODUCT(X257:X258*H257:H258),"0")</f>
        <v>0</v>
      </c>
      <c r="Y260" s="43">
        <f>IFERROR(SUMPRODUCT(Y257:Y258*H257:H258),"0")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9" t="s">
        <v>197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hidden="1" customHeight="1" x14ac:dyDescent="0.25">
      <c r="A262" s="63" t="s">
        <v>361</v>
      </c>
      <c r="B262" s="63" t="s">
        <v>362</v>
      </c>
      <c r="C262" s="36">
        <v>4301136116</v>
      </c>
      <c r="D262" s="289">
        <v>4620207492147</v>
      </c>
      <c r="E262" s="28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123</v>
      </c>
      <c r="L262" s="37" t="s">
        <v>88</v>
      </c>
      <c r="M262" s="38" t="s">
        <v>86</v>
      </c>
      <c r="N262" s="38"/>
      <c r="O262" s="37">
        <v>180</v>
      </c>
      <c r="P262" s="313" t="s">
        <v>363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200</v>
      </c>
      <c r="AG262" s="81"/>
      <c r="AJ262" s="87" t="s">
        <v>89</v>
      </c>
      <c r="AK262" s="87">
        <v>1</v>
      </c>
      <c r="BB262" s="262" t="s">
        <v>122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364</v>
      </c>
      <c r="B263" s="63" t="s">
        <v>365</v>
      </c>
      <c r="C263" s="36">
        <v>4301136112</v>
      </c>
      <c r="D263" s="289">
        <v>4620207492154</v>
      </c>
      <c r="E263" s="28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14" t="s">
        <v>366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200</v>
      </c>
      <c r="AG263" s="81"/>
      <c r="AJ263" s="87" t="s">
        <v>89</v>
      </c>
      <c r="AK263" s="87">
        <v>1</v>
      </c>
      <c r="BB263" s="264" t="s">
        <v>122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367</v>
      </c>
      <c r="B264" s="63" t="s">
        <v>368</v>
      </c>
      <c r="C264" s="36">
        <v>4301136114</v>
      </c>
      <c r="D264" s="289">
        <v>4620207492086</v>
      </c>
      <c r="E264" s="28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123</v>
      </c>
      <c r="L264" s="37" t="s">
        <v>88</v>
      </c>
      <c r="M264" s="38" t="s">
        <v>86</v>
      </c>
      <c r="N264" s="38"/>
      <c r="O264" s="37">
        <v>180</v>
      </c>
      <c r="P264" s="308" t="s">
        <v>369</v>
      </c>
      <c r="Q264" s="291"/>
      <c r="R264" s="291"/>
      <c r="S264" s="291"/>
      <c r="T264" s="29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200</v>
      </c>
      <c r="AG264" s="81"/>
      <c r="AJ264" s="87" t="s">
        <v>89</v>
      </c>
      <c r="AK264" s="87">
        <v>1</v>
      </c>
      <c r="BB264" s="266" t="s">
        <v>122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8"/>
      <c r="P265" s="294" t="s">
        <v>40</v>
      </c>
      <c r="Q265" s="295"/>
      <c r="R265" s="295"/>
      <c r="S265" s="295"/>
      <c r="T265" s="295"/>
      <c r="U265" s="295"/>
      <c r="V265" s="296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8"/>
      <c r="P266" s="294" t="s">
        <v>40</v>
      </c>
      <c r="Q266" s="295"/>
      <c r="R266" s="295"/>
      <c r="S266" s="295"/>
      <c r="T266" s="295"/>
      <c r="U266" s="295"/>
      <c r="V266" s="296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09" t="s">
        <v>169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16.5" hidden="1" customHeight="1" x14ac:dyDescent="0.25">
      <c r="A268" s="63" t="s">
        <v>370</v>
      </c>
      <c r="B268" s="63" t="s">
        <v>371</v>
      </c>
      <c r="C268" s="36">
        <v>4301137066</v>
      </c>
      <c r="D268" s="289">
        <v>4620207492109</v>
      </c>
      <c r="E268" s="289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10" t="s">
        <v>372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6" si="18"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373</v>
      </c>
      <c r="AG268" s="81"/>
      <c r="AJ268" s="87" t="s">
        <v>89</v>
      </c>
      <c r="AK268" s="87">
        <v>1</v>
      </c>
      <c r="BB268" s="268" t="s">
        <v>122</v>
      </c>
      <c r="BM268" s="81">
        <f t="shared" ref="BM268:BM276" si="19">IFERROR(X268*I268,"0")</f>
        <v>0</v>
      </c>
      <c r="BN268" s="81">
        <f t="shared" ref="BN268:BN276" si="20">IFERROR(Y268*I268,"0")</f>
        <v>0</v>
      </c>
      <c r="BO268" s="81">
        <f t="shared" ref="BO268:BO276" si="21">IFERROR(X268/J268,"0")</f>
        <v>0</v>
      </c>
      <c r="BP268" s="81">
        <f t="shared" ref="BP268:BP276" si="22">IFERROR(Y268/J268,"0")</f>
        <v>0</v>
      </c>
    </row>
    <row r="269" spans="1:68" ht="37.5" hidden="1" customHeight="1" x14ac:dyDescent="0.25">
      <c r="A269" s="63" t="s">
        <v>374</v>
      </c>
      <c r="B269" s="63" t="s">
        <v>375</v>
      </c>
      <c r="C269" s="36">
        <v>4301137068</v>
      </c>
      <c r="D269" s="289">
        <v>4620207492161</v>
      </c>
      <c r="E269" s="289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311" t="s">
        <v>376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ref="Z269:Z276" si="23">IFERROR(IF(X269="","",X269*0.00936),"")</f>
        <v>0</v>
      </c>
      <c r="AA269" s="68" t="s">
        <v>46</v>
      </c>
      <c r="AB269" s="69" t="s">
        <v>46</v>
      </c>
      <c r="AC269" s="269" t="s">
        <v>377</v>
      </c>
      <c r="AG269" s="81"/>
      <c r="AJ269" s="87" t="s">
        <v>89</v>
      </c>
      <c r="AK269" s="87">
        <v>1</v>
      </c>
      <c r="BB269" s="270" t="s">
        <v>122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4301137046</v>
      </c>
      <c r="D270" s="289">
        <v>4620207492093</v>
      </c>
      <c r="E270" s="28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123</v>
      </c>
      <c r="L270" s="37" t="s">
        <v>88</v>
      </c>
      <c r="M270" s="38" t="s">
        <v>86</v>
      </c>
      <c r="N270" s="38"/>
      <c r="O270" s="37">
        <v>180</v>
      </c>
      <c r="P270" s="303" t="s">
        <v>380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1" t="s">
        <v>381</v>
      </c>
      <c r="AG270" s="81"/>
      <c r="AJ270" s="87" t="s">
        <v>89</v>
      </c>
      <c r="AK270" s="87">
        <v>1</v>
      </c>
      <c r="BB270" s="272" t="s">
        <v>122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382</v>
      </c>
      <c r="B271" s="63" t="s">
        <v>383</v>
      </c>
      <c r="C271" s="36">
        <v>4301137074</v>
      </c>
      <c r="D271" s="289">
        <v>4620207492116</v>
      </c>
      <c r="E271" s="28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123</v>
      </c>
      <c r="L271" s="37" t="s">
        <v>88</v>
      </c>
      <c r="M271" s="38" t="s">
        <v>86</v>
      </c>
      <c r="N271" s="38"/>
      <c r="O271" s="37">
        <v>180</v>
      </c>
      <c r="P271" s="304" t="s">
        <v>384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373</v>
      </c>
      <c r="AG271" s="81"/>
      <c r="AJ271" s="87" t="s">
        <v>89</v>
      </c>
      <c r="AK271" s="87">
        <v>1</v>
      </c>
      <c r="BB271" s="274" t="s">
        <v>122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385</v>
      </c>
      <c r="B272" s="63" t="s">
        <v>386</v>
      </c>
      <c r="C272" s="36">
        <v>4301137070</v>
      </c>
      <c r="D272" s="289">
        <v>4620207492123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05" t="s">
        <v>387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377</v>
      </c>
      <c r="AG272" s="81"/>
      <c r="AJ272" s="87" t="s">
        <v>89</v>
      </c>
      <c r="AK272" s="87">
        <v>1</v>
      </c>
      <c r="BB272" s="276" t="s">
        <v>122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388</v>
      </c>
      <c r="B273" s="63" t="s">
        <v>389</v>
      </c>
      <c r="C273" s="36">
        <v>4301137078</v>
      </c>
      <c r="D273" s="289">
        <v>4620207492130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123</v>
      </c>
      <c r="L273" s="37" t="s">
        <v>88</v>
      </c>
      <c r="M273" s="38" t="s">
        <v>86</v>
      </c>
      <c r="N273" s="38"/>
      <c r="O273" s="37">
        <v>180</v>
      </c>
      <c r="P273" s="306" t="s">
        <v>390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377</v>
      </c>
      <c r="AG273" s="81"/>
      <c r="AJ273" s="87" t="s">
        <v>89</v>
      </c>
      <c r="AK273" s="87">
        <v>1</v>
      </c>
      <c r="BB273" s="278" t="s">
        <v>122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391</v>
      </c>
      <c r="B274" s="63" t="s">
        <v>392</v>
      </c>
      <c r="C274" s="36">
        <v>4301137092</v>
      </c>
      <c r="D274" s="289">
        <v>4620207491942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07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377</v>
      </c>
      <c r="AG274" s="81"/>
      <c r="AJ274" s="87" t="s">
        <v>89</v>
      </c>
      <c r="AK274" s="87">
        <v>1</v>
      </c>
      <c r="BB274" s="280" t="s">
        <v>122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393</v>
      </c>
      <c r="B275" s="63" t="s">
        <v>394</v>
      </c>
      <c r="C275" s="36">
        <v>4301137014</v>
      </c>
      <c r="D275" s="289">
        <v>4620207491911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123</v>
      </c>
      <c r="L275" s="37" t="s">
        <v>88</v>
      </c>
      <c r="M275" s="38" t="s">
        <v>86</v>
      </c>
      <c r="N275" s="38"/>
      <c r="O275" s="37">
        <v>180</v>
      </c>
      <c r="P275" s="290" t="s">
        <v>395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381</v>
      </c>
      <c r="AG275" s="81"/>
      <c r="AJ275" s="87" t="s">
        <v>89</v>
      </c>
      <c r="AK275" s="87">
        <v>1</v>
      </c>
      <c r="BB275" s="282" t="s">
        <v>122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396</v>
      </c>
      <c r="B276" s="63" t="s">
        <v>397</v>
      </c>
      <c r="C276" s="36">
        <v>4301137012</v>
      </c>
      <c r="D276" s="289">
        <v>4620207491935</v>
      </c>
      <c r="E276" s="289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29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373</v>
      </c>
      <c r="AG276" s="81"/>
      <c r="AJ276" s="87" t="s">
        <v>89</v>
      </c>
      <c r="AK276" s="87">
        <v>1</v>
      </c>
      <c r="BB276" s="284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8"/>
      <c r="P277" s="294" t="s">
        <v>40</v>
      </c>
      <c r="Q277" s="295"/>
      <c r="R277" s="295"/>
      <c r="S277" s="295"/>
      <c r="T277" s="295"/>
      <c r="U277" s="295"/>
      <c r="V277" s="296"/>
      <c r="W277" s="42" t="s">
        <v>39</v>
      </c>
      <c r="X277" s="43">
        <f>IFERROR(SUM(X268:X276),"0")</f>
        <v>0</v>
      </c>
      <c r="Y277" s="43">
        <f>IFERROR(SUM(Y268:Y276),"0")</f>
        <v>0</v>
      </c>
      <c r="Z277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8"/>
      <c r="P278" s="294" t="s">
        <v>40</v>
      </c>
      <c r="Q278" s="295"/>
      <c r="R278" s="295"/>
      <c r="S278" s="295"/>
      <c r="T278" s="295"/>
      <c r="U278" s="295"/>
      <c r="V278" s="296"/>
      <c r="W278" s="42" t="s">
        <v>0</v>
      </c>
      <c r="X278" s="43">
        <f>IFERROR(SUMPRODUCT(X268:X276*H268:H276),"0")</f>
        <v>0</v>
      </c>
      <c r="Y278" s="43">
        <f>IFERROR(SUMPRODUCT(Y268:Y276*H268:H276),"0")</f>
        <v>0</v>
      </c>
      <c r="Z278" s="42"/>
      <c r="AA278" s="67"/>
      <c r="AB278" s="67"/>
      <c r="AC278" s="67"/>
    </row>
    <row r="279" spans="1:68" ht="15" customHeight="1" x14ac:dyDescent="0.2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302"/>
      <c r="P279" s="299" t="s">
        <v>33</v>
      </c>
      <c r="Q279" s="300"/>
      <c r="R279" s="300"/>
      <c r="S279" s="300"/>
      <c r="T279" s="300"/>
      <c r="U279" s="300"/>
      <c r="V279" s="301"/>
      <c r="W279" s="42" t="s">
        <v>0</v>
      </c>
      <c r="X279" s="43">
        <f>IFERROR(X31+X35+X41+X48+X54+X62+X71+X77+X82+X88+X98+X104+X116+X120+X124+X129+X136+X142+X148+X154+X160+X165+X170+X175+X181+X185+X191+X196+X205+X211+X216+X222+X227+X233+X239+X243+X249+X253+X260+X266+X278,"0")</f>
        <v>2118</v>
      </c>
      <c r="Y279" s="43">
        <f>IFERROR(Y31+Y35+Y41+Y48+Y54+Y62+Y71+Y77+Y82+Y88+Y98+Y104+Y116+Y120+Y124+Y129+Y136+Y142+Y148+Y154+Y160+Y165+Y170+Y175+Y181+Y185+Y191+Y196+Y205+Y211+Y216+Y222+Y227+Y233+Y239+Y243+Y249+Y253+Y260+Y266+Y278,"0")</f>
        <v>2118</v>
      </c>
      <c r="Z279" s="42"/>
      <c r="AA279" s="67"/>
      <c r="AB279" s="67"/>
      <c r="AC279" s="67"/>
    </row>
    <row r="280" spans="1:68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302"/>
      <c r="P280" s="299" t="s">
        <v>34</v>
      </c>
      <c r="Q280" s="300"/>
      <c r="R280" s="300"/>
      <c r="S280" s="300"/>
      <c r="T280" s="300"/>
      <c r="U280" s="300"/>
      <c r="V280" s="301"/>
      <c r="W280" s="42" t="s">
        <v>0</v>
      </c>
      <c r="X280" s="43">
        <f>IFERROR(SUM(BM22:BM276),"0")</f>
        <v>2503.5208000000002</v>
      </c>
      <c r="Y280" s="43">
        <f>IFERROR(SUM(BN22:BN276),"0")</f>
        <v>2503.5208000000002</v>
      </c>
      <c r="Z280" s="42"/>
      <c r="AA280" s="67"/>
      <c r="AB280" s="67"/>
      <c r="AC280" s="67"/>
    </row>
    <row r="281" spans="1:68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302"/>
      <c r="P281" s="299" t="s">
        <v>35</v>
      </c>
      <c r="Q281" s="300"/>
      <c r="R281" s="300"/>
      <c r="S281" s="300"/>
      <c r="T281" s="300"/>
      <c r="U281" s="300"/>
      <c r="V281" s="301"/>
      <c r="W281" s="42" t="s">
        <v>20</v>
      </c>
      <c r="X281" s="44">
        <f>ROUNDUP(SUM(BO22:BO276),0)</f>
        <v>9</v>
      </c>
      <c r="Y281" s="44">
        <f>ROUNDUP(SUM(BP22:BP276),0)</f>
        <v>9</v>
      </c>
      <c r="Z281" s="42"/>
      <c r="AA281" s="67"/>
      <c r="AB281" s="67"/>
      <c r="AC281" s="67"/>
    </row>
    <row r="282" spans="1:68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36</v>
      </c>
      <c r="Q282" s="300"/>
      <c r="R282" s="300"/>
      <c r="S282" s="300"/>
      <c r="T282" s="300"/>
      <c r="U282" s="300"/>
      <c r="V282" s="301"/>
      <c r="W282" s="42" t="s">
        <v>0</v>
      </c>
      <c r="X282" s="43">
        <f>GrossWeightTotal+PalletQtyTotal*25</f>
        <v>2728.5208000000002</v>
      </c>
      <c r="Y282" s="43">
        <f>GrossWeightTotalR+PalletQtyTotalR*25</f>
        <v>2728.5208000000002</v>
      </c>
      <c r="Z282" s="42"/>
      <c r="AA282" s="67"/>
      <c r="AB282" s="67"/>
      <c r="AC282" s="67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37</v>
      </c>
      <c r="Q283" s="300"/>
      <c r="R283" s="300"/>
      <c r="S283" s="300"/>
      <c r="T283" s="300"/>
      <c r="U283" s="300"/>
      <c r="V283" s="301"/>
      <c r="W283" s="42" t="s">
        <v>20</v>
      </c>
      <c r="X283" s="43">
        <f>IFERROR(X30+X34+X40+X47+X53+X61+X70+X76+X81+X87+X97+X103+X115+X119+X123+X128+X135+X141+X147+X153+X159+X164+X169+X174+X180+X184+X190+X195+X204+X210+X215+X221+X226+X232+X238+X242+X248+X252+X259+X265+X277,"0")</f>
        <v>716</v>
      </c>
      <c r="Y283" s="43">
        <f>IFERROR(Y30+Y34+Y40+Y47+Y53+Y61+Y70+Y76+Y81+Y87+Y97+Y103+Y115+Y119+Y123+Y128+Y135+Y141+Y147+Y153+Y159+Y164+Y169+Y174+Y180+Y184+Y190+Y195+Y204+Y210+Y215+Y221+Y226+Y232+Y238+Y242+Y248+Y252+Y259+Y265+Y277,"0")</f>
        <v>716</v>
      </c>
      <c r="Z283" s="42"/>
      <c r="AA283" s="67"/>
      <c r="AB283" s="67"/>
      <c r="AC283" s="67"/>
    </row>
    <row r="284" spans="1:68" ht="14.25" hidden="1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38</v>
      </c>
      <c r="Q284" s="300"/>
      <c r="R284" s="300"/>
      <c r="S284" s="300"/>
      <c r="T284" s="300"/>
      <c r="U284" s="300"/>
      <c r="V284" s="301"/>
      <c r="W284" s="45" t="s">
        <v>52</v>
      </c>
      <c r="X284" s="42"/>
      <c r="Y284" s="42"/>
      <c r="Z284" s="42">
        <f>IFERROR(Z30+Z34+Z40+Z47+Z53+Z61+Z70+Z76+Z81+Z87+Z97+Z103+Z115+Z119+Z123+Z128+Z135+Z141+Z147+Z153+Z159+Z164+Z169+Z174+Z180+Z184+Z190+Z195+Z204+Z210+Z215+Z221+Z226+Z232+Z238+Z242+Z248+Z252+Z259+Z265+Z277,"0")</f>
        <v>10.401079999999999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81</v>
      </c>
      <c r="C286" s="285" t="s">
        <v>81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281</v>
      </c>
      <c r="W286" s="285" t="s">
        <v>281</v>
      </c>
      <c r="X286" s="285" t="s">
        <v>281</v>
      </c>
      <c r="Y286" s="88" t="s">
        <v>299</v>
      </c>
      <c r="Z286" s="285" t="s">
        <v>313</v>
      </c>
      <c r="AA286" s="285" t="s">
        <v>313</v>
      </c>
      <c r="AB286" s="285" t="s">
        <v>313</v>
      </c>
      <c r="AC286" s="88" t="s">
        <v>335</v>
      </c>
      <c r="AD286" s="88" t="s">
        <v>340</v>
      </c>
      <c r="AE286" s="88" t="s">
        <v>348</v>
      </c>
      <c r="AF286" s="88" t="s">
        <v>282</v>
      </c>
    </row>
    <row r="287" spans="1:68" ht="14.25" customHeight="1" thickTop="1" x14ac:dyDescent="0.2">
      <c r="A287" s="287" t="s">
        <v>10</v>
      </c>
      <c r="B287" s="285" t="s">
        <v>81</v>
      </c>
      <c r="C287" s="285" t="s">
        <v>111</v>
      </c>
      <c r="D287" s="285" t="s">
        <v>117</v>
      </c>
      <c r="E287" s="285" t="s">
        <v>128</v>
      </c>
      <c r="F287" s="285" t="s">
        <v>135</v>
      </c>
      <c r="G287" s="285" t="s">
        <v>146</v>
      </c>
      <c r="H287" s="285" t="s">
        <v>161</v>
      </c>
      <c r="I287" s="285" t="s">
        <v>168</v>
      </c>
      <c r="J287" s="285" t="s">
        <v>173</v>
      </c>
      <c r="K287" s="285" t="s">
        <v>181</v>
      </c>
      <c r="L287" s="285" t="s">
        <v>196</v>
      </c>
      <c r="M287" s="285" t="s">
        <v>203</v>
      </c>
      <c r="N287" s="1"/>
      <c r="O287" s="285" t="s">
        <v>232</v>
      </c>
      <c r="P287" s="285" t="s">
        <v>253</v>
      </c>
      <c r="Q287" s="285" t="s">
        <v>259</v>
      </c>
      <c r="R287" s="285" t="s">
        <v>265</v>
      </c>
      <c r="S287" s="285" t="s">
        <v>271</v>
      </c>
      <c r="T287" s="285" t="s">
        <v>274</v>
      </c>
      <c r="U287" s="285" t="s">
        <v>278</v>
      </c>
      <c r="V287" s="285" t="s">
        <v>282</v>
      </c>
      <c r="W287" s="285" t="s">
        <v>289</v>
      </c>
      <c r="X287" s="285" t="s">
        <v>296</v>
      </c>
      <c r="Y287" s="285" t="s">
        <v>300</v>
      </c>
      <c r="Z287" s="285" t="s">
        <v>314</v>
      </c>
      <c r="AA287" s="285" t="s">
        <v>324</v>
      </c>
      <c r="AB287" s="285" t="s">
        <v>331</v>
      </c>
      <c r="AC287" s="285" t="s">
        <v>336</v>
      </c>
      <c r="AD287" s="285" t="s">
        <v>341</v>
      </c>
      <c r="AE287" s="285" t="s">
        <v>348</v>
      </c>
      <c r="AF287" s="285" t="s">
        <v>282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378</v>
      </c>
      <c r="E289" s="52">
        <f>IFERROR(X51*H51,"0")+IFERROR(X52*H52,"0")</f>
        <v>380.79999999999995</v>
      </c>
      <c r="F289" s="52">
        <f>IFERROR(X57*H57,"0")+IFERROR(X58*H58,"0")+IFERROR(X59*H59,"0")+IFERROR(X60*H60,"0")</f>
        <v>0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0</v>
      </c>
      <c r="J289" s="52">
        <f>IFERROR(X85*H85,"0")+IFERROR(X86*H86,"0")</f>
        <v>100.8</v>
      </c>
      <c r="K289" s="52">
        <f>IFERROR(X91*H91,"0")+IFERROR(X92*H92,"0")+IFERROR(X93*H93,"0")+IFERROR(X94*H94,"0")+IFERROR(X95*H95,"0")+IFERROR(X96*H96,"0")</f>
        <v>518.4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IFERROR(X107*H107,"0")+IFERROR(X108*H108,"0")+IFERROR(X109*H109,"0")+IFERROR(X110*H110,"0")+IFERROR(X111*H111,"0")+IFERROR(X112*H112,"0")+IFERROR(X113*H113,"0")+IFERROR(X114*H114,"0")+IFERROR(X118*H118,"0")+IFERROR(X122*H122,"0")</f>
        <v>308</v>
      </c>
      <c r="N289" s="1"/>
      <c r="O289" s="52">
        <f>IFERROR(X127*H127,"0")+IFERROR(X131*H131,"0")+IFERROR(X132*H132,"0")+IFERROR(X133*H133,"0")+IFERROR(X134*H134,"0")+IFERROR(X138*H138,"0")+IFERROR(X139*H139,"0")+IFERROR(X140*H140,"0")</f>
        <v>0</v>
      </c>
      <c r="P289" s="52">
        <f>IFERROR(X145*H145,"0")+IFERROR(X146*H146,"0")</f>
        <v>180</v>
      </c>
      <c r="Q289" s="52">
        <f>IFERROR(X151*H151,"0")+IFERROR(X152*H152,"0")</f>
        <v>252</v>
      </c>
      <c r="R289" s="52">
        <f>IFERROR(X157*H157,"0")+IFERROR(X158*H158,"0")</f>
        <v>0</v>
      </c>
      <c r="S289" s="52">
        <f>IFERROR(X163*H163,"0")</f>
        <v>0</v>
      </c>
      <c r="T289" s="52">
        <f>IFERROR(X168*H168,"0")</f>
        <v>0</v>
      </c>
      <c r="U289" s="52">
        <f>IFERROR(X173*H173,"0")</f>
        <v>0</v>
      </c>
      <c r="V289" s="52">
        <f>IFERROR(X179*H179,"0")+IFERROR(X183*H183,"0")</f>
        <v>0</v>
      </c>
      <c r="W289" s="52">
        <f>IFERROR(X188*H188,"0")+IFERROR(X189*H189,"0")</f>
        <v>0</v>
      </c>
      <c r="X289" s="52">
        <f>IFERROR(X194*H194,"0")</f>
        <v>0</v>
      </c>
      <c r="Y289" s="52">
        <f>IFERROR(X200*H200,"0")+IFERROR(X201*H201,"0")+IFERROR(X202*H202,"0")+IFERROR(X203*H203,"0")</f>
        <v>0</v>
      </c>
      <c r="Z289" s="52">
        <f>IFERROR(X209*H209,"0")+IFERROR(X213*H213,"0")+IFERROR(X214*H214,"0")</f>
        <v>0</v>
      </c>
      <c r="AA289" s="52">
        <f>IFERROR(X219*H219,"0")+IFERROR(X220*H220,"0")</f>
        <v>0</v>
      </c>
      <c r="AB289" s="52">
        <f>IFERROR(X225*H225,"0")</f>
        <v>0</v>
      </c>
      <c r="AC289" s="52">
        <f>IFERROR(X231*H231,"0")</f>
        <v>0</v>
      </c>
      <c r="AD289" s="52">
        <f>IFERROR(X237*H237,"0")+IFERROR(X241*H241,"0")</f>
        <v>0</v>
      </c>
      <c r="AE289" s="52">
        <f>IFERROR(X247*H247,"0")+IFERROR(X251*H251,"0")</f>
        <v>0</v>
      </c>
      <c r="AF289" s="52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688.8</v>
      </c>
      <c r="B292" s="72">
        <f>SUMPRODUCT(--(BB:BB="ПГП"),--(W:W="кор"),H:H,Y:Y)+SUMPRODUCT(--(BB:BB="ПГП"),--(W:W="кг"),Y:Y)</f>
        <v>1429.2</v>
      </c>
      <c r="C292" s="72">
        <f>SUMPRODUCT(--(BB:BB="КИЗ"),--(W:W="кор"),H:H,Y:Y)+SUMPRODUCT(--(BB:BB="КИЗ"),--(W:W="кг"),Y:Y)</f>
        <v>0</v>
      </c>
    </row>
  </sheetData>
  <sheetProtection algorithmName="SHA-512" hashValue="4Qipyd31T4ccZZVic6EmQmNAa5r1yeFw6Rxxk0KTKEWF4TJLDMGzzcdXPaOX4rSQ52CLsMBoTkWSKGqWUlEgGw==" saltValue="CktebWo/YFrh7J+voD0e3Q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26,00"/>
        <filter val="180,00"/>
        <filter val="2 118,00"/>
        <filter val="2 503,52"/>
        <filter val="2 728,52"/>
        <filter val="20,00"/>
        <filter val="24,00"/>
        <filter val="252,00"/>
        <filter val="28,00"/>
        <filter val="30,00"/>
        <filter val="308,00"/>
        <filter val="32,00"/>
        <filter val="36,00"/>
        <filter val="378,00"/>
        <filter val="380,80"/>
        <filter val="44,00"/>
        <filter val="518,40"/>
        <filter val="60,00"/>
        <filter val="68,00"/>
        <filter val="716,00"/>
        <filter val="84,00"/>
        <filter val="9"/>
        <filter val="90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6 X262:X264 X257:X258 X251 X247 X241 X237 X231 X219:X220 X213:X214 X203 X194 X188 X183 X179 X173 X163 X157:X158 X151:X152 X145:X146 X138:X140 X131:X134 X127 X122 X118 X111:X114 X108 X101:X102 X91:X96 X80 X65:X69 X52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5 X209 X200:X202 X189 X168 X109:X110 X107 X85:X86 X74:X75 X57:X60 X51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401</v>
      </c>
      <c r="D6" s="53" t="s">
        <v>402</v>
      </c>
      <c r="E6" s="53" t="s">
        <v>46</v>
      </c>
    </row>
    <row r="8" spans="2:8" x14ac:dyDescent="0.2">
      <c r="B8" s="53" t="s">
        <v>80</v>
      </c>
      <c r="C8" s="53" t="s">
        <v>401</v>
      </c>
      <c r="D8" s="53" t="s">
        <v>46</v>
      </c>
      <c r="E8" s="53" t="s">
        <v>46</v>
      </c>
    </row>
    <row r="10" spans="2:8" x14ac:dyDescent="0.2">
      <c r="B10" s="53" t="s">
        <v>403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410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413</v>
      </c>
      <c r="C20" s="53" t="s">
        <v>46</v>
      </c>
      <c r="D20" s="53" t="s">
        <v>46</v>
      </c>
      <c r="E20" s="53" t="s">
        <v>46</v>
      </c>
    </row>
  </sheetData>
  <sheetProtection algorithmName="SHA-512" hashValue="xsX9e+XpGClgKVUFTuLJvKgSTNNCdBjO7ZNroLiHnZviRz2umb1d9541MwUhPetUkQuxyyKMZ12bZmMAl9ab1Q==" saltValue="t7qsJuMBn6eHHn37iSpNv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433</vt:i4>
      </vt:variant>
    </vt:vector>
  </HeadingPairs>
  <TitlesOfParts>
    <vt:vector size="43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