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1E64E50-FE6D-4EA0-B599-714029A7F5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Z114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P59" i="1"/>
  <c r="BO58" i="1"/>
  <c r="BM58" i="1"/>
  <c r="Z58" i="1"/>
  <c r="Y58" i="1"/>
  <c r="P58" i="1"/>
  <c r="BO57" i="1"/>
  <c r="BM57" i="1"/>
  <c r="Z57" i="1"/>
  <c r="Y57" i="1"/>
  <c r="P57" i="1"/>
  <c r="X54" i="1"/>
  <c r="X53" i="1"/>
  <c r="BP52" i="1"/>
  <c r="BO52" i="1"/>
  <c r="BN52" i="1"/>
  <c r="BM52" i="1"/>
  <c r="Z52" i="1"/>
  <c r="Y52" i="1"/>
  <c r="P52" i="1"/>
  <c r="BO51" i="1"/>
  <c r="BN51" i="1"/>
  <c r="BM51" i="1"/>
  <c r="Z51" i="1"/>
  <c r="Z53" i="1" s="1"/>
  <c r="Y51" i="1"/>
  <c r="P51" i="1"/>
  <c r="X48" i="1"/>
  <c r="X47" i="1"/>
  <c r="BO46" i="1"/>
  <c r="BM46" i="1"/>
  <c r="Z46" i="1"/>
  <c r="Y46" i="1"/>
  <c r="P46" i="1"/>
  <c r="BO45" i="1"/>
  <c r="BM45" i="1"/>
  <c r="Z45" i="1"/>
  <c r="Z47" i="1" s="1"/>
  <c r="Y45" i="1"/>
  <c r="P45" i="1"/>
  <c r="X41" i="1"/>
  <c r="X40" i="1"/>
  <c r="BO39" i="1"/>
  <c r="BM39" i="1"/>
  <c r="Z39" i="1"/>
  <c r="Y39" i="1"/>
  <c r="Y41" i="1" s="1"/>
  <c r="P39" i="1"/>
  <c r="BP38" i="1"/>
  <c r="BO38" i="1"/>
  <c r="BN38" i="1"/>
  <c r="BM38" i="1"/>
  <c r="Z38" i="1"/>
  <c r="Z40" i="1" s="1"/>
  <c r="Y38" i="1"/>
  <c r="P38" i="1"/>
  <c r="X35" i="1"/>
  <c r="Y34" i="1"/>
  <c r="X34" i="1"/>
  <c r="BP33" i="1"/>
  <c r="BO33" i="1"/>
  <c r="BN33" i="1"/>
  <c r="BM33" i="1"/>
  <c r="Z33" i="1"/>
  <c r="Z34" i="1" s="1"/>
  <c r="Y33" i="1"/>
  <c r="Y35" i="1" s="1"/>
  <c r="P33" i="1"/>
  <c r="X31" i="1"/>
  <c r="X30" i="1"/>
  <c r="X284" i="1" s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X281" i="1" s="1"/>
  <c r="Z22" i="1"/>
  <c r="Y22" i="1"/>
  <c r="Y30" i="1" s="1"/>
  <c r="P22" i="1"/>
  <c r="H10" i="1"/>
  <c r="A9" i="1"/>
  <c r="A10" i="1" s="1"/>
  <c r="D7" i="1"/>
  <c r="Q6" i="1"/>
  <c r="P2" i="1"/>
  <c r="BP25" i="1" l="1"/>
  <c r="BN25" i="1"/>
  <c r="BP27" i="1"/>
  <c r="BN27" i="1"/>
  <c r="BP29" i="1"/>
  <c r="BN29" i="1"/>
  <c r="BP46" i="1"/>
  <c r="BN46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X282" i="1"/>
  <c r="X283" i="1" s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0" i="1"/>
  <c r="Y40" i="1"/>
  <c r="Y47" i="1"/>
  <c r="Z61" i="1"/>
  <c r="Y62" i="1"/>
  <c r="Y77" i="1"/>
  <c r="Y87" i="1"/>
  <c r="Y98" i="1"/>
  <c r="Y103" i="1"/>
  <c r="Y114" i="1"/>
  <c r="Z134" i="1"/>
  <c r="Z140" i="1"/>
  <c r="Y146" i="1"/>
  <c r="Y158" i="1"/>
  <c r="Y159" i="1"/>
  <c r="Y203" i="1"/>
  <c r="Y204" i="1"/>
  <c r="Z259" i="1"/>
  <c r="F9" i="1"/>
  <c r="J9" i="1"/>
  <c r="F10" i="1"/>
  <c r="BN22" i="1"/>
  <c r="BP22" i="1"/>
  <c r="BN24" i="1"/>
  <c r="BN26" i="1"/>
  <c r="BN28" i="1"/>
  <c r="Y31" i="1"/>
  <c r="BN39" i="1"/>
  <c r="BP39" i="1"/>
  <c r="BN45" i="1"/>
  <c r="BP45" i="1"/>
  <c r="Y48" i="1"/>
  <c r="Y54" i="1"/>
  <c r="BP51" i="1"/>
  <c r="Y70" i="1"/>
  <c r="BP65" i="1"/>
  <c r="BN65" i="1"/>
  <c r="Y71" i="1"/>
  <c r="H9" i="1"/>
  <c r="Y53" i="1"/>
  <c r="BP58" i="1"/>
  <c r="BN58" i="1"/>
  <c r="BP60" i="1"/>
  <c r="BN60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Z285" i="1" s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4" i="1" l="1"/>
  <c r="Y281" i="1"/>
  <c r="Y280" i="1"/>
  <c r="Y282" i="1"/>
  <c r="Y283" i="1" l="1"/>
  <c r="B293" i="1" s="1"/>
  <c r="A293" i="1"/>
  <c r="C293" i="1" l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<sst xmlns="http://schemas.openxmlformats.org/spreadsheetml/2006/main" count="1310" uniqueCount="435">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</sst>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60</v>
      </c>
      <c r="Y23" s="279">
        <f t="shared" si="0"/>
        <v>60</v>
      </c>
      <c r="Z23" s="36">
        <f t="shared" si="1"/>
        <v>0.92999999999999994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24</v>
      </c>
      <c r="Y25" s="279">
        <f t="shared" si="0"/>
        <v>24</v>
      </c>
      <c r="Z25" s="36">
        <f t="shared" si="1"/>
        <v>0.372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159.12</v>
      </c>
      <c r="BN25" s="67">
        <f t="shared" si="3"/>
        <v>159.12</v>
      </c>
      <c r="BO25" s="67">
        <f t="shared" si="4"/>
        <v>0.2857142857142857</v>
      </c>
      <c r="BP25" s="67">
        <f t="shared" si="5"/>
        <v>0.2857142857142857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108</v>
      </c>
      <c r="Y30" s="280">
        <f>IFERROR(SUM(Y22:Y29),"0")</f>
        <v>108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1.6739999999999999</v>
      </c>
      <c r="AA30" s="281"/>
      <c r="AB30" s="281"/>
      <c r="AC30" s="281"/>
    </row>
    <row r="31" spans="1:68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700.80000000000007</v>
      </c>
      <c r="Y31" s="280">
        <f>IFERROR(SUMPRODUCT(Y22:Y29*H22:H29),"0")</f>
        <v>700.80000000000007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hidden="1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0</v>
      </c>
      <c r="Y33" s="279">
        <f>IFERROR(IF(X33="","",X33),"")</f>
        <v>0</v>
      </c>
      <c r="Z33" s="36">
        <f>IFERROR(IF(X33="","",X33*0.0155),"")</f>
        <v>0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0</v>
      </c>
      <c r="Y34" s="280">
        <f>IFERROR(SUM(Y33:Y33),"0")</f>
        <v>0</v>
      </c>
      <c r="Z34" s="280">
        <f>IFERROR(IF(Z33="",0,Z33),"0")</f>
        <v>0</v>
      </c>
      <c r="AA34" s="281"/>
      <c r="AB34" s="281"/>
      <c r="AC34" s="281"/>
    </row>
    <row r="35" spans="1:68" hidden="1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0</v>
      </c>
      <c r="Y35" s="280">
        <f>IFERROR(SUMPRODUCT(Y33:Y33*H33:H33),"0")</f>
        <v>0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14</v>
      </c>
      <c r="Y45" s="279">
        <f>IFERROR(IF(X45="","",X45),"")</f>
        <v>14</v>
      </c>
      <c r="Z45" s="36">
        <f>IFERROR(IF(X45="","",X45*0.00941),"")</f>
        <v>0.13174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26.905200000000001</v>
      </c>
      <c r="BN45" s="67">
        <f>IFERROR(Y45*I45,"0")</f>
        <v>26.905200000000001</v>
      </c>
      <c r="BO45" s="67">
        <f>IFERROR(X45/J45,"0")</f>
        <v>0.1</v>
      </c>
      <c r="BP45" s="67">
        <f>IFERROR(Y45/J45,"0")</f>
        <v>0.1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14</v>
      </c>
      <c r="Y46" s="279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28</v>
      </c>
      <c r="Y47" s="280">
        <f>IFERROR(SUM(Y45:Y46),"0")</f>
        <v>28</v>
      </c>
      <c r="Z47" s="280">
        <f>IFERROR(IF(Z45="",0,Z45),"0")+IFERROR(IF(Z46="",0,Z46),"0")</f>
        <v>0.26347999999999999</v>
      </c>
      <c r="AA47" s="281"/>
      <c r="AB47" s="281"/>
      <c r="AC47" s="281"/>
    </row>
    <row r="48" spans="1:68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42</v>
      </c>
      <c r="Y48" s="280">
        <f>IFERROR(SUMPRODUCT(Y45:Y46*H45:H46),"0")</f>
        <v>42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24</v>
      </c>
      <c r="Y52" s="279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24</v>
      </c>
      <c r="Y53" s="280">
        <f>IFERROR(SUM(Y51:Y52),"0")</f>
        <v>24</v>
      </c>
      <c r="Z53" s="280">
        <f>IFERROR(IF(Z51="",0,Z51),"0")+IFERROR(IF(Z52="",0,Z52),"0")</f>
        <v>0.372</v>
      </c>
      <c r="AA53" s="281"/>
      <c r="AB53" s="281"/>
      <c r="AC53" s="281"/>
    </row>
    <row r="54" spans="1:68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134.39999999999998</v>
      </c>
      <c r="Y54" s="280">
        <f>IFERROR(SUMPRODUCT(Y51:Y52*H51:H52),"0")</f>
        <v>134.39999999999998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0</v>
      </c>
      <c r="Y58" s="279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0</v>
      </c>
      <c r="Y61" s="280">
        <f>IFERROR(SUM(Y57:Y60),"0")</f>
        <v>0</v>
      </c>
      <c r="Z61" s="280">
        <f>IFERROR(IF(Z57="",0,Z57),"0")+IFERROR(IF(Z58="",0,Z58),"0")+IFERROR(IF(Z59="",0,Z59),"0")+IFERROR(IF(Z60="",0,Z60),"0")</f>
        <v>0</v>
      </c>
      <c r="AA61" s="281"/>
      <c r="AB61" s="281"/>
      <c r="AC61" s="281"/>
    </row>
    <row r="62" spans="1:68" hidden="1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0</v>
      </c>
      <c r="Y62" s="280">
        <f>IFERROR(SUMPRODUCT(Y57:Y60*H57:H60),"0")</f>
        <v>0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108</v>
      </c>
      <c r="Y75" s="279">
        <f>IFERROR(IF(X75="","",X75),"")</f>
        <v>108</v>
      </c>
      <c r="Z75" s="36">
        <f>IFERROR(IF(X75="","",X75*0.00866),"")</f>
        <v>0.93527999999999989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563.02559999999994</v>
      </c>
      <c r="BN75" s="67">
        <f>IFERROR(Y75*I75,"0")</f>
        <v>563.02559999999994</v>
      </c>
      <c r="BO75" s="67">
        <f>IFERROR(X75/J75,"0")</f>
        <v>0.75</v>
      </c>
      <c r="BP75" s="67">
        <f>IFERROR(Y75/J75,"0")</f>
        <v>0.75</v>
      </c>
    </row>
    <row r="76" spans="1:68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108</v>
      </c>
      <c r="Y76" s="280">
        <f>IFERROR(SUM(Y74:Y75),"0")</f>
        <v>108</v>
      </c>
      <c r="Z76" s="280">
        <f>IFERROR(IF(Z74="",0,Z74),"0")+IFERROR(IF(Z75="",0,Z75),"0")</f>
        <v>0.93527999999999989</v>
      </c>
      <c r="AA76" s="281"/>
      <c r="AB76" s="281"/>
      <c r="AC76" s="281"/>
    </row>
    <row r="77" spans="1:68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540</v>
      </c>
      <c r="Y77" s="280">
        <f>IFERROR(SUMPRODUCT(Y74:Y75*H74:H75),"0")</f>
        <v>540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14</v>
      </c>
      <c r="Y86" s="279">
        <f>IFERROR(IF(X86="","",X86),"")</f>
        <v>14</v>
      </c>
      <c r="Z86" s="36">
        <f>IFERROR(IF(X86="","",X86*0.01788),"")</f>
        <v>0.25031999999999999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14</v>
      </c>
      <c r="Y87" s="280">
        <f>IFERROR(SUM(Y85:Y86),"0")</f>
        <v>14</v>
      </c>
      <c r="Z87" s="280">
        <f>IFERROR(IF(Z85="",0,Z85),"0")+IFERROR(IF(Z86="",0,Z86),"0")</f>
        <v>0.25031999999999999</v>
      </c>
      <c r="AA87" s="281"/>
      <c r="AB87" s="281"/>
      <c r="AC87" s="281"/>
    </row>
    <row r="88" spans="1:68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50.4</v>
      </c>
      <c r="Y88" s="280">
        <f>IFERROR(SUMPRODUCT(Y85:Y86*H85:H86),"0")</f>
        <v>50.4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hidden="1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0</v>
      </c>
      <c r="Y91" s="279">
        <f t="shared" ref="Y91:Y96" si="6">IFERROR(IF(X91="","",X91),"")</f>
        <v>0</v>
      </c>
      <c r="Z91" s="36">
        <f t="shared" ref="Z91:Z96" si="7">IFERROR(IF(X91="","",X91*0.01788),"")</f>
        <v>0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0</v>
      </c>
      <c r="BN91" s="67">
        <f t="shared" ref="BN91:BN96" si="9">IFERROR(Y91*I91,"0")</f>
        <v>0</v>
      </c>
      <c r="BO91" s="67">
        <f t="shared" ref="BO91:BO96" si="10">IFERROR(X91/J91,"0")</f>
        <v>0</v>
      </c>
      <c r="BP91" s="67">
        <f t="shared" ref="BP91:BP96" si="11">IFERROR(Y91/J91,"0")</f>
        <v>0</v>
      </c>
    </row>
    <row r="92" spans="1:68" ht="27" hidden="1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0</v>
      </c>
      <c r="Y92" s="279">
        <f t="shared" si="6"/>
        <v>0</v>
      </c>
      <c r="Z92" s="36">
        <f t="shared" si="7"/>
        <v>0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0</v>
      </c>
      <c r="BN92" s="67">
        <f t="shared" si="9"/>
        <v>0</v>
      </c>
      <c r="BO92" s="67">
        <f t="shared" si="10"/>
        <v>0</v>
      </c>
      <c r="BP92" s="67">
        <f t="shared" si="11"/>
        <v>0</v>
      </c>
    </row>
    <row r="93" spans="1:68" ht="27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14</v>
      </c>
      <c r="Y93" s="279">
        <f t="shared" si="6"/>
        <v>14</v>
      </c>
      <c r="Z93" s="36">
        <f t="shared" si="7"/>
        <v>0.25031999999999999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50.170400000000001</v>
      </c>
      <c r="BN93" s="67">
        <f t="shared" si="9"/>
        <v>50.170400000000001</v>
      </c>
      <c r="BO93" s="67">
        <f t="shared" si="10"/>
        <v>0.2</v>
      </c>
      <c r="BP93" s="67">
        <f t="shared" si="11"/>
        <v>0.2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28</v>
      </c>
      <c r="Y94" s="279">
        <f t="shared" si="6"/>
        <v>28</v>
      </c>
      <c r="Z94" s="36">
        <f t="shared" si="7"/>
        <v>0.50063999999999997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100.3408</v>
      </c>
      <c r="BN94" s="67">
        <f t="shared" si="9"/>
        <v>100.3408</v>
      </c>
      <c r="BO94" s="67">
        <f t="shared" si="10"/>
        <v>0.4</v>
      </c>
      <c r="BP94" s="67">
        <f t="shared" si="11"/>
        <v>0.4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62.283200000000008</v>
      </c>
      <c r="BN95" s="67">
        <f t="shared" si="9"/>
        <v>62.283200000000008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70</v>
      </c>
      <c r="Y97" s="280">
        <f>IFERROR(SUM(Y91:Y96),"0")</f>
        <v>70</v>
      </c>
      <c r="Z97" s="280">
        <f>IFERROR(IF(Z91="",0,Z91),"0")+IFERROR(IF(Z92="",0,Z92),"0")+IFERROR(IF(Z93="",0,Z93),"0")+IFERROR(IF(Z94="",0,Z94),"0")+IFERROR(IF(Z95="",0,Z95),"0")+IFERROR(IF(Z96="",0,Z96),"0")</f>
        <v>1.2515999999999998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233.52</v>
      </c>
      <c r="Y98" s="280">
        <f>IFERROR(SUMPRODUCT(Y91:Y96*H91:H96),"0")</f>
        <v>233.52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hidden="1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0</v>
      </c>
      <c r="Y107" s="279">
        <f t="shared" ref="Y107:Y113" si="12">IFERROR(IF(X107="","",X107),"")</f>
        <v>0</v>
      </c>
      <c r="Z107" s="36">
        <f t="shared" ref="Z107:Z113" si="13">IFERROR(IF(X107="","",X107*0.0155),"")</f>
        <v>0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0</v>
      </c>
      <c r="BN107" s="67">
        <f t="shared" ref="BN107:BN113" si="15">IFERROR(Y107*I107,"0")</f>
        <v>0</v>
      </c>
      <c r="BO107" s="67">
        <f t="shared" ref="BO107:BO113" si="16">IFERROR(X107/J107,"0")</f>
        <v>0</v>
      </c>
      <c r="BP107" s="67">
        <f t="shared" ref="BP107:BP113" si="17">IFERROR(Y107/J107,"0")</f>
        <v>0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12</v>
      </c>
      <c r="Y110" s="279">
        <f t="shared" si="12"/>
        <v>12</v>
      </c>
      <c r="Z110" s="36">
        <f t="shared" si="13"/>
        <v>0.186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87.6</v>
      </c>
      <c r="BN110" s="67">
        <f t="shared" si="15"/>
        <v>87.6</v>
      </c>
      <c r="BO110" s="67">
        <f t="shared" si="16"/>
        <v>0.14285714285714285</v>
      </c>
      <c r="BP110" s="67">
        <f t="shared" si="17"/>
        <v>0.14285714285714285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12</v>
      </c>
      <c r="Y113" s="279">
        <f t="shared" si="12"/>
        <v>12</v>
      </c>
      <c r="Z113" s="36">
        <f t="shared" si="13"/>
        <v>0.186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87.6</v>
      </c>
      <c r="BN113" s="67">
        <f t="shared" si="15"/>
        <v>87.6</v>
      </c>
      <c r="BO113" s="67">
        <f t="shared" si="16"/>
        <v>0.14285714285714285</v>
      </c>
      <c r="BP113" s="67">
        <f t="shared" si="17"/>
        <v>0.14285714285714285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24</v>
      </c>
      <c r="Y114" s="280">
        <f>IFERROR(SUM(Y107:Y113),"0")</f>
        <v>24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0.372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168</v>
      </c>
      <c r="Y115" s="280">
        <f>IFERROR(SUMPRODUCT(Y107:Y113*H107:H113),"0")</f>
        <v>168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14</v>
      </c>
      <c r="Y117" s="279">
        <f>IFERROR(IF(X117="","",X117),"")</f>
        <v>14</v>
      </c>
      <c r="Z117" s="36">
        <f>IFERROR(IF(X117="","",X117*0.01788),"")</f>
        <v>0.25031999999999999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46.810400000000001</v>
      </c>
      <c r="BN117" s="67">
        <f>IFERROR(Y117*I117,"0")</f>
        <v>46.810400000000001</v>
      </c>
      <c r="BO117" s="67">
        <f>IFERROR(X117/J117,"0")</f>
        <v>0.2</v>
      </c>
      <c r="BP117" s="67">
        <f>IFERROR(Y117/J117,"0")</f>
        <v>0.2</v>
      </c>
    </row>
    <row r="118" spans="1:68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14</v>
      </c>
      <c r="Y118" s="280">
        <f>IFERROR(SUM(Y117:Y117),"0")</f>
        <v>14</v>
      </c>
      <c r="Z118" s="280">
        <f>IFERROR(IF(Z117="",0,Z117),"0")</f>
        <v>0.25031999999999999</v>
      </c>
      <c r="AA118" s="281"/>
      <c r="AB118" s="281"/>
      <c r="AC118" s="281"/>
    </row>
    <row r="119" spans="1:68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36.96</v>
      </c>
      <c r="Y119" s="280">
        <f>IFERROR(SUMPRODUCT(Y117:Y117*H117:H117),"0")</f>
        <v>36.96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hidden="1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0</v>
      </c>
      <c r="Y130" s="279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98</v>
      </c>
      <c r="Y131" s="279">
        <f>IFERROR(IF(X131="","",X131),"")</f>
        <v>98</v>
      </c>
      <c r="Z131" s="36">
        <f>IFERROR(IF(X131="","",X131*0.00941),"")</f>
        <v>0.92218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170.52</v>
      </c>
      <c r="BN131" s="67">
        <f>IFERROR(Y131*I131,"0")</f>
        <v>170.52</v>
      </c>
      <c r="BO131" s="67">
        <f>IFERROR(X131/J131,"0")</f>
        <v>0.7</v>
      </c>
      <c r="BP131" s="67">
        <f>IFERROR(Y131/J131,"0")</f>
        <v>0.7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140</v>
      </c>
      <c r="Y132" s="279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140</v>
      </c>
      <c r="Y133" s="279">
        <f>IFERROR(IF(X133="","",X133),"")</f>
        <v>140</v>
      </c>
      <c r="Z133" s="36">
        <f>IFERROR(IF(X133="","",X133*0.00941),"")</f>
        <v>1.3173999999999999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252</v>
      </c>
      <c r="BN133" s="67">
        <f>IFERROR(Y133*I133,"0")</f>
        <v>252</v>
      </c>
      <c r="BO133" s="67">
        <f>IFERROR(X133/J133,"0")</f>
        <v>1</v>
      </c>
      <c r="BP133" s="67">
        <f>IFERROR(Y133/J133,"0")</f>
        <v>1</v>
      </c>
    </row>
    <row r="134" spans="1:68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378</v>
      </c>
      <c r="Y134" s="280">
        <f>IFERROR(SUM(Y130:Y133),"0")</f>
        <v>378</v>
      </c>
      <c r="Z134" s="280">
        <f>IFERROR(IF(Z130="",0,Z130),"0")+IFERROR(IF(Z131="",0,Z131),"0")+IFERROR(IF(Z132="",0,Z132),"0")+IFERROR(IF(Z133="",0,Z133),"0")</f>
        <v>3.5569800000000003</v>
      </c>
      <c r="AA134" s="281"/>
      <c r="AB134" s="281"/>
      <c r="AC134" s="281"/>
    </row>
    <row r="135" spans="1:68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515.76</v>
      </c>
      <c r="Y135" s="280">
        <f>IFERROR(SUMPRODUCT(Y130:Y133*H130:H133),"0")</f>
        <v>515.76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14</v>
      </c>
      <c r="Y138" s="279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42</v>
      </c>
      <c r="Y144" s="279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70</v>
      </c>
      <c r="Y145" s="279">
        <f>IFERROR(IF(X145="","",X145),"")</f>
        <v>70</v>
      </c>
      <c r="Z145" s="36">
        <f>IFERROR(IF(X145="","",X145*0.01788),"")</f>
        <v>1.2516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259.25200000000001</v>
      </c>
      <c r="BN145" s="67">
        <f>IFERROR(Y145*I145,"0")</f>
        <v>259.25200000000001</v>
      </c>
      <c r="BO145" s="67">
        <f>IFERROR(X145/J145,"0")</f>
        <v>1</v>
      </c>
      <c r="BP145" s="67">
        <f>IFERROR(Y145/J145,"0")</f>
        <v>1</v>
      </c>
    </row>
    <row r="146" spans="1:68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112</v>
      </c>
      <c r="Y146" s="280">
        <f>IFERROR(SUM(Y144:Y145),"0")</f>
        <v>112</v>
      </c>
      <c r="Z146" s="280">
        <f>IFERROR(IF(Z144="",0,Z144),"0")+IFERROR(IF(Z145="",0,Z145),"0")</f>
        <v>2.0025599999999999</v>
      </c>
      <c r="AA146" s="281"/>
      <c r="AB146" s="281"/>
      <c r="AC146" s="281"/>
    </row>
    <row r="147" spans="1:68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336</v>
      </c>
      <c r="Y147" s="280">
        <f>IFERROR(SUMPRODUCT(Y144:Y145*H144:H145),"0")</f>
        <v>336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42</v>
      </c>
      <c r="Y150" s="279">
        <f>IFERROR(IF(X150="","",X150),"")</f>
        <v>42</v>
      </c>
      <c r="Z150" s="36">
        <f>IFERROR(IF(X150="","",X150*0.01788),"")</f>
        <v>0.75095999999999996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157.416</v>
      </c>
      <c r="BN150" s="67">
        <f>IFERROR(Y150*I150,"0")</f>
        <v>157.416</v>
      </c>
      <c r="BO150" s="67">
        <f>IFERROR(X150/J150,"0")</f>
        <v>0.6</v>
      </c>
      <c r="BP150" s="67">
        <f>IFERROR(Y150/J150,"0")</f>
        <v>0.6</v>
      </c>
    </row>
    <row r="151" spans="1:68" ht="16.5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84</v>
      </c>
      <c r="Y151" s="279">
        <f>IFERROR(IF(X151="","",X151),"")</f>
        <v>84</v>
      </c>
      <c r="Z151" s="36">
        <f>IFERROR(IF(X151="","",X151*0.01788),"")</f>
        <v>1.5019199999999999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311.10239999999999</v>
      </c>
      <c r="BN151" s="67">
        <f>IFERROR(Y151*I151,"0")</f>
        <v>311.10239999999999</v>
      </c>
      <c r="BO151" s="67">
        <f>IFERROR(X151/J151,"0")</f>
        <v>1.2</v>
      </c>
      <c r="BP151" s="67">
        <f>IFERROR(Y151/J151,"0")</f>
        <v>1.2</v>
      </c>
    </row>
    <row r="152" spans="1:68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126</v>
      </c>
      <c r="Y152" s="280">
        <f>IFERROR(SUM(Y150:Y151),"0")</f>
        <v>126</v>
      </c>
      <c r="Z152" s="280">
        <f>IFERROR(IF(Z150="",0,Z150),"0")+IFERROR(IF(Z151="",0,Z151),"0")</f>
        <v>2.2528799999999998</v>
      </c>
      <c r="AA152" s="281"/>
      <c r="AB152" s="281"/>
      <c r="AC152" s="281"/>
    </row>
    <row r="153" spans="1:68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378</v>
      </c>
      <c r="Y153" s="280">
        <f>IFERROR(SUMPRODUCT(Y150:Y151*H150:H151),"0")</f>
        <v>378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hidden="1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0</v>
      </c>
      <c r="Y162" s="279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0</v>
      </c>
      <c r="Y164" s="280">
        <f>IFERROR(SUMPRODUCT(Y162:Y162*H162:H162),"0")</f>
        <v>0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14</v>
      </c>
      <c r="Y167" s="279">
        <f>IFERROR(IF(X167="","",X167),"")</f>
        <v>14</v>
      </c>
      <c r="Z167" s="36">
        <f>IFERROR(IF(X167="","",X167*0.00936),"")</f>
        <v>0.13103999999999999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43.26</v>
      </c>
      <c r="BN167" s="67">
        <f>IFERROR(Y167*I167,"0")</f>
        <v>43.26</v>
      </c>
      <c r="BO167" s="67">
        <f>IFERROR(X167/J167,"0")</f>
        <v>0.1111111111111111</v>
      </c>
      <c r="BP167" s="67">
        <f>IFERROR(Y167/J167,"0")</f>
        <v>0.1111111111111111</v>
      </c>
    </row>
    <row r="168" spans="1:68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14</v>
      </c>
      <c r="Y168" s="280">
        <f>IFERROR(SUM(Y167:Y167),"0")</f>
        <v>14</v>
      </c>
      <c r="Z168" s="280">
        <f>IFERROR(IF(Z167="",0,Z167),"0")</f>
        <v>0.13103999999999999</v>
      </c>
      <c r="AA168" s="281"/>
      <c r="AB168" s="281"/>
      <c r="AC168" s="281"/>
    </row>
    <row r="169" spans="1:68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37.800000000000004</v>
      </c>
      <c r="Y169" s="280">
        <f>IFERROR(SUMPRODUCT(Y167:Y167*H167:H167),"0")</f>
        <v>37.800000000000004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84</v>
      </c>
      <c r="Y178" s="279">
        <f>IFERROR(IF(X178="","",X178),"")</f>
        <v>84</v>
      </c>
      <c r="Z178" s="36">
        <f>IFERROR(IF(X178="","",X178*0.0155),"")</f>
        <v>1.302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523.74</v>
      </c>
      <c r="BN178" s="67">
        <f>IFERROR(Y178*I178,"0")</f>
        <v>523.74</v>
      </c>
      <c r="BO178" s="67">
        <f>IFERROR(X178/J178,"0")</f>
        <v>1</v>
      </c>
      <c r="BP178" s="67">
        <f>IFERROR(Y178/J178,"0")</f>
        <v>1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84</v>
      </c>
      <c r="Y179" s="280">
        <f>IFERROR(SUM(Y178:Y178),"0")</f>
        <v>84</v>
      </c>
      <c r="Z179" s="280">
        <f>IFERROR(IF(Z178="",0,Z178),"0")</f>
        <v>1.302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504</v>
      </c>
      <c r="Y180" s="280">
        <f>IFERROR(SUMPRODUCT(Y178:Y178*H178:H178),"0")</f>
        <v>504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42</v>
      </c>
      <c r="Y182" s="279">
        <f>IFERROR(IF(X182="","",X182),"")</f>
        <v>42</v>
      </c>
      <c r="Z182" s="36">
        <f>IFERROR(IF(X182="","",X182*0.00936),"")</f>
        <v>0.39312000000000002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163.464</v>
      </c>
      <c r="BN182" s="67">
        <f>IFERROR(Y182*I182,"0")</f>
        <v>163.464</v>
      </c>
      <c r="BO182" s="67">
        <f>IFERROR(X182/J182,"0")</f>
        <v>0.33333333333333331</v>
      </c>
      <c r="BP182" s="67">
        <f>IFERROR(Y182/J182,"0")</f>
        <v>0.33333333333333331</v>
      </c>
    </row>
    <row r="183" spans="1:68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42</v>
      </c>
      <c r="Y183" s="280">
        <f>IFERROR(SUM(Y182:Y182),"0")</f>
        <v>42</v>
      </c>
      <c r="Z183" s="280">
        <f>IFERROR(IF(Z182="",0,Z182),"0")</f>
        <v>0.39312000000000002</v>
      </c>
      <c r="AA183" s="281"/>
      <c r="AB183" s="281"/>
      <c r="AC183" s="281"/>
    </row>
    <row r="184" spans="1:68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155.4</v>
      </c>
      <c r="Y184" s="280">
        <f>IFERROR(SUMPRODUCT(Y182:Y182*H182:H182),"0")</f>
        <v>155.4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48</v>
      </c>
      <c r="Y188" s="279">
        <f>IFERROR(IF(X188="","",X188),"")</f>
        <v>48</v>
      </c>
      <c r="Z188" s="36">
        <f>IFERROR(IF(X188="","",X188*0.00866),"")</f>
        <v>0.41567999999999994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250.23359999999997</v>
      </c>
      <c r="BN188" s="67">
        <f>IFERROR(Y188*I188,"0")</f>
        <v>250.23359999999997</v>
      </c>
      <c r="BO188" s="67">
        <f>IFERROR(X188/J188,"0")</f>
        <v>0.33333333333333331</v>
      </c>
      <c r="BP188" s="67">
        <f>IFERROR(Y188/J188,"0")</f>
        <v>0.33333333333333331</v>
      </c>
    </row>
    <row r="189" spans="1:68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48</v>
      </c>
      <c r="Y189" s="280">
        <f>IFERROR(SUM(Y187:Y188),"0")</f>
        <v>48</v>
      </c>
      <c r="Z189" s="280">
        <f>IFERROR(IF(Z187="",0,Z187),"0")+IFERROR(IF(Z188="",0,Z188),"0")</f>
        <v>0.41567999999999994</v>
      </c>
      <c r="AA189" s="281"/>
      <c r="AB189" s="281"/>
      <c r="AC189" s="281"/>
    </row>
    <row r="190" spans="1:68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240</v>
      </c>
      <c r="Y190" s="280">
        <f>IFERROR(SUMPRODUCT(Y187:Y188*H187:H188),"0")</f>
        <v>240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84</v>
      </c>
      <c r="Y193" s="279">
        <f>IFERROR(IF(X193="","",X193),"")</f>
        <v>84</v>
      </c>
      <c r="Z193" s="36">
        <f>IFERROR(IF(X193="","",X193*0.0155),"")</f>
        <v>1.302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442.00799999999998</v>
      </c>
      <c r="BN193" s="67">
        <f>IFERROR(Y193*I193,"0")</f>
        <v>442.00799999999998</v>
      </c>
      <c r="BO193" s="67">
        <f>IFERROR(X193/J193,"0")</f>
        <v>1</v>
      </c>
      <c r="BP193" s="67">
        <f>IFERROR(Y193/J193,"0")</f>
        <v>1</v>
      </c>
    </row>
    <row r="194" spans="1:68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84</v>
      </c>
      <c r="Y194" s="280">
        <f>IFERROR(SUM(Y193:Y193),"0")</f>
        <v>84</v>
      </c>
      <c r="Z194" s="280">
        <f>IFERROR(IF(Z193="",0,Z193),"0")</f>
        <v>1.302</v>
      </c>
      <c r="AA194" s="281"/>
      <c r="AB194" s="281"/>
      <c r="AC194" s="281"/>
    </row>
    <row r="195" spans="1:68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420</v>
      </c>
      <c r="Y195" s="280">
        <f>IFERROR(SUMPRODUCT(Y193:Y193*H193:H193),"0")</f>
        <v>420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28</v>
      </c>
      <c r="Y199" s="279">
        <f>IFERROR(IF(X199="","",X199),"")</f>
        <v>28</v>
      </c>
      <c r="Z199" s="36">
        <f>IFERROR(IF(X199="","",X199*0.01788),"")</f>
        <v>0.50063999999999997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94.864000000000004</v>
      </c>
      <c r="BN199" s="67">
        <f>IFERROR(Y199*I199,"0")</f>
        <v>94.864000000000004</v>
      </c>
      <c r="BO199" s="67">
        <f>IFERROR(X199/J199,"0")</f>
        <v>0.4</v>
      </c>
      <c r="BP199" s="67">
        <f>IFERROR(Y199/J199,"0")</f>
        <v>0.4</v>
      </c>
    </row>
    <row r="200" spans="1:68" ht="27" hidden="1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52.304000000000002</v>
      </c>
      <c r="BN201" s="67">
        <f>IFERROR(Y201*I201,"0")</f>
        <v>52.304000000000002</v>
      </c>
      <c r="BO201" s="67">
        <f>IFERROR(X201/J201,"0")</f>
        <v>0.2</v>
      </c>
      <c r="BP201" s="67">
        <f>IFERROR(Y201/J201,"0")</f>
        <v>0.2</v>
      </c>
    </row>
    <row r="202" spans="1:68" ht="27" hidden="1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42</v>
      </c>
      <c r="Y203" s="280">
        <f>IFERROR(SUM(Y199:Y202),"0")</f>
        <v>42</v>
      </c>
      <c r="Z203" s="280">
        <f>IFERROR(IF(Z199="",0,Z199),"0")+IFERROR(IF(Z200="",0,Z200),"0")+IFERROR(IF(Z201="",0,Z201),"0")+IFERROR(IF(Z202="",0,Z202),"0")</f>
        <v>0.75095999999999996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126</v>
      </c>
      <c r="Y204" s="280">
        <f>IFERROR(SUMPRODUCT(Y199:Y202*H199:H202),"0")</f>
        <v>126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14</v>
      </c>
      <c r="Y208" s="279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14</v>
      </c>
      <c r="Y209" s="280">
        <f>IFERROR(SUM(Y208:Y208),"0")</f>
        <v>14</v>
      </c>
      <c r="Z209" s="280">
        <f>IFERROR(IF(Z208="",0,Z208),"0")</f>
        <v>0.25031999999999999</v>
      </c>
      <c r="AA209" s="281"/>
      <c r="AB209" s="281"/>
      <c r="AC209" s="281"/>
    </row>
    <row r="210" spans="1:68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38.64</v>
      </c>
      <c r="Y210" s="280">
        <f>IFERROR(SUMPRODUCT(Y208:Y208*H208:H208),"0")</f>
        <v>38.64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36</v>
      </c>
      <c r="Y225" s="279">
        <f>IFERROR(IF(X225="","",X225),"")</f>
        <v>36</v>
      </c>
      <c r="Z225" s="36">
        <f>IFERROR(IF(X225="","",X225*0.0155),"")</f>
        <v>0.55800000000000005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188.28000000000003</v>
      </c>
      <c r="BN225" s="67">
        <f>IFERROR(Y225*I225,"0")</f>
        <v>188.28000000000003</v>
      </c>
      <c r="BO225" s="67">
        <f>IFERROR(X225/J225,"0")</f>
        <v>0.42857142857142855</v>
      </c>
      <c r="BP225" s="67">
        <f>IFERROR(Y225/J225,"0")</f>
        <v>0.42857142857142855</v>
      </c>
    </row>
    <row r="226" spans="1:68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36</v>
      </c>
      <c r="Y226" s="280">
        <f>IFERROR(SUM(Y225:Y225),"0")</f>
        <v>36</v>
      </c>
      <c r="Z226" s="280">
        <f>IFERROR(IF(Z225="",0,Z225),"0")</f>
        <v>0.55800000000000005</v>
      </c>
      <c r="AA226" s="281"/>
      <c r="AB226" s="281"/>
      <c r="AC226" s="281"/>
    </row>
    <row r="227" spans="1:68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180</v>
      </c>
      <c r="Y227" s="280">
        <f>IFERROR(SUMPRODUCT(Y225:Y225*H225:H225),"0")</f>
        <v>180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12</v>
      </c>
      <c r="Y258" s="279">
        <f>IFERROR(IF(X258="","",X258),"")</f>
        <v>12</v>
      </c>
      <c r="Z258" s="36">
        <f>IFERROR(IF(X258="","",X258*0.0155),"")</f>
        <v>0.186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87.36</v>
      </c>
      <c r="BN258" s="67">
        <f>IFERROR(Y258*I258,"0")</f>
        <v>87.36</v>
      </c>
      <c r="BO258" s="67">
        <f>IFERROR(X258/J258,"0")</f>
        <v>0.14285714285714285</v>
      </c>
      <c r="BP258" s="67">
        <f>IFERROR(Y258/J258,"0")</f>
        <v>0.14285714285714285</v>
      </c>
    </row>
    <row r="259" spans="1:68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12</v>
      </c>
      <c r="Y259" s="280">
        <f>IFERROR(SUM(Y257:Y258),"0")</f>
        <v>12</v>
      </c>
      <c r="Z259" s="280">
        <f>IFERROR(IF(Z257="",0,Z257),"0")+IFERROR(IF(Z258="",0,Z258),"0")</f>
        <v>0.186</v>
      </c>
      <c r="AA259" s="281"/>
      <c r="AB259" s="281"/>
      <c r="AC259" s="281"/>
    </row>
    <row r="260" spans="1:68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84</v>
      </c>
      <c r="Y260" s="280">
        <f>IFERROR(SUMPRODUCT(Y257:Y258*H257:H258),"0")</f>
        <v>84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204</v>
      </c>
      <c r="Y263" s="279">
        <f>IFERROR(IF(X263="","",X263),"")</f>
        <v>204</v>
      </c>
      <c r="Z263" s="36">
        <f>IFERROR(IF(X263="","",X263*0.0155),"")</f>
        <v>3.1619999999999999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1067.94</v>
      </c>
      <c r="BN263" s="67">
        <f>IFERROR(Y263*I263,"0")</f>
        <v>1067.94</v>
      </c>
      <c r="BO263" s="67">
        <f>IFERROR(X263/J263,"0")</f>
        <v>2.4285714285714284</v>
      </c>
      <c r="BP263" s="67">
        <f>IFERROR(Y263/J263,"0")</f>
        <v>2.4285714285714284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204</v>
      </c>
      <c r="Y265" s="280">
        <f>IFERROR(SUM(Y262:Y264),"0")</f>
        <v>204</v>
      </c>
      <c r="Z265" s="280">
        <f>IFERROR(IF(Z262="",0,Z262),"0")+IFERROR(IF(Z263="",0,Z263),"0")+IFERROR(IF(Z264="",0,Z264),"0")</f>
        <v>3.1619999999999999</v>
      </c>
      <c r="AA265" s="281"/>
      <c r="AB265" s="281"/>
      <c r="AC265" s="281"/>
    </row>
    <row r="266" spans="1:68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1020</v>
      </c>
      <c r="Y266" s="280">
        <f>IFERROR(SUMPRODUCT(Y262:Y264*H262:H264),"0")</f>
        <v>1020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12</v>
      </c>
      <c r="Y268" s="279">
        <f t="shared" ref="Y268:Y277" si="18">IFERROR(IF(X268="","",X268),"")</f>
        <v>12</v>
      </c>
      <c r="Z268" s="36">
        <f>IFERROR(IF(X268="","",X268*0.0155),"")</f>
        <v>0.186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68.820000000000007</v>
      </c>
      <c r="BN268" s="67">
        <f t="shared" ref="BN268:BN277" si="20">IFERROR(Y268*I268,"0")</f>
        <v>68.820000000000007</v>
      </c>
      <c r="BO268" s="67">
        <f t="shared" ref="BO268:BO277" si="21">IFERROR(X268/J268,"0")</f>
        <v>0.14285714285714285</v>
      </c>
      <c r="BP268" s="67">
        <f t="shared" ref="BP268:BP277" si="22">IFERROR(Y268/J268,"0")</f>
        <v>0.14285714285714285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70</v>
      </c>
      <c r="Y270" s="279">
        <f t="shared" si="18"/>
        <v>70</v>
      </c>
      <c r="Z270" s="36">
        <f>IFERROR(IF(X270="","",X270*0.00936),"")</f>
        <v>0.6552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272.44</v>
      </c>
      <c r="BN270" s="67">
        <f t="shared" si="20"/>
        <v>272.44</v>
      </c>
      <c r="BO270" s="67">
        <f t="shared" si="21"/>
        <v>0.55555555555555558</v>
      </c>
      <c r="BP270" s="67">
        <f t="shared" si="22"/>
        <v>0.55555555555555558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 t="shared" ref="Z272:Z277" si="23">IFERROR(IF(X272="","",X272*0.00936),"")</f>
        <v>0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82</v>
      </c>
      <c r="Y278" s="280">
        <f>IFERROR(SUM(Y268:Y277),"0")</f>
        <v>82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0.84119999999999995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325</v>
      </c>
      <c r="Y279" s="280">
        <f>IFERROR(SUMPRODUCT(Y268:Y277*H268:H277),"0")</f>
        <v>325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6281.8</v>
      </c>
      <c r="Y280" s="280">
        <f>IFERROR(Y31+Y35+Y41+Y48+Y54+Y62+Y71+Y77+Y82+Y88+Y98+Y104+Y115+Y119+Y123+Y128+Y135+Y141+Y147+Y153+Y159+Y164+Y169+Y174+Y180+Y184+Y190+Y195+Y204+Y210+Y216+Y222+Y227+Y233+Y239+Y243+Y249+Y253+Y260+Y266+Y279,"0")</f>
        <v>6281.8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6917.1071999999976</v>
      </c>
      <c r="Y281" s="280">
        <f>IFERROR(SUM(BN22:BN277),"0")</f>
        <v>6917.1071999999976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18</v>
      </c>
      <c r="Y282" s="38">
        <f>ROUNDUP(SUM(BP22:BP277),0)</f>
        <v>18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7367.1071999999976</v>
      </c>
      <c r="Y283" s="280">
        <f>GrossWeightTotalR+PalletQtyTotalR*25</f>
        <v>7367.1071999999976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1682</v>
      </c>
      <c r="Y284" s="280">
        <f>IFERROR(Y30+Y34+Y40+Y47+Y53+Y61+Y70+Y76+Y81+Y87+Y97+Y103+Y114+Y118+Y122+Y127+Y134+Y140+Y146+Y152+Y158+Y163+Y168+Y173+Y179+Y183+Y189+Y194+Y203+Y209+Y215+Y221+Y226+Y232+Y238+Y242+Y248+Y252+Y259+Y265+Y278,"0")</f>
        <v>1682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22.605479999999996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700.80000000000007</v>
      </c>
      <c r="C290" s="46">
        <f>IFERROR(X38*H38,"0")+IFERROR(X39*H39,"0")</f>
        <v>0</v>
      </c>
      <c r="D290" s="46">
        <f>IFERROR(X45*H45,"0")+IFERROR(X46*H46,"0")</f>
        <v>42</v>
      </c>
      <c r="E290" s="46">
        <f>IFERROR(X51*H51,"0")+IFERROR(X52*H52,"0")</f>
        <v>134.39999999999998</v>
      </c>
      <c r="F290" s="46">
        <f>IFERROR(X57*H57,"0")+IFERROR(X58*H58,"0")+IFERROR(X59*H59,"0")+IFERROR(X60*H60,"0")</f>
        <v>0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540</v>
      </c>
      <c r="I290" s="46">
        <f>IFERROR(X80*H80,"0")</f>
        <v>0</v>
      </c>
      <c r="J290" s="46">
        <f>IFERROR(X85*H85,"0")+IFERROR(X86*H86,"0")</f>
        <v>50.4</v>
      </c>
      <c r="K290" s="46">
        <f>IFERROR(X91*H91,"0")+IFERROR(X92*H92,"0")+IFERROR(X93*H93,"0")+IFERROR(X94*H94,"0")+IFERROR(X95*H95,"0")+IFERROR(X96*H96,"0")</f>
        <v>233.52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204.96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530.88</v>
      </c>
      <c r="P290" s="46">
        <f>IFERROR(X144*H144,"0")+IFERROR(X145*H145,"0")</f>
        <v>336</v>
      </c>
      <c r="Q290" s="46">
        <f>IFERROR(X150*H150,"0")+IFERROR(X151*H151,"0")</f>
        <v>378</v>
      </c>
      <c r="R290" s="46">
        <f>IFERROR(X156*H156,"0")+IFERROR(X157*H157,"0")</f>
        <v>0</v>
      </c>
      <c r="S290" s="46">
        <f>IFERROR(X162*H162,"0")</f>
        <v>0</v>
      </c>
      <c r="T290" s="46">
        <f>IFERROR(X167*H167,"0")</f>
        <v>37.800000000000004</v>
      </c>
      <c r="U290" s="46">
        <f>IFERROR(X172*H172,"0")</f>
        <v>0</v>
      </c>
      <c r="V290" s="46">
        <f>IFERROR(X178*H178,"0")+IFERROR(X182*H182,"0")</f>
        <v>659.4</v>
      </c>
      <c r="W290" s="46">
        <f>IFERROR(X187*H187,"0")+IFERROR(X188*H188,"0")</f>
        <v>240</v>
      </c>
      <c r="X290" s="46">
        <f>IFERROR(X193*H193,"0")</f>
        <v>420</v>
      </c>
      <c r="Y290" s="46">
        <f>IFERROR(X199*H199,"0")+IFERROR(X200*H200,"0")+IFERROR(X201*H201,"0")+IFERROR(X202*H202,"0")</f>
        <v>126</v>
      </c>
      <c r="Z290" s="46">
        <f>IFERROR(X208*H208,"0")+IFERROR(X212*H212,"0")+IFERROR(X213*H213,"0")+IFERROR(X214*H214,"0")</f>
        <v>38.64</v>
      </c>
      <c r="AA290" s="46">
        <f>IFERROR(X219*H219,"0")+IFERROR(X220*H220,"0")</f>
        <v>0</v>
      </c>
      <c r="AB290" s="46">
        <f>IFERROR(X225*H225,"0")</f>
        <v>180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1429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2467.1999999999998</v>
      </c>
      <c r="B293" s="60">
        <f>SUMPRODUCT(--(BB:BB="ПГП"),--(W:W="кор"),H:H,Y:Y)+SUMPRODUCT(--(BB:BB="ПГП"),--(W:W="кг"),Y:Y)</f>
        <v>3814.6000000000004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682,00"/>
        <filter val="108,00"/>
        <filter val="112,00"/>
        <filter val="12,00"/>
        <filter val="126,00"/>
        <filter val="134,40"/>
        <filter val="14,00"/>
        <filter val="140,00"/>
        <filter val="15,12"/>
        <filter val="155,40"/>
        <filter val="168,00"/>
        <filter val="18"/>
        <filter val="180,00"/>
        <filter val="204,00"/>
        <filter val="233,52"/>
        <filter val="24,00"/>
        <filter val="240,00"/>
        <filter val="28,00"/>
        <filter val="325,00"/>
        <filter val="336,00"/>
        <filter val="36,00"/>
        <filter val="36,96"/>
        <filter val="37,80"/>
        <filter val="378,00"/>
        <filter val="38,64"/>
        <filter val="42,00"/>
        <filter val="420,00"/>
        <filter val="48,00"/>
        <filter val="50,40"/>
        <filter val="504,00"/>
        <filter val="515,76"/>
        <filter val="540,00"/>
        <filter val="6 281,80"/>
        <filter val="6 917,11"/>
        <filter val="60,00"/>
        <filter val="7 367,11"/>
        <filter val="70,00"/>
        <filter val="700,80"/>
        <filter val="82,00"/>
        <filter val="84,00"/>
        <filter val="98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