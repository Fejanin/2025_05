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16,10 Горняк(Луганск) ЗПФ НВ с филиалами на 19,10\"/>
    </mc:Choice>
  </mc:AlternateContent>
  <xr:revisionPtr revIDLastSave="0" documentId="13_ncr:1_{D8DEB0CF-00C9-4972-B7D9-6416E9782CC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P253" i="2"/>
  <c r="BO252" i="2"/>
  <c r="BM252" i="2"/>
  <c r="Z252" i="2"/>
  <c r="Z254" i="2" s="1"/>
  <c r="Y252" i="2"/>
  <c r="BP252" i="2" s="1"/>
  <c r="P252" i="2"/>
  <c r="X248" i="2"/>
  <c r="X247" i="2"/>
  <c r="BO246" i="2"/>
  <c r="BM246" i="2"/>
  <c r="Z246" i="2"/>
  <c r="Z247" i="2" s="1"/>
  <c r="Y246" i="2"/>
  <c r="P246" i="2"/>
  <c r="X244" i="2"/>
  <c r="X243" i="2"/>
  <c r="BO242" i="2"/>
  <c r="BM242" i="2"/>
  <c r="Z242" i="2"/>
  <c r="Z243" i="2" s="1"/>
  <c r="Y242" i="2"/>
  <c r="P242" i="2"/>
  <c r="X238" i="2"/>
  <c r="X237" i="2"/>
  <c r="BO236" i="2"/>
  <c r="BM236" i="2"/>
  <c r="Z236" i="2"/>
  <c r="Z237" i="2" s="1"/>
  <c r="Y236" i="2"/>
  <c r="P236" i="2"/>
  <c r="X234" i="2"/>
  <c r="X233" i="2"/>
  <c r="BO232" i="2"/>
  <c r="BM232" i="2"/>
  <c r="Z232" i="2"/>
  <c r="Z233" i="2" s="1"/>
  <c r="Y232" i="2"/>
  <c r="P232" i="2"/>
  <c r="X228" i="2"/>
  <c r="X227" i="2"/>
  <c r="BO226" i="2"/>
  <c r="BM226" i="2"/>
  <c r="Z226" i="2"/>
  <c r="Z227" i="2" s="1"/>
  <c r="Y226" i="2"/>
  <c r="P226" i="2"/>
  <c r="X222" i="2"/>
  <c r="X221" i="2"/>
  <c r="BO220" i="2"/>
  <c r="BM220" i="2"/>
  <c r="Z220" i="2"/>
  <c r="Z221" i="2" s="1"/>
  <c r="Y220" i="2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Z205" i="2" s="1"/>
  <c r="Y202" i="2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BO189" i="2"/>
  <c r="BM189" i="2"/>
  <c r="Z189" i="2"/>
  <c r="Y189" i="2"/>
  <c r="P189" i="2"/>
  <c r="X185" i="2"/>
  <c r="X184" i="2"/>
  <c r="BO183" i="2"/>
  <c r="BM183" i="2"/>
  <c r="Z183" i="2"/>
  <c r="Z184" i="2" s="1"/>
  <c r="Y183" i="2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Z179" i="2" s="1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P156" i="2"/>
  <c r="BO155" i="2"/>
  <c r="BM155" i="2"/>
  <c r="Z155" i="2"/>
  <c r="Y155" i="2"/>
  <c r="Y157" i="2" s="1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BO148" i="2"/>
  <c r="BM148" i="2"/>
  <c r="Z148" i="2"/>
  <c r="Z151" i="2" s="1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P136" i="2"/>
  <c r="BO135" i="2"/>
  <c r="BM135" i="2"/>
  <c r="Z135" i="2"/>
  <c r="Y135" i="2"/>
  <c r="Y139" i="2" s="1"/>
  <c r="P135" i="2"/>
  <c r="X133" i="2"/>
  <c r="X132" i="2"/>
  <c r="BO131" i="2"/>
  <c r="BM131" i="2"/>
  <c r="Z131" i="2"/>
  <c r="Y131" i="2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Y132" i="2" s="1"/>
  <c r="P128" i="2"/>
  <c r="X125" i="2"/>
  <c r="X124" i="2"/>
  <c r="BO123" i="2"/>
  <c r="BM123" i="2"/>
  <c r="Z123" i="2"/>
  <c r="Z124" i="2" s="1"/>
  <c r="Y123" i="2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Z105" i="2" s="1"/>
  <c r="Y103" i="2"/>
  <c r="P103" i="2"/>
  <c r="X100" i="2"/>
  <c r="X99" i="2"/>
  <c r="BO98" i="2"/>
  <c r="BM98" i="2"/>
  <c r="Z98" i="2"/>
  <c r="Y98" i="2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P65" i="2"/>
  <c r="BO65" i="2"/>
  <c r="BN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Z57" i="2" s="1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Z36" i="2" s="1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M22" i="2"/>
  <c r="X280" i="2" s="1"/>
  <c r="Z22" i="2"/>
  <c r="Y22" i="2"/>
  <c r="P22" i="2"/>
  <c r="H10" i="2"/>
  <c r="A9" i="2"/>
  <c r="J9" i="2" s="1"/>
  <c r="D7" i="2"/>
  <c r="Q6" i="2"/>
  <c r="P2" i="2"/>
  <c r="BP71" i="2" l="1"/>
  <c r="Y117" i="2"/>
  <c r="Z132" i="2"/>
  <c r="Y152" i="2"/>
  <c r="Z157" i="2"/>
  <c r="Z211" i="2"/>
  <c r="BN25" i="2"/>
  <c r="Z43" i="2"/>
  <c r="BN47" i="2"/>
  <c r="Z78" i="2"/>
  <c r="Z89" i="2"/>
  <c r="BP253" i="2"/>
  <c r="BN253" i="2"/>
  <c r="Y247" i="2"/>
  <c r="BN246" i="2"/>
  <c r="BP236" i="2"/>
  <c r="Y238" i="2"/>
  <c r="Y237" i="2"/>
  <c r="BN236" i="2"/>
  <c r="Y233" i="2"/>
  <c r="BN232" i="2"/>
  <c r="Y228" i="2"/>
  <c r="Y227" i="2"/>
  <c r="BN226" i="2"/>
  <c r="BP183" i="2"/>
  <c r="Y185" i="2"/>
  <c r="Y184" i="2"/>
  <c r="BN183" i="2"/>
  <c r="Y168" i="2"/>
  <c r="Y167" i="2"/>
  <c r="BN166" i="2"/>
  <c r="BN123" i="2"/>
  <c r="Y124" i="2"/>
  <c r="Y31" i="2"/>
  <c r="BP22" i="2"/>
  <c r="BN22" i="2"/>
  <c r="BP275" i="2"/>
  <c r="BN275" i="2"/>
  <c r="BP242" i="2"/>
  <c r="Y244" i="2"/>
  <c r="Y243" i="2"/>
  <c r="BN242" i="2"/>
  <c r="BP220" i="2"/>
  <c r="Y221" i="2"/>
  <c r="BN220" i="2"/>
  <c r="Y211" i="2"/>
  <c r="BN209" i="2"/>
  <c r="BP202" i="2"/>
  <c r="BN202" i="2"/>
  <c r="Y206" i="2"/>
  <c r="BP189" i="2"/>
  <c r="BN189" i="2"/>
  <c r="BP190" i="2"/>
  <c r="BN190" i="2"/>
  <c r="BP156" i="2"/>
  <c r="BN156" i="2"/>
  <c r="BP150" i="2"/>
  <c r="BN150" i="2"/>
  <c r="BP136" i="2"/>
  <c r="BN136" i="2"/>
  <c r="BP131" i="2"/>
  <c r="BN131" i="2"/>
  <c r="BP110" i="2"/>
  <c r="BN110" i="2"/>
  <c r="BN97" i="2"/>
  <c r="BP97" i="2"/>
  <c r="BP98" i="2"/>
  <c r="BN98" i="2"/>
  <c r="Y89" i="2"/>
  <c r="BP87" i="2"/>
  <c r="BN87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X282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Y279" i="2" s="1"/>
  <c r="BN70" i="2"/>
  <c r="Y99" i="2"/>
  <c r="Y105" i="2"/>
  <c r="Y116" i="2"/>
  <c r="BN142" i="2"/>
  <c r="BN257" i="2"/>
  <c r="BN272" i="2"/>
  <c r="BN82" i="2"/>
  <c r="BN148" i="2"/>
  <c r="Z284" i="2" l="1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<sst xmlns="http://schemas.openxmlformats.org/spreadsheetml/2006/main" count="1753" uniqueCount="420">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</sst>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9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93" sqref="AA9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4" t="s">
        <v>26</v>
      </c>
      <c r="E1" s="454"/>
      <c r="F1" s="454"/>
      <c r="G1" s="14" t="s">
        <v>70</v>
      </c>
      <c r="H1" s="454" t="s">
        <v>47</v>
      </c>
      <c r="I1" s="454"/>
      <c r="J1" s="454"/>
      <c r="K1" s="454"/>
      <c r="L1" s="454"/>
      <c r="M1" s="454"/>
      <c r="N1" s="454"/>
      <c r="O1" s="454"/>
      <c r="P1" s="454"/>
      <c r="Q1" s="454"/>
      <c r="R1" s="455" t="s">
        <v>71</v>
      </c>
      <c r="S1" s="456"/>
      <c r="T1" s="45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7"/>
      <c r="R2" s="457"/>
      <c r="S2" s="457"/>
      <c r="T2" s="457"/>
      <c r="U2" s="457"/>
      <c r="V2" s="457"/>
      <c r="W2" s="45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7"/>
      <c r="Q3" s="457"/>
      <c r="R3" s="457"/>
      <c r="S3" s="457"/>
      <c r="T3" s="457"/>
      <c r="U3" s="457"/>
      <c r="V3" s="457"/>
      <c r="W3" s="45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6" t="s">
        <v>8</v>
      </c>
      <c r="B5" s="436"/>
      <c r="C5" s="436"/>
      <c r="D5" s="458"/>
      <c r="E5" s="458"/>
      <c r="F5" s="459" t="s">
        <v>14</v>
      </c>
      <c r="G5" s="459"/>
      <c r="H5" s="458"/>
      <c r="I5" s="458"/>
      <c r="J5" s="458"/>
      <c r="K5" s="458"/>
      <c r="L5" s="458"/>
      <c r="M5" s="458"/>
      <c r="N5" s="72"/>
      <c r="P5" s="26" t="s">
        <v>4</v>
      </c>
      <c r="Q5" s="460">
        <v>46286</v>
      </c>
      <c r="R5" s="460"/>
      <c r="T5" s="461" t="s">
        <v>3</v>
      </c>
      <c r="U5" s="462"/>
      <c r="V5" s="463" t="s">
        <v>388</v>
      </c>
      <c r="W5" s="464"/>
      <c r="AB5" s="57"/>
      <c r="AC5" s="57"/>
      <c r="AD5" s="57"/>
      <c r="AE5" s="57"/>
    </row>
    <row r="6" spans="1:32" s="17" customFormat="1" ht="24" customHeight="1" x14ac:dyDescent="0.2">
      <c r="A6" s="436" t="s">
        <v>1</v>
      </c>
      <c r="B6" s="436"/>
      <c r="C6" s="436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73"/>
      <c r="P6" s="26" t="s">
        <v>27</v>
      </c>
      <c r="Q6" s="438" t="str">
        <f>IF(Q5=0," ",CHOOSE(WEEKDAY(Q5,2),"Понедельник","Вторник","Среда","Четверг","Пятница","Суббота","Воскресенье"))</f>
        <v>Понедельник</v>
      </c>
      <c r="R6" s="438"/>
      <c r="T6" s="439" t="s">
        <v>5</v>
      </c>
      <c r="U6" s="440"/>
      <c r="V6" s="441" t="s">
        <v>73</v>
      </c>
      <c r="W6" s="44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7">
        <f>IFERROR(VLOOKUP(DeliveryAddress,Table,3,0),1)</f>
        <v>1</v>
      </c>
      <c r="E7" s="448"/>
      <c r="F7" s="448"/>
      <c r="G7" s="448"/>
      <c r="H7" s="448"/>
      <c r="I7" s="448"/>
      <c r="J7" s="448"/>
      <c r="K7" s="448"/>
      <c r="L7" s="448"/>
      <c r="M7" s="449"/>
      <c r="N7" s="74"/>
      <c r="P7" s="26"/>
      <c r="Q7" s="46"/>
      <c r="R7" s="46"/>
      <c r="T7" s="439"/>
      <c r="U7" s="440"/>
      <c r="V7" s="443"/>
      <c r="W7" s="444"/>
      <c r="AB7" s="57"/>
      <c r="AC7" s="57"/>
      <c r="AD7" s="57"/>
      <c r="AE7" s="57"/>
    </row>
    <row r="8" spans="1:32" s="17" customFormat="1" ht="25.5" customHeight="1" x14ac:dyDescent="0.2">
      <c r="A8" s="450" t="s">
        <v>58</v>
      </c>
      <c r="B8" s="450"/>
      <c r="C8" s="450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75"/>
      <c r="P8" s="26" t="s">
        <v>11</v>
      </c>
      <c r="Q8" s="434">
        <v>0.41666666666666669</v>
      </c>
      <c r="R8" s="434"/>
      <c r="T8" s="439"/>
      <c r="U8" s="440"/>
      <c r="V8" s="443"/>
      <c r="W8" s="444"/>
      <c r="AB8" s="57"/>
      <c r="AC8" s="57"/>
      <c r="AD8" s="57"/>
      <c r="AE8" s="57"/>
    </row>
    <row r="9" spans="1:32" s="17" customFormat="1" ht="39.950000000000003" customHeight="1" x14ac:dyDescent="0.2">
      <c r="A9" s="4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6"/>
      <c r="C9" s="426"/>
      <c r="D9" s="427" t="s">
        <v>46</v>
      </c>
      <c r="E9" s="428"/>
      <c r="F9" s="4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6"/>
      <c r="H9" s="452" t="str">
        <f>IF(AND($A$9="Тип доверенности/получателя при получении в адресе перегруза:",$D$9="Разовая доверенность"),"Введите ФИО","")</f>
        <v/>
      </c>
      <c r="I9" s="452"/>
      <c r="J9" s="4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2"/>
      <c r="L9" s="452"/>
      <c r="M9" s="452"/>
      <c r="N9" s="70"/>
      <c r="P9" s="29" t="s">
        <v>15</v>
      </c>
      <c r="Q9" s="453"/>
      <c r="R9" s="453"/>
      <c r="T9" s="439"/>
      <c r="U9" s="440"/>
      <c r="V9" s="445"/>
      <c r="W9" s="44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6"/>
      <c r="C10" s="426"/>
      <c r="D10" s="427"/>
      <c r="E10" s="428"/>
      <c r="F10" s="4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6"/>
      <c r="H10" s="429" t="str">
        <f>IFERROR(VLOOKUP($D$10,Proxy,2,FALSE),"")</f>
        <v/>
      </c>
      <c r="I10" s="429"/>
      <c r="J10" s="429"/>
      <c r="K10" s="429"/>
      <c r="L10" s="429"/>
      <c r="M10" s="429"/>
      <c r="N10" s="71"/>
      <c r="P10" s="29" t="s">
        <v>32</v>
      </c>
      <c r="Q10" s="430"/>
      <c r="R10" s="430"/>
      <c r="U10" s="26" t="s">
        <v>12</v>
      </c>
      <c r="V10" s="431" t="s">
        <v>74</v>
      </c>
      <c r="W10" s="4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3"/>
      <c r="R11" s="433"/>
      <c r="U11" s="26" t="s">
        <v>28</v>
      </c>
      <c r="V11" s="412" t="s">
        <v>55</v>
      </c>
      <c r="W11" s="41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1" t="s">
        <v>75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76"/>
      <c r="P12" s="26" t="s">
        <v>30</v>
      </c>
      <c r="Q12" s="434"/>
      <c r="R12" s="434"/>
      <c r="S12" s="27"/>
      <c r="T12"/>
      <c r="U12" s="26" t="s">
        <v>46</v>
      </c>
      <c r="V12" s="435"/>
      <c r="W12" s="435"/>
      <c r="X12"/>
      <c r="AB12" s="57"/>
      <c r="AC12" s="57"/>
      <c r="AD12" s="57"/>
      <c r="AE12" s="57"/>
    </row>
    <row r="13" spans="1:32" s="17" customFormat="1" ht="23.25" customHeight="1" x14ac:dyDescent="0.2">
      <c r="A13" s="411" t="s">
        <v>76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76"/>
      <c r="O13" s="29"/>
      <c r="P13" s="29" t="s">
        <v>31</v>
      </c>
      <c r="Q13" s="412"/>
      <c r="R13" s="41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1" t="s">
        <v>77</v>
      </c>
      <c r="B14" s="411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3" t="s">
        <v>78</v>
      </c>
      <c r="B15" s="413"/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77"/>
      <c r="O15"/>
      <c r="P15" s="414" t="s">
        <v>61</v>
      </c>
      <c r="Q15" s="414"/>
      <c r="R15" s="414"/>
      <c r="S15" s="414"/>
      <c r="T15" s="41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5"/>
      <c r="Q16" s="415"/>
      <c r="R16" s="415"/>
      <c r="S16" s="415"/>
      <c r="T16" s="4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7" t="s">
        <v>59</v>
      </c>
      <c r="B17" s="397" t="s">
        <v>49</v>
      </c>
      <c r="C17" s="418" t="s">
        <v>48</v>
      </c>
      <c r="D17" s="420" t="s">
        <v>50</v>
      </c>
      <c r="E17" s="421"/>
      <c r="F17" s="397" t="s">
        <v>21</v>
      </c>
      <c r="G17" s="397" t="s">
        <v>24</v>
      </c>
      <c r="H17" s="397" t="s">
        <v>22</v>
      </c>
      <c r="I17" s="397" t="s">
        <v>23</v>
      </c>
      <c r="J17" s="397" t="s">
        <v>16</v>
      </c>
      <c r="K17" s="397" t="s">
        <v>69</v>
      </c>
      <c r="L17" s="397" t="s">
        <v>67</v>
      </c>
      <c r="M17" s="397" t="s">
        <v>2</v>
      </c>
      <c r="N17" s="397" t="s">
        <v>66</v>
      </c>
      <c r="O17" s="397" t="s">
        <v>25</v>
      </c>
      <c r="P17" s="420" t="s">
        <v>17</v>
      </c>
      <c r="Q17" s="424"/>
      <c r="R17" s="424"/>
      <c r="S17" s="424"/>
      <c r="T17" s="421"/>
      <c r="U17" s="416" t="s">
        <v>56</v>
      </c>
      <c r="V17" s="417"/>
      <c r="W17" s="397" t="s">
        <v>6</v>
      </c>
      <c r="X17" s="397" t="s">
        <v>41</v>
      </c>
      <c r="Y17" s="399" t="s">
        <v>54</v>
      </c>
      <c r="Z17" s="401" t="s">
        <v>18</v>
      </c>
      <c r="AA17" s="403" t="s">
        <v>60</v>
      </c>
      <c r="AB17" s="403" t="s">
        <v>19</v>
      </c>
      <c r="AC17" s="403" t="s">
        <v>68</v>
      </c>
      <c r="AD17" s="405" t="s">
        <v>57</v>
      </c>
      <c r="AE17" s="406"/>
      <c r="AF17" s="407"/>
      <c r="AG17" s="80"/>
      <c r="BD17" s="79" t="s">
        <v>64</v>
      </c>
    </row>
    <row r="18" spans="1:68" ht="14.25" customHeight="1" x14ac:dyDescent="0.2">
      <c r="A18" s="398"/>
      <c r="B18" s="398"/>
      <c r="C18" s="419"/>
      <c r="D18" s="422"/>
      <c r="E18" s="423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422"/>
      <c r="Q18" s="425"/>
      <c r="R18" s="425"/>
      <c r="S18" s="425"/>
      <c r="T18" s="423"/>
      <c r="U18" s="81" t="s">
        <v>44</v>
      </c>
      <c r="V18" s="81" t="s">
        <v>43</v>
      </c>
      <c r="W18" s="398"/>
      <c r="X18" s="398"/>
      <c r="Y18" s="400"/>
      <c r="Z18" s="402"/>
      <c r="AA18" s="404"/>
      <c r="AB18" s="404"/>
      <c r="AC18" s="404"/>
      <c r="AD18" s="408"/>
      <c r="AE18" s="409"/>
      <c r="AF18" s="410"/>
      <c r="AG18" s="80"/>
      <c r="BD18" s="79"/>
    </row>
    <row r="19" spans="1:68" ht="27.75" hidden="1" customHeight="1" x14ac:dyDescent="0.2">
      <c r="A19" s="313" t="s">
        <v>79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52"/>
      <c r="AB19" s="52"/>
      <c r="AC19" s="52"/>
    </row>
    <row r="20" spans="1:68" ht="16.5" hidden="1" customHeight="1" x14ac:dyDescent="0.25">
      <c r="A20" s="314" t="s">
        <v>79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62"/>
      <c r="AB20" s="62"/>
      <c r="AC20" s="62"/>
    </row>
    <row r="21" spans="1:68" ht="14.25" hidden="1" customHeight="1" x14ac:dyDescent="0.25">
      <c r="A21" s="302" t="s">
        <v>80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84">
        <v>4620207491508</v>
      </c>
      <c r="E22" s="284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84">
        <v>4620207491256</v>
      </c>
      <c r="E23" s="284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284">
        <v>4620207491713</v>
      </c>
      <c r="E24" s="284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284">
        <v>4620207491720</v>
      </c>
      <c r="E25" s="284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284">
        <v>4607111035912</v>
      </c>
      <c r="E26" s="284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284">
        <v>4607111035929</v>
      </c>
      <c r="E27" s="284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284">
        <v>4607111035882</v>
      </c>
      <c r="E28" s="284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9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284">
        <v>4607111035905</v>
      </c>
      <c r="E29" s="284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2"/>
      <c r="P30" s="288" t="s">
        <v>40</v>
      </c>
      <c r="Q30" s="289"/>
      <c r="R30" s="289"/>
      <c r="S30" s="289"/>
      <c r="T30" s="289"/>
      <c r="U30" s="289"/>
      <c r="V30" s="29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2"/>
      <c r="P31" s="288" t="s">
        <v>40</v>
      </c>
      <c r="Q31" s="289"/>
      <c r="R31" s="289"/>
      <c r="S31" s="289"/>
      <c r="T31" s="289"/>
      <c r="U31" s="289"/>
      <c r="V31" s="29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4" t="s">
        <v>104</v>
      </c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62"/>
      <c r="AB32" s="62"/>
      <c r="AC32" s="62"/>
    </row>
    <row r="33" spans="1:68" ht="14.25" hidden="1" customHeight="1" x14ac:dyDescent="0.25">
      <c r="A33" s="302" t="s">
        <v>80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284">
        <v>4607111039019</v>
      </c>
      <c r="E34" s="284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8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284">
        <v>4607111038708</v>
      </c>
      <c r="E35" s="284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8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2"/>
      <c r="P36" s="288" t="s">
        <v>40</v>
      </c>
      <c r="Q36" s="289"/>
      <c r="R36" s="289"/>
      <c r="S36" s="289"/>
      <c r="T36" s="289"/>
      <c r="U36" s="289"/>
      <c r="V36" s="29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2"/>
      <c r="P37" s="288" t="s">
        <v>40</v>
      </c>
      <c r="Q37" s="289"/>
      <c r="R37" s="289"/>
      <c r="S37" s="289"/>
      <c r="T37" s="289"/>
      <c r="U37" s="289"/>
      <c r="V37" s="29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3" t="s">
        <v>45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52"/>
      <c r="AB38" s="52"/>
      <c r="AC38" s="52"/>
    </row>
    <row r="39" spans="1:68" ht="16.5" hidden="1" customHeight="1" x14ac:dyDescent="0.25">
      <c r="A39" s="314" t="s">
        <v>110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62"/>
      <c r="AB39" s="62"/>
      <c r="AC39" s="62"/>
    </row>
    <row r="40" spans="1:68" ht="14.25" hidden="1" customHeight="1" x14ac:dyDescent="0.25">
      <c r="A40" s="302" t="s">
        <v>111</v>
      </c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284">
        <v>4607111036537</v>
      </c>
      <c r="E41" s="284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284">
        <v>4607111036605</v>
      </c>
      <c r="E42" s="284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8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2"/>
      <c r="P43" s="288" t="s">
        <v>40</v>
      </c>
      <c r="Q43" s="289"/>
      <c r="R43" s="289"/>
      <c r="S43" s="289"/>
      <c r="T43" s="289"/>
      <c r="U43" s="289"/>
      <c r="V43" s="290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2"/>
      <c r="P44" s="288" t="s">
        <v>40</v>
      </c>
      <c r="Q44" s="289"/>
      <c r="R44" s="289"/>
      <c r="S44" s="289"/>
      <c r="T44" s="289"/>
      <c r="U44" s="289"/>
      <c r="V44" s="290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14" t="s">
        <v>121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62"/>
      <c r="AB45" s="62"/>
      <c r="AC45" s="62"/>
    </row>
    <row r="46" spans="1:68" ht="14.25" hidden="1" customHeight="1" x14ac:dyDescent="0.25">
      <c r="A46" s="302" t="s">
        <v>80</v>
      </c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284">
        <v>4620207490075</v>
      </c>
      <c r="E47" s="284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284">
        <v>4620207490174</v>
      </c>
      <c r="E48" s="284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2"/>
      <c r="P49" s="288" t="s">
        <v>40</v>
      </c>
      <c r="Q49" s="289"/>
      <c r="R49" s="289"/>
      <c r="S49" s="289"/>
      <c r="T49" s="289"/>
      <c r="U49" s="289"/>
      <c r="V49" s="290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2"/>
      <c r="P50" s="288" t="s">
        <v>40</v>
      </c>
      <c r="Q50" s="289"/>
      <c r="R50" s="289"/>
      <c r="S50" s="289"/>
      <c r="T50" s="289"/>
      <c r="U50" s="289"/>
      <c r="V50" s="290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14" t="s">
        <v>128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62"/>
      <c r="AB51" s="62"/>
      <c r="AC51" s="62"/>
    </row>
    <row r="52" spans="1:68" ht="14.25" hidden="1" customHeight="1" x14ac:dyDescent="0.25">
      <c r="A52" s="302" t="s">
        <v>80</v>
      </c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284">
        <v>4607111039385</v>
      </c>
      <c r="E53" s="284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284">
        <v>4607111038982</v>
      </c>
      <c r="E54" s="284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284">
        <v>4607111039354</v>
      </c>
      <c r="E55" s="284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284">
        <v>4607111039330</v>
      </c>
      <c r="E56" s="284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2"/>
      <c r="P57" s="288" t="s">
        <v>40</v>
      </c>
      <c r="Q57" s="289"/>
      <c r="R57" s="289"/>
      <c r="S57" s="289"/>
      <c r="T57" s="289"/>
      <c r="U57" s="289"/>
      <c r="V57" s="290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2"/>
      <c r="P58" s="288" t="s">
        <v>40</v>
      </c>
      <c r="Q58" s="289"/>
      <c r="R58" s="289"/>
      <c r="S58" s="289"/>
      <c r="T58" s="289"/>
      <c r="U58" s="289"/>
      <c r="V58" s="290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14" t="s">
        <v>139</v>
      </c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62"/>
      <c r="AB59" s="62"/>
      <c r="AC59" s="62"/>
    </row>
    <row r="60" spans="1:68" ht="14.25" hidden="1" customHeight="1" x14ac:dyDescent="0.25">
      <c r="A60" s="302" t="s">
        <v>111</v>
      </c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284">
        <v>4607111039712</v>
      </c>
      <c r="E61" s="284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2"/>
      <c r="P62" s="288" t="s">
        <v>40</v>
      </c>
      <c r="Q62" s="289"/>
      <c r="R62" s="289"/>
      <c r="S62" s="289"/>
      <c r="T62" s="289"/>
      <c r="U62" s="289"/>
      <c r="V62" s="29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2"/>
      <c r="P63" s="288" t="s">
        <v>40</v>
      </c>
      <c r="Q63" s="289"/>
      <c r="R63" s="289"/>
      <c r="S63" s="289"/>
      <c r="T63" s="289"/>
      <c r="U63" s="289"/>
      <c r="V63" s="29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02" t="s">
        <v>143</v>
      </c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4301136015</v>
      </c>
      <c r="D65" s="284">
        <v>4607111037398</v>
      </c>
      <c r="E65" s="284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2"/>
      <c r="P66" s="288" t="s">
        <v>40</v>
      </c>
      <c r="Q66" s="289"/>
      <c r="R66" s="289"/>
      <c r="S66" s="289"/>
      <c r="T66" s="289"/>
      <c r="U66" s="289"/>
      <c r="V66" s="290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2"/>
      <c r="P67" s="288" t="s">
        <v>40</v>
      </c>
      <c r="Q67" s="289"/>
      <c r="R67" s="289"/>
      <c r="S67" s="289"/>
      <c r="T67" s="289"/>
      <c r="U67" s="289"/>
      <c r="V67" s="290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02" t="s">
        <v>147</v>
      </c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63"/>
      <c r="AB68" s="63"/>
      <c r="AC68" s="63"/>
    </row>
    <row r="69" spans="1:68" ht="27" hidden="1" customHeight="1" x14ac:dyDescent="0.25">
      <c r="A69" s="60" t="s">
        <v>148</v>
      </c>
      <c r="B69" s="60" t="s">
        <v>149</v>
      </c>
      <c r="C69" s="34">
        <v>4301135664</v>
      </c>
      <c r="D69" s="284">
        <v>4607111039705</v>
      </c>
      <c r="E69" s="284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hidden="1" customHeight="1" x14ac:dyDescent="0.25">
      <c r="A70" s="60" t="s">
        <v>150</v>
      </c>
      <c r="B70" s="60" t="s">
        <v>151</v>
      </c>
      <c r="C70" s="34">
        <v>4301135665</v>
      </c>
      <c r="D70" s="284">
        <v>4607111039729</v>
      </c>
      <c r="E70" s="284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153</v>
      </c>
      <c r="B71" s="60" t="s">
        <v>154</v>
      </c>
      <c r="C71" s="34">
        <v>4301135702</v>
      </c>
      <c r="D71" s="284">
        <v>4620207490228</v>
      </c>
      <c r="E71" s="284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2"/>
      <c r="P72" s="288" t="s">
        <v>40</v>
      </c>
      <c r="Q72" s="289"/>
      <c r="R72" s="289"/>
      <c r="S72" s="289"/>
      <c r="T72" s="289"/>
      <c r="U72" s="289"/>
      <c r="V72" s="290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2"/>
      <c r="P73" s="288" t="s">
        <v>40</v>
      </c>
      <c r="Q73" s="289"/>
      <c r="R73" s="289"/>
      <c r="S73" s="289"/>
      <c r="T73" s="289"/>
      <c r="U73" s="289"/>
      <c r="V73" s="290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hidden="1" customHeight="1" x14ac:dyDescent="0.25">
      <c r="A74" s="314" t="s">
        <v>155</v>
      </c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62"/>
      <c r="AB74" s="62"/>
      <c r="AC74" s="62"/>
    </row>
    <row r="75" spans="1:68" ht="14.25" hidden="1" customHeight="1" x14ac:dyDescent="0.25">
      <c r="A75" s="302" t="s">
        <v>80</v>
      </c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63"/>
      <c r="AB75" s="63"/>
      <c r="AC75" s="63"/>
    </row>
    <row r="76" spans="1:68" ht="27" hidden="1" customHeight="1" x14ac:dyDescent="0.25">
      <c r="A76" s="60" t="s">
        <v>156</v>
      </c>
      <c r="B76" s="60" t="s">
        <v>157</v>
      </c>
      <c r="C76" s="34">
        <v>4301070977</v>
      </c>
      <c r="D76" s="284">
        <v>4607111037411</v>
      </c>
      <c r="E76" s="284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160</v>
      </c>
      <c r="B77" s="60" t="s">
        <v>161</v>
      </c>
      <c r="C77" s="34">
        <v>4301070981</v>
      </c>
      <c r="D77" s="284">
        <v>4607111036728</v>
      </c>
      <c r="E77" s="284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2"/>
      <c r="P78" s="288" t="s">
        <v>40</v>
      </c>
      <c r="Q78" s="289"/>
      <c r="R78" s="289"/>
      <c r="S78" s="289"/>
      <c r="T78" s="289"/>
      <c r="U78" s="289"/>
      <c r="V78" s="290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288" t="s">
        <v>40</v>
      </c>
      <c r="Q79" s="289"/>
      <c r="R79" s="289"/>
      <c r="S79" s="289"/>
      <c r="T79" s="289"/>
      <c r="U79" s="289"/>
      <c r="V79" s="290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hidden="1" customHeight="1" x14ac:dyDescent="0.25">
      <c r="A80" s="314" t="s">
        <v>162</v>
      </c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62"/>
      <c r="AB80" s="62"/>
      <c r="AC80" s="62"/>
    </row>
    <row r="81" spans="1:68" ht="14.25" hidden="1" customHeight="1" x14ac:dyDescent="0.25">
      <c r="A81" s="302" t="s">
        <v>147</v>
      </c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63"/>
      <c r="AB81" s="63"/>
      <c r="AC81" s="63"/>
    </row>
    <row r="82" spans="1:68" ht="27" hidden="1" customHeight="1" x14ac:dyDescent="0.25">
      <c r="A82" s="60" t="s">
        <v>163</v>
      </c>
      <c r="B82" s="60" t="s">
        <v>164</v>
      </c>
      <c r="C82" s="34">
        <v>4301135574</v>
      </c>
      <c r="D82" s="284">
        <v>4607111033659</v>
      </c>
      <c r="E82" s="284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idden="1" x14ac:dyDescent="0.2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2"/>
      <c r="P83" s="288" t="s">
        <v>40</v>
      </c>
      <c r="Q83" s="289"/>
      <c r="R83" s="289"/>
      <c r="S83" s="289"/>
      <c r="T83" s="289"/>
      <c r="U83" s="289"/>
      <c r="V83" s="290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hidden="1" x14ac:dyDescent="0.2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2"/>
      <c r="P84" s="288" t="s">
        <v>40</v>
      </c>
      <c r="Q84" s="289"/>
      <c r="R84" s="289"/>
      <c r="S84" s="289"/>
      <c r="T84" s="289"/>
      <c r="U84" s="289"/>
      <c r="V84" s="290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hidden="1" customHeight="1" x14ac:dyDescent="0.25">
      <c r="A85" s="314" t="s">
        <v>166</v>
      </c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62"/>
      <c r="AB85" s="62"/>
      <c r="AC85" s="62"/>
    </row>
    <row r="86" spans="1:68" ht="14.25" hidden="1" customHeight="1" x14ac:dyDescent="0.25">
      <c r="A86" s="302" t="s">
        <v>167</v>
      </c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63"/>
      <c r="AB86" s="63"/>
      <c r="AC86" s="63"/>
    </row>
    <row r="87" spans="1:68" ht="27" hidden="1" customHeight="1" x14ac:dyDescent="0.25">
      <c r="A87" s="60" t="s">
        <v>168</v>
      </c>
      <c r="B87" s="60" t="s">
        <v>169</v>
      </c>
      <c r="C87" s="34">
        <v>4301131047</v>
      </c>
      <c r="D87" s="284">
        <v>4607111034120</v>
      </c>
      <c r="E87" s="284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7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7" t="s">
        <v>46</v>
      </c>
      <c r="V87" s="37" t="s">
        <v>46</v>
      </c>
      <c r="W87" s="38" t="s">
        <v>39</v>
      </c>
      <c r="X87" s="56">
        <v>0</v>
      </c>
      <c r="Y87" s="53">
        <f>IFERROR(IF(X87="","",X87),"")</f>
        <v>0</v>
      </c>
      <c r="Z87" s="39">
        <f>IFERROR(IF(X87="","",X87*0.01788),"")</f>
        <v>0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0</v>
      </c>
      <c r="BN87" s="78">
        <f>IFERROR(Y87*I87,"0")</f>
        <v>0</v>
      </c>
      <c r="BO87" s="78">
        <f>IFERROR(X87/J87,"0")</f>
        <v>0</v>
      </c>
      <c r="BP87" s="78">
        <f>IFERROR(Y87/J87,"0")</f>
        <v>0</v>
      </c>
    </row>
    <row r="88" spans="1:68" ht="27" hidden="1" customHeight="1" x14ac:dyDescent="0.25">
      <c r="A88" s="60" t="s">
        <v>171</v>
      </c>
      <c r="B88" s="60" t="s">
        <v>172</v>
      </c>
      <c r="C88" s="34">
        <v>4301131046</v>
      </c>
      <c r="D88" s="284">
        <v>4607111034137</v>
      </c>
      <c r="E88" s="284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6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idden="1" x14ac:dyDescent="0.2">
      <c r="A89" s="291"/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2"/>
      <c r="P89" s="288" t="s">
        <v>40</v>
      </c>
      <c r="Q89" s="289"/>
      <c r="R89" s="289"/>
      <c r="S89" s="289"/>
      <c r="T89" s="289"/>
      <c r="U89" s="289"/>
      <c r="V89" s="290"/>
      <c r="W89" s="40" t="s">
        <v>39</v>
      </c>
      <c r="X89" s="41">
        <f>IFERROR(SUM(X87:X88),"0")</f>
        <v>0</v>
      </c>
      <c r="Y89" s="41">
        <f>IFERROR(SUM(Y87:Y88),"0")</f>
        <v>0</v>
      </c>
      <c r="Z89" s="41">
        <f>IFERROR(IF(Z87="",0,Z87),"0")+IFERROR(IF(Z88="",0,Z88),"0")</f>
        <v>0</v>
      </c>
      <c r="AA89" s="64"/>
      <c r="AB89" s="64"/>
      <c r="AC89" s="64"/>
    </row>
    <row r="90" spans="1:68" hidden="1" x14ac:dyDescent="0.2">
      <c r="A90" s="291"/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2"/>
      <c r="P90" s="288" t="s">
        <v>40</v>
      </c>
      <c r="Q90" s="289"/>
      <c r="R90" s="289"/>
      <c r="S90" s="289"/>
      <c r="T90" s="289"/>
      <c r="U90" s="289"/>
      <c r="V90" s="290"/>
      <c r="W90" s="40" t="s">
        <v>0</v>
      </c>
      <c r="X90" s="41">
        <f>IFERROR(SUMPRODUCT(X87:X88*H87:H88),"0")</f>
        <v>0</v>
      </c>
      <c r="Y90" s="41">
        <f>IFERROR(SUMPRODUCT(Y87:Y88*H87:H88),"0")</f>
        <v>0</v>
      </c>
      <c r="Z90" s="40"/>
      <c r="AA90" s="64"/>
      <c r="AB90" s="64"/>
      <c r="AC90" s="64"/>
    </row>
    <row r="91" spans="1:68" ht="16.5" hidden="1" customHeight="1" x14ac:dyDescent="0.25">
      <c r="A91" s="314" t="s">
        <v>174</v>
      </c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62"/>
      <c r="AB91" s="62"/>
      <c r="AC91" s="62"/>
    </row>
    <row r="92" spans="1:68" ht="14.25" hidden="1" customHeight="1" x14ac:dyDescent="0.25">
      <c r="A92" s="302" t="s">
        <v>147</v>
      </c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63"/>
      <c r="AB92" s="63"/>
      <c r="AC92" s="63"/>
    </row>
    <row r="93" spans="1:68" ht="27" customHeight="1" x14ac:dyDescent="0.25">
      <c r="A93" s="60" t="s">
        <v>175</v>
      </c>
      <c r="B93" s="60" t="s">
        <v>176</v>
      </c>
      <c r="C93" s="34">
        <v>4301135763</v>
      </c>
      <c r="D93" s="284">
        <v>4620207491027</v>
      </c>
      <c r="E93" s="284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6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7" t="s">
        <v>46</v>
      </c>
      <c r="V93" s="37" t="s">
        <v>46</v>
      </c>
      <c r="W93" s="38" t="s">
        <v>39</v>
      </c>
      <c r="X93" s="56">
        <v>140</v>
      </c>
      <c r="Y93" s="53">
        <f t="shared" ref="Y93:Y98" si="6">IFERROR(IF(X93="","",X93),"")</f>
        <v>140</v>
      </c>
      <c r="Z93" s="39">
        <f t="shared" ref="Z93:Z98" si="7">IFERROR(IF(X93="","",X93*0.01788),"")</f>
        <v>2.5032000000000001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501.70400000000001</v>
      </c>
      <c r="BN93" s="78">
        <f t="shared" ref="BN93:BN98" si="9">IFERROR(Y93*I93,"0")</f>
        <v>501.70400000000001</v>
      </c>
      <c r="BO93" s="78">
        <f t="shared" ref="BO93:BO98" si="10">IFERROR(X93/J93,"0")</f>
        <v>2</v>
      </c>
      <c r="BP93" s="78">
        <f t="shared" ref="BP93:BP98" si="11">IFERROR(Y93/J93,"0")</f>
        <v>2</v>
      </c>
    </row>
    <row r="94" spans="1:68" ht="27" hidden="1" customHeight="1" x14ac:dyDescent="0.25">
      <c r="A94" s="60" t="s">
        <v>177</v>
      </c>
      <c r="B94" s="60" t="s">
        <v>178</v>
      </c>
      <c r="C94" s="34">
        <v>4301135914</v>
      </c>
      <c r="D94" s="284">
        <v>4620207491621</v>
      </c>
      <c r="E94" s="284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6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hidden="1" customHeight="1" x14ac:dyDescent="0.25">
      <c r="A95" s="60" t="s">
        <v>180</v>
      </c>
      <c r="B95" s="60" t="s">
        <v>181</v>
      </c>
      <c r="C95" s="34">
        <v>4301135990</v>
      </c>
      <c r="D95" s="284">
        <v>4620207491881</v>
      </c>
      <c r="E95" s="284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6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hidden="1" customHeight="1" x14ac:dyDescent="0.25">
      <c r="A96" s="60" t="s">
        <v>182</v>
      </c>
      <c r="B96" s="60" t="s">
        <v>183</v>
      </c>
      <c r="C96" s="34">
        <v>4301135920</v>
      </c>
      <c r="D96" s="284">
        <v>4620207491577</v>
      </c>
      <c r="E96" s="284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6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hidden="1" customHeight="1" x14ac:dyDescent="0.25">
      <c r="A97" s="60" t="s">
        <v>184</v>
      </c>
      <c r="B97" s="60" t="s">
        <v>185</v>
      </c>
      <c r="C97" s="34">
        <v>4301135984</v>
      </c>
      <c r="D97" s="284">
        <v>4620207491874</v>
      </c>
      <c r="E97" s="284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6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4301135285</v>
      </c>
      <c r="D98" s="284">
        <v>4607111036407</v>
      </c>
      <c r="E98" s="284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6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291"/>
      <c r="B99" s="291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2"/>
      <c r="P99" s="288" t="s">
        <v>40</v>
      </c>
      <c r="Q99" s="289"/>
      <c r="R99" s="289"/>
      <c r="S99" s="289"/>
      <c r="T99" s="289"/>
      <c r="U99" s="289"/>
      <c r="V99" s="290"/>
      <c r="W99" s="40" t="s">
        <v>39</v>
      </c>
      <c r="X99" s="41">
        <f>IFERROR(SUM(X93:X98),"0")</f>
        <v>140</v>
      </c>
      <c r="Y99" s="41">
        <f>IFERROR(SUM(Y93:Y98),"0")</f>
        <v>140</v>
      </c>
      <c r="Z99" s="41">
        <f>IFERROR(IF(Z93="",0,Z93),"0")+IFERROR(IF(Z94="",0,Z94),"0")+IFERROR(IF(Z95="",0,Z95),"0")+IFERROR(IF(Z96="",0,Z96),"0")+IFERROR(IF(Z97="",0,Z97),"0")+IFERROR(IF(Z98="",0,Z98),"0")</f>
        <v>2.5032000000000001</v>
      </c>
      <c r="AA99" s="64"/>
      <c r="AB99" s="64"/>
      <c r="AC99" s="64"/>
    </row>
    <row r="100" spans="1:68" x14ac:dyDescent="0.2">
      <c r="A100" s="291"/>
      <c r="B100" s="291"/>
      <c r="C100" s="291"/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292"/>
      <c r="P100" s="288" t="s">
        <v>40</v>
      </c>
      <c r="Q100" s="289"/>
      <c r="R100" s="289"/>
      <c r="S100" s="289"/>
      <c r="T100" s="289"/>
      <c r="U100" s="289"/>
      <c r="V100" s="290"/>
      <c r="W100" s="40" t="s">
        <v>0</v>
      </c>
      <c r="X100" s="41">
        <f>IFERROR(SUMPRODUCT(X93:X98*H93:H98),"0")</f>
        <v>403.2</v>
      </c>
      <c r="Y100" s="41">
        <f>IFERROR(SUMPRODUCT(Y93:Y98*H93:H98),"0")</f>
        <v>403.2</v>
      </c>
      <c r="Z100" s="40"/>
      <c r="AA100" s="64"/>
      <c r="AB100" s="64"/>
      <c r="AC100" s="64"/>
    </row>
    <row r="101" spans="1:68" ht="16.5" hidden="1" customHeight="1" x14ac:dyDescent="0.25">
      <c r="A101" s="314" t="s">
        <v>189</v>
      </c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62"/>
      <c r="AB101" s="62"/>
      <c r="AC101" s="62"/>
    </row>
    <row r="102" spans="1:68" ht="14.25" hidden="1" customHeight="1" x14ac:dyDescent="0.25">
      <c r="A102" s="302" t="s">
        <v>143</v>
      </c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63"/>
      <c r="AB102" s="63"/>
      <c r="AC102" s="63"/>
    </row>
    <row r="103" spans="1:68" ht="27" hidden="1" customHeight="1" x14ac:dyDescent="0.25">
      <c r="A103" s="60" t="s">
        <v>190</v>
      </c>
      <c r="B103" s="60" t="s">
        <v>191</v>
      </c>
      <c r="C103" s="34">
        <v>4301136101</v>
      </c>
      <c r="D103" s="284">
        <v>4620207491652</v>
      </c>
      <c r="E103" s="284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6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hidden="1" customHeight="1" x14ac:dyDescent="0.25">
      <c r="A104" s="60" t="s">
        <v>193</v>
      </c>
      <c r="B104" s="60" t="s">
        <v>194</v>
      </c>
      <c r="C104" s="34">
        <v>4301136103</v>
      </c>
      <c r="D104" s="284">
        <v>4620207491645</v>
      </c>
      <c r="E104" s="284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6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idden="1" x14ac:dyDescent="0.2">
      <c r="A105" s="291"/>
      <c r="B105" s="291"/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2"/>
      <c r="P105" s="288" t="s">
        <v>40</v>
      </c>
      <c r="Q105" s="289"/>
      <c r="R105" s="289"/>
      <c r="S105" s="289"/>
      <c r="T105" s="289"/>
      <c r="U105" s="289"/>
      <c r="V105" s="290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hidden="1" x14ac:dyDescent="0.2">
      <c r="A106" s="291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2"/>
      <c r="P106" s="288" t="s">
        <v>40</v>
      </c>
      <c r="Q106" s="289"/>
      <c r="R106" s="289"/>
      <c r="S106" s="289"/>
      <c r="T106" s="289"/>
      <c r="U106" s="289"/>
      <c r="V106" s="290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14" t="s">
        <v>195</v>
      </c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62"/>
      <c r="AB107" s="62"/>
      <c r="AC107" s="62"/>
    </row>
    <row r="108" spans="1:68" ht="14.25" hidden="1" customHeight="1" x14ac:dyDescent="0.25">
      <c r="A108" s="302" t="s">
        <v>80</v>
      </c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63"/>
      <c r="AB108" s="63"/>
      <c r="AC108" s="63"/>
    </row>
    <row r="109" spans="1:68" ht="27" hidden="1" customHeight="1" x14ac:dyDescent="0.25">
      <c r="A109" s="60" t="s">
        <v>196</v>
      </c>
      <c r="B109" s="60" t="s">
        <v>197</v>
      </c>
      <c r="C109" s="34">
        <v>4301071074</v>
      </c>
      <c r="D109" s="284">
        <v>4620207491157</v>
      </c>
      <c r="E109" s="284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5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7" t="s">
        <v>46</v>
      </c>
      <c r="V109" s="37" t="s">
        <v>46</v>
      </c>
      <c r="W109" s="38" t="s">
        <v>39</v>
      </c>
      <c r="X109" s="56">
        <v>0</v>
      </c>
      <c r="Y109" s="53">
        <f t="shared" ref="Y109:Y115" si="12">IFERROR(IF(X109="","",X109),"")</f>
        <v>0</v>
      </c>
      <c r="Z109" s="39">
        <f t="shared" ref="Z109:Z115" si="13">IFERROR(IF(X109="","",X109*0.0155),"")</f>
        <v>0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0</v>
      </c>
      <c r="BN109" s="78">
        <f t="shared" ref="BN109:BN115" si="15">IFERROR(Y109*I109,"0")</f>
        <v>0</v>
      </c>
      <c r="BO109" s="78">
        <f t="shared" ref="BO109:BO115" si="16">IFERROR(X109/J109,"0")</f>
        <v>0</v>
      </c>
      <c r="BP109" s="78">
        <f t="shared" ref="BP109:BP115" si="17">IFERROR(Y109/J109,"0")</f>
        <v>0</v>
      </c>
    </row>
    <row r="110" spans="1:68" ht="27" hidden="1" customHeight="1" x14ac:dyDescent="0.25">
      <c r="A110" s="60" t="s">
        <v>199</v>
      </c>
      <c r="B110" s="60" t="s">
        <v>200</v>
      </c>
      <c r="C110" s="34">
        <v>4301071121</v>
      </c>
      <c r="D110" s="284">
        <v>4620207491393</v>
      </c>
      <c r="E110" s="284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6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hidden="1" customHeight="1" x14ac:dyDescent="0.25">
      <c r="A111" s="60" t="s">
        <v>202</v>
      </c>
      <c r="B111" s="60" t="s">
        <v>203</v>
      </c>
      <c r="C111" s="34">
        <v>4301071051</v>
      </c>
      <c r="D111" s="284">
        <v>4607111039262</v>
      </c>
      <c r="E111" s="284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5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4301071038</v>
      </c>
      <c r="D112" s="284">
        <v>4607111039248</v>
      </c>
      <c r="E112" s="284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4301070979</v>
      </c>
      <c r="D113" s="284">
        <v>4607111037145</v>
      </c>
      <c r="E113" s="284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209</v>
      </c>
      <c r="B114" s="60" t="s">
        <v>210</v>
      </c>
      <c r="C114" s="34">
        <v>4301071049</v>
      </c>
      <c r="D114" s="284">
        <v>4607111039293</v>
      </c>
      <c r="E114" s="284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35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211</v>
      </c>
      <c r="B115" s="60" t="s">
        <v>212</v>
      </c>
      <c r="C115" s="34">
        <v>4301071039</v>
      </c>
      <c r="D115" s="284">
        <v>4607111039279</v>
      </c>
      <c r="E115" s="284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3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idden="1" x14ac:dyDescent="0.2">
      <c r="A116" s="291"/>
      <c r="B116" s="291"/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92"/>
      <c r="P116" s="288" t="s">
        <v>40</v>
      </c>
      <c r="Q116" s="289"/>
      <c r="R116" s="289"/>
      <c r="S116" s="289"/>
      <c r="T116" s="289"/>
      <c r="U116" s="289"/>
      <c r="V116" s="290"/>
      <c r="W116" s="40" t="s">
        <v>39</v>
      </c>
      <c r="X116" s="41">
        <f>IFERROR(SUM(X109:X115),"0")</f>
        <v>0</v>
      </c>
      <c r="Y116" s="41">
        <f>IFERROR(SUM(Y109:Y115),"0")</f>
        <v>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291"/>
      <c r="B117" s="291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2"/>
      <c r="P117" s="288" t="s">
        <v>40</v>
      </c>
      <c r="Q117" s="289"/>
      <c r="R117" s="289"/>
      <c r="S117" s="289"/>
      <c r="T117" s="289"/>
      <c r="U117" s="289"/>
      <c r="V117" s="290"/>
      <c r="W117" s="40" t="s">
        <v>0</v>
      </c>
      <c r="X117" s="41">
        <f>IFERROR(SUMPRODUCT(X109:X115*H109:H115),"0")</f>
        <v>0</v>
      </c>
      <c r="Y117" s="41">
        <f>IFERROR(SUMPRODUCT(Y109:Y115*H109:H115),"0")</f>
        <v>0</v>
      </c>
      <c r="Z117" s="40"/>
      <c r="AA117" s="64"/>
      <c r="AB117" s="64"/>
      <c r="AC117" s="64"/>
    </row>
    <row r="118" spans="1:68" ht="14.25" hidden="1" customHeight="1" x14ac:dyDescent="0.25">
      <c r="A118" s="302" t="s">
        <v>147</v>
      </c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63"/>
      <c r="AB118" s="63"/>
      <c r="AC118" s="63"/>
    </row>
    <row r="119" spans="1:68" ht="27" hidden="1" customHeight="1" x14ac:dyDescent="0.25">
      <c r="A119" s="60" t="s">
        <v>213</v>
      </c>
      <c r="B119" s="60" t="s">
        <v>214</v>
      </c>
      <c r="C119" s="34">
        <v>4301135826</v>
      </c>
      <c r="D119" s="284">
        <v>4620207490983</v>
      </c>
      <c r="E119" s="284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7" t="s">
        <v>46</v>
      </c>
      <c r="V119" s="37" t="s">
        <v>46</v>
      </c>
      <c r="W119" s="38" t="s">
        <v>39</v>
      </c>
      <c r="X119" s="56">
        <v>0</v>
      </c>
      <c r="Y119" s="53">
        <f>IFERROR(IF(X119="","",X119),"")</f>
        <v>0</v>
      </c>
      <c r="Z119" s="39">
        <f>IFERROR(IF(X119="","",X119*0.01788),"")</f>
        <v>0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0</v>
      </c>
      <c r="BN119" s="78">
        <f>IFERROR(Y119*I119,"0")</f>
        <v>0</v>
      </c>
      <c r="BO119" s="78">
        <f>IFERROR(X119/J119,"0")</f>
        <v>0</v>
      </c>
      <c r="BP119" s="78">
        <f>IFERROR(Y119/J119,"0")</f>
        <v>0</v>
      </c>
    </row>
    <row r="120" spans="1:68" hidden="1" x14ac:dyDescent="0.2">
      <c r="A120" s="291"/>
      <c r="B120" s="291"/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2"/>
      <c r="P120" s="288" t="s">
        <v>40</v>
      </c>
      <c r="Q120" s="289"/>
      <c r="R120" s="289"/>
      <c r="S120" s="289"/>
      <c r="T120" s="289"/>
      <c r="U120" s="289"/>
      <c r="V120" s="290"/>
      <c r="W120" s="40" t="s">
        <v>39</v>
      </c>
      <c r="X120" s="41">
        <f>IFERROR(SUM(X119:X119),"0")</f>
        <v>0</v>
      </c>
      <c r="Y120" s="41">
        <f>IFERROR(SUM(Y119:Y119),"0")</f>
        <v>0</v>
      </c>
      <c r="Z120" s="41">
        <f>IFERROR(IF(Z119="",0,Z119),"0")</f>
        <v>0</v>
      </c>
      <c r="AA120" s="64"/>
      <c r="AB120" s="64"/>
      <c r="AC120" s="64"/>
    </row>
    <row r="121" spans="1:68" hidden="1" x14ac:dyDescent="0.2">
      <c r="A121" s="291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2"/>
      <c r="P121" s="288" t="s">
        <v>40</v>
      </c>
      <c r="Q121" s="289"/>
      <c r="R121" s="289"/>
      <c r="S121" s="289"/>
      <c r="T121" s="289"/>
      <c r="U121" s="289"/>
      <c r="V121" s="290"/>
      <c r="W121" s="40" t="s">
        <v>0</v>
      </c>
      <c r="X121" s="41">
        <f>IFERROR(SUMPRODUCT(X119:X119*H119:H119),"0")</f>
        <v>0</v>
      </c>
      <c r="Y121" s="41">
        <f>IFERROR(SUMPRODUCT(Y119:Y119*H119:H119),"0")</f>
        <v>0</v>
      </c>
      <c r="Z121" s="40"/>
      <c r="AA121" s="64"/>
      <c r="AB121" s="64"/>
      <c r="AC121" s="64"/>
    </row>
    <row r="122" spans="1:68" ht="14.25" hidden="1" customHeight="1" x14ac:dyDescent="0.25">
      <c r="A122" s="302" t="s">
        <v>216</v>
      </c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63"/>
      <c r="AB122" s="63"/>
      <c r="AC122" s="63"/>
    </row>
    <row r="123" spans="1:68" ht="27" hidden="1" customHeight="1" x14ac:dyDescent="0.25">
      <c r="A123" s="60" t="s">
        <v>217</v>
      </c>
      <c r="B123" s="60" t="s">
        <v>218</v>
      </c>
      <c r="C123" s="34">
        <v>4301071094</v>
      </c>
      <c r="D123" s="284">
        <v>4620207491140</v>
      </c>
      <c r="E123" s="284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3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291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2"/>
      <c r="P124" s="288" t="s">
        <v>40</v>
      </c>
      <c r="Q124" s="289"/>
      <c r="R124" s="289"/>
      <c r="S124" s="289"/>
      <c r="T124" s="289"/>
      <c r="U124" s="289"/>
      <c r="V124" s="290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291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2"/>
      <c r="P125" s="288" t="s">
        <v>40</v>
      </c>
      <c r="Q125" s="289"/>
      <c r="R125" s="289"/>
      <c r="S125" s="289"/>
      <c r="T125" s="289"/>
      <c r="U125" s="289"/>
      <c r="V125" s="290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hidden="1" customHeight="1" x14ac:dyDescent="0.25">
      <c r="A126" s="314" t="s">
        <v>220</v>
      </c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62"/>
      <c r="AB126" s="62"/>
      <c r="AC126" s="62"/>
    </row>
    <row r="127" spans="1:68" ht="14.25" hidden="1" customHeight="1" x14ac:dyDescent="0.25">
      <c r="A127" s="302" t="s">
        <v>147</v>
      </c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63"/>
      <c r="AB127" s="63"/>
      <c r="AC127" s="63"/>
    </row>
    <row r="128" spans="1:68" ht="27" hidden="1" customHeight="1" x14ac:dyDescent="0.25">
      <c r="A128" s="60" t="s">
        <v>221</v>
      </c>
      <c r="B128" s="60" t="s">
        <v>222</v>
      </c>
      <c r="C128" s="34">
        <v>4301135848</v>
      </c>
      <c r="D128" s="284">
        <v>4620207491799</v>
      </c>
      <c r="E128" s="284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customHeight="1" x14ac:dyDescent="0.25">
      <c r="A129" s="60" t="s">
        <v>224</v>
      </c>
      <c r="B129" s="60" t="s">
        <v>225</v>
      </c>
      <c r="C129" s="34">
        <v>4301135850</v>
      </c>
      <c r="D129" s="284">
        <v>4620207491492</v>
      </c>
      <c r="E129" s="284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3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7" t="s">
        <v>46</v>
      </c>
      <c r="V129" s="37" t="s">
        <v>46</v>
      </c>
      <c r="W129" s="38" t="s">
        <v>39</v>
      </c>
      <c r="X129" s="56">
        <v>42</v>
      </c>
      <c r="Y129" s="53">
        <f>IFERROR(IF(X129="","",X129),"")</f>
        <v>42</v>
      </c>
      <c r="Z129" s="39">
        <f>IFERROR(IF(X129="","",X129*0.00941),"")</f>
        <v>0.39522000000000002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75.600000000000009</v>
      </c>
      <c r="BN129" s="78">
        <f>IFERROR(Y129*I129,"0")</f>
        <v>75.600000000000009</v>
      </c>
      <c r="BO129" s="78">
        <f>IFERROR(X129/J129,"0")</f>
        <v>0.3</v>
      </c>
      <c r="BP129" s="78">
        <f>IFERROR(Y129/J129,"0")</f>
        <v>0.3</v>
      </c>
    </row>
    <row r="130" spans="1:68" ht="27" customHeight="1" x14ac:dyDescent="0.25">
      <c r="A130" s="60" t="s">
        <v>226</v>
      </c>
      <c r="B130" s="60" t="s">
        <v>227</v>
      </c>
      <c r="C130" s="34">
        <v>4301190118</v>
      </c>
      <c r="D130" s="284">
        <v>4620207491461</v>
      </c>
      <c r="E130" s="284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7" t="s">
        <v>46</v>
      </c>
      <c r="V130" s="37" t="s">
        <v>46</v>
      </c>
      <c r="W130" s="38" t="s">
        <v>39</v>
      </c>
      <c r="X130" s="56">
        <v>42</v>
      </c>
      <c r="Y130" s="53">
        <f>IFERROR(IF(X130="","",X130),"")</f>
        <v>42</v>
      </c>
      <c r="Z130" s="39">
        <f>IFERROR(IF(X130="","",X130*0.00941),"")</f>
        <v>0.39522000000000002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73.08</v>
      </c>
      <c r="BN130" s="78">
        <f>IFERROR(Y130*I130,"0")</f>
        <v>73.08</v>
      </c>
      <c r="BO130" s="78">
        <f>IFERROR(X130/J130,"0")</f>
        <v>0.3</v>
      </c>
      <c r="BP130" s="78">
        <f>IFERROR(Y130/J130,"0")</f>
        <v>0.3</v>
      </c>
    </row>
    <row r="131" spans="1:68" ht="27" customHeight="1" x14ac:dyDescent="0.25">
      <c r="A131" s="60" t="s">
        <v>228</v>
      </c>
      <c r="B131" s="60" t="s">
        <v>229</v>
      </c>
      <c r="C131" s="34">
        <v>4301135865</v>
      </c>
      <c r="D131" s="284">
        <v>4620207491485</v>
      </c>
      <c r="E131" s="284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7" t="s">
        <v>46</v>
      </c>
      <c r="V131" s="37" t="s">
        <v>46</v>
      </c>
      <c r="W131" s="38" t="s">
        <v>39</v>
      </c>
      <c r="X131" s="56">
        <v>56</v>
      </c>
      <c r="Y131" s="53">
        <f>IFERROR(IF(X131="","",X131),"")</f>
        <v>56</v>
      </c>
      <c r="Z131" s="39">
        <f>IFERROR(IF(X131="","",X131*0.00941),"")</f>
        <v>0.52695999999999998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100.8</v>
      </c>
      <c r="BN131" s="78">
        <f>IFERROR(Y131*I131,"0")</f>
        <v>100.8</v>
      </c>
      <c r="BO131" s="78">
        <f>IFERROR(X131/J131,"0")</f>
        <v>0.4</v>
      </c>
      <c r="BP131" s="78">
        <f>IFERROR(Y131/J131,"0")</f>
        <v>0.4</v>
      </c>
    </row>
    <row r="132" spans="1:68" x14ac:dyDescent="0.2">
      <c r="A132" s="291"/>
      <c r="B132" s="291"/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  <c r="O132" s="292"/>
      <c r="P132" s="288" t="s">
        <v>40</v>
      </c>
      <c r="Q132" s="289"/>
      <c r="R132" s="289"/>
      <c r="S132" s="289"/>
      <c r="T132" s="289"/>
      <c r="U132" s="289"/>
      <c r="V132" s="290"/>
      <c r="W132" s="40" t="s">
        <v>39</v>
      </c>
      <c r="X132" s="41">
        <f>IFERROR(SUM(X128:X131),"0")</f>
        <v>140</v>
      </c>
      <c r="Y132" s="41">
        <f>IFERROR(SUM(Y128:Y131),"0")</f>
        <v>140</v>
      </c>
      <c r="Z132" s="41">
        <f>IFERROR(IF(Z128="",0,Z128),"0")+IFERROR(IF(Z129="",0,Z129),"0")+IFERROR(IF(Z130="",0,Z130),"0")+IFERROR(IF(Z131="",0,Z131),"0")</f>
        <v>1.3174000000000001</v>
      </c>
      <c r="AA132" s="64"/>
      <c r="AB132" s="64"/>
      <c r="AC132" s="64"/>
    </row>
    <row r="133" spans="1:68" x14ac:dyDescent="0.2">
      <c r="A133" s="291"/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2"/>
      <c r="P133" s="288" t="s">
        <v>40</v>
      </c>
      <c r="Q133" s="289"/>
      <c r="R133" s="289"/>
      <c r="S133" s="289"/>
      <c r="T133" s="289"/>
      <c r="U133" s="289"/>
      <c r="V133" s="290"/>
      <c r="W133" s="40" t="s">
        <v>0</v>
      </c>
      <c r="X133" s="41">
        <f>IFERROR(SUMPRODUCT(X128:X131*H128:H131),"0")</f>
        <v>190.68</v>
      </c>
      <c r="Y133" s="41">
        <f>IFERROR(SUMPRODUCT(Y128:Y131*H128:H131),"0")</f>
        <v>190.68</v>
      </c>
      <c r="Z133" s="40"/>
      <c r="AA133" s="64"/>
      <c r="AB133" s="64"/>
      <c r="AC133" s="64"/>
    </row>
    <row r="134" spans="1:68" ht="14.25" hidden="1" customHeight="1" x14ac:dyDescent="0.25">
      <c r="A134" s="302" t="s">
        <v>230</v>
      </c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63"/>
      <c r="AB134" s="63"/>
      <c r="AC134" s="63"/>
    </row>
    <row r="135" spans="1:68" ht="27" hidden="1" customHeight="1" x14ac:dyDescent="0.25">
      <c r="A135" s="60" t="s">
        <v>231</v>
      </c>
      <c r="B135" s="60" t="s">
        <v>232</v>
      </c>
      <c r="C135" s="34">
        <v>4301190117</v>
      </c>
      <c r="D135" s="284">
        <v>4620207491386</v>
      </c>
      <c r="E135" s="284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234</v>
      </c>
      <c r="B136" s="60" t="s">
        <v>235</v>
      </c>
      <c r="C136" s="34">
        <v>4301190115</v>
      </c>
      <c r="D136" s="284">
        <v>4620207491362</v>
      </c>
      <c r="E136" s="284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236</v>
      </c>
      <c r="B137" s="60" t="s">
        <v>237</v>
      </c>
      <c r="C137" s="34">
        <v>4301190116</v>
      </c>
      <c r="D137" s="284">
        <v>4620207491379</v>
      </c>
      <c r="E137" s="284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34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291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2"/>
      <c r="P138" s="288" t="s">
        <v>40</v>
      </c>
      <c r="Q138" s="289"/>
      <c r="R138" s="289"/>
      <c r="S138" s="289"/>
      <c r="T138" s="289"/>
      <c r="U138" s="289"/>
      <c r="V138" s="290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291"/>
      <c r="B139" s="291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92"/>
      <c r="P139" s="288" t="s">
        <v>40</v>
      </c>
      <c r="Q139" s="289"/>
      <c r="R139" s="289"/>
      <c r="S139" s="289"/>
      <c r="T139" s="289"/>
      <c r="U139" s="289"/>
      <c r="V139" s="290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hidden="1" customHeight="1" x14ac:dyDescent="0.25">
      <c r="A140" s="314" t="s">
        <v>238</v>
      </c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62"/>
      <c r="AB140" s="62"/>
      <c r="AC140" s="62"/>
    </row>
    <row r="141" spans="1:68" ht="14.25" hidden="1" customHeight="1" x14ac:dyDescent="0.25">
      <c r="A141" s="302" t="s">
        <v>147</v>
      </c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63"/>
      <c r="AB141" s="63"/>
      <c r="AC141" s="63"/>
    </row>
    <row r="142" spans="1:68" ht="27" customHeight="1" x14ac:dyDescent="0.25">
      <c r="A142" s="60" t="s">
        <v>239</v>
      </c>
      <c r="B142" s="60" t="s">
        <v>240</v>
      </c>
      <c r="C142" s="34">
        <v>4301135555</v>
      </c>
      <c r="D142" s="284">
        <v>4607111034014</v>
      </c>
      <c r="E142" s="284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7" t="s">
        <v>46</v>
      </c>
      <c r="V142" s="37" t="s">
        <v>46</v>
      </c>
      <c r="W142" s="38" t="s">
        <v>39</v>
      </c>
      <c r="X142" s="56">
        <v>70</v>
      </c>
      <c r="Y142" s="53">
        <f>IFERROR(IF(X142="","",X142),"")</f>
        <v>70</v>
      </c>
      <c r="Z142" s="39">
        <f>IFERROR(IF(X142="","",X142*0.01788),"")</f>
        <v>1.2516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259.25200000000001</v>
      </c>
      <c r="BN142" s="78">
        <f>IFERROR(Y142*I142,"0")</f>
        <v>259.25200000000001</v>
      </c>
      <c r="BO142" s="78">
        <f>IFERROR(X142/J142,"0")</f>
        <v>1</v>
      </c>
      <c r="BP142" s="78">
        <f>IFERROR(Y142/J142,"0")</f>
        <v>1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284">
        <v>4607111033994</v>
      </c>
      <c r="E143" s="284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3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7" t="s">
        <v>46</v>
      </c>
      <c r="V143" s="37" t="s">
        <v>46</v>
      </c>
      <c r="W143" s="38" t="s">
        <v>39</v>
      </c>
      <c r="X143" s="56">
        <v>140</v>
      </c>
      <c r="Y143" s="53">
        <f>IFERROR(IF(X143="","",X143),"")</f>
        <v>140</v>
      </c>
      <c r="Z143" s="39">
        <f>IFERROR(IF(X143="","",X143*0.01788),"")</f>
        <v>2.5032000000000001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518.50400000000002</v>
      </c>
      <c r="BN143" s="78">
        <f>IFERROR(Y143*I143,"0")</f>
        <v>518.50400000000002</v>
      </c>
      <c r="BO143" s="78">
        <f>IFERROR(X143/J143,"0")</f>
        <v>2</v>
      </c>
      <c r="BP143" s="78">
        <f>IFERROR(Y143/J143,"0")</f>
        <v>2</v>
      </c>
    </row>
    <row r="144" spans="1:68" x14ac:dyDescent="0.2">
      <c r="A144" s="291"/>
      <c r="B144" s="291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92"/>
      <c r="P144" s="288" t="s">
        <v>40</v>
      </c>
      <c r="Q144" s="289"/>
      <c r="R144" s="289"/>
      <c r="S144" s="289"/>
      <c r="T144" s="289"/>
      <c r="U144" s="289"/>
      <c r="V144" s="290"/>
      <c r="W144" s="40" t="s">
        <v>39</v>
      </c>
      <c r="X144" s="41">
        <f>IFERROR(SUM(X142:X143),"0")</f>
        <v>210</v>
      </c>
      <c r="Y144" s="41">
        <f>IFERROR(SUM(Y142:Y143),"0")</f>
        <v>210</v>
      </c>
      <c r="Z144" s="41">
        <f>IFERROR(IF(Z142="",0,Z142),"0")+IFERROR(IF(Z143="",0,Z143),"0")</f>
        <v>3.7548000000000004</v>
      </c>
      <c r="AA144" s="64"/>
      <c r="AB144" s="64"/>
      <c r="AC144" s="64"/>
    </row>
    <row r="145" spans="1:68" x14ac:dyDescent="0.2">
      <c r="A145" s="291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2"/>
      <c r="P145" s="288" t="s">
        <v>40</v>
      </c>
      <c r="Q145" s="289"/>
      <c r="R145" s="289"/>
      <c r="S145" s="289"/>
      <c r="T145" s="289"/>
      <c r="U145" s="289"/>
      <c r="V145" s="290"/>
      <c r="W145" s="40" t="s">
        <v>0</v>
      </c>
      <c r="X145" s="41">
        <f>IFERROR(SUMPRODUCT(X142:X143*H142:H143),"0")</f>
        <v>630</v>
      </c>
      <c r="Y145" s="41">
        <f>IFERROR(SUMPRODUCT(Y142:Y143*H142:H143),"0")</f>
        <v>630</v>
      </c>
      <c r="Z145" s="40"/>
      <c r="AA145" s="64"/>
      <c r="AB145" s="64"/>
      <c r="AC145" s="64"/>
    </row>
    <row r="146" spans="1:68" ht="16.5" hidden="1" customHeight="1" x14ac:dyDescent="0.25">
      <c r="A146" s="314" t="s">
        <v>244</v>
      </c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  <c r="AA146" s="62"/>
      <c r="AB146" s="62"/>
      <c r="AC146" s="62"/>
    </row>
    <row r="147" spans="1:68" ht="14.25" hidden="1" customHeight="1" x14ac:dyDescent="0.25">
      <c r="A147" s="302" t="s">
        <v>147</v>
      </c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63"/>
      <c r="AB147" s="63"/>
      <c r="AC147" s="63"/>
    </row>
    <row r="148" spans="1:68" ht="27" hidden="1" customHeight="1" x14ac:dyDescent="0.25">
      <c r="A148" s="60" t="s">
        <v>245</v>
      </c>
      <c r="B148" s="60" t="s">
        <v>246</v>
      </c>
      <c r="C148" s="34">
        <v>4301135824</v>
      </c>
      <c r="D148" s="284">
        <v>4607111039095</v>
      </c>
      <c r="E148" s="284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248</v>
      </c>
      <c r="B149" s="60" t="s">
        <v>249</v>
      </c>
      <c r="C149" s="34">
        <v>4301135954</v>
      </c>
      <c r="D149" s="284">
        <v>4620207491768</v>
      </c>
      <c r="E149" s="284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34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hidden="1" customHeight="1" x14ac:dyDescent="0.25">
      <c r="A150" s="60" t="s">
        <v>251</v>
      </c>
      <c r="B150" s="60" t="s">
        <v>252</v>
      </c>
      <c r="C150" s="34">
        <v>4301135946</v>
      </c>
      <c r="D150" s="284">
        <v>4620207491553</v>
      </c>
      <c r="E150" s="284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34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hidden="1" x14ac:dyDescent="0.2">
      <c r="A151" s="291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2"/>
      <c r="P151" s="288" t="s">
        <v>40</v>
      </c>
      <c r="Q151" s="289"/>
      <c r="R151" s="289"/>
      <c r="S151" s="289"/>
      <c r="T151" s="289"/>
      <c r="U151" s="289"/>
      <c r="V151" s="290"/>
      <c r="W151" s="40" t="s">
        <v>39</v>
      </c>
      <c r="X151" s="41">
        <f>IFERROR(SUM(X148:X150),"0")</f>
        <v>0</v>
      </c>
      <c r="Y151" s="41">
        <f>IFERROR(SUM(Y148:Y150),"0")</f>
        <v>0</v>
      </c>
      <c r="Z151" s="41">
        <f>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2"/>
      <c r="P152" s="288" t="s">
        <v>40</v>
      </c>
      <c r="Q152" s="289"/>
      <c r="R152" s="289"/>
      <c r="S152" s="289"/>
      <c r="T152" s="289"/>
      <c r="U152" s="289"/>
      <c r="V152" s="290"/>
      <c r="W152" s="40" t="s">
        <v>0</v>
      </c>
      <c r="X152" s="41">
        <f>IFERROR(SUMPRODUCT(X148:X150*H148:H150),"0")</f>
        <v>0</v>
      </c>
      <c r="Y152" s="41">
        <f>IFERROR(SUMPRODUCT(Y148:Y150*H148:H150),"0")</f>
        <v>0</v>
      </c>
      <c r="Z152" s="40"/>
      <c r="AA152" s="64"/>
      <c r="AB152" s="64"/>
      <c r="AC152" s="64"/>
    </row>
    <row r="153" spans="1:68" ht="16.5" hidden="1" customHeight="1" x14ac:dyDescent="0.25">
      <c r="A153" s="314" t="s">
        <v>253</v>
      </c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62"/>
      <c r="AB153" s="62"/>
      <c r="AC153" s="62"/>
    </row>
    <row r="154" spans="1:68" ht="14.25" hidden="1" customHeight="1" x14ac:dyDescent="0.25">
      <c r="A154" s="302" t="s">
        <v>147</v>
      </c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63"/>
      <c r="AB154" s="63"/>
      <c r="AC154" s="63"/>
    </row>
    <row r="155" spans="1:68" ht="27" hidden="1" customHeight="1" x14ac:dyDescent="0.25">
      <c r="A155" s="60" t="s">
        <v>254</v>
      </c>
      <c r="B155" s="60" t="s">
        <v>255</v>
      </c>
      <c r="C155" s="34">
        <v>4301135753</v>
      </c>
      <c r="D155" s="284">
        <v>4620207490914</v>
      </c>
      <c r="E155" s="284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33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hidden="1" customHeight="1" x14ac:dyDescent="0.25">
      <c r="A156" s="60" t="s">
        <v>256</v>
      </c>
      <c r="B156" s="60" t="s">
        <v>257</v>
      </c>
      <c r="C156" s="34">
        <v>4301135932</v>
      </c>
      <c r="D156" s="284">
        <v>4620207491676</v>
      </c>
      <c r="E156" s="284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33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idden="1" x14ac:dyDescent="0.2">
      <c r="A157" s="291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2"/>
      <c r="P157" s="288" t="s">
        <v>40</v>
      </c>
      <c r="Q157" s="289"/>
      <c r="R157" s="289"/>
      <c r="S157" s="289"/>
      <c r="T157" s="289"/>
      <c r="U157" s="289"/>
      <c r="V157" s="290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hidden="1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2"/>
      <c r="P158" s="288" t="s">
        <v>40</v>
      </c>
      <c r="Q158" s="289"/>
      <c r="R158" s="289"/>
      <c r="S158" s="289"/>
      <c r="T158" s="289"/>
      <c r="U158" s="289"/>
      <c r="V158" s="290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hidden="1" customHeight="1" x14ac:dyDescent="0.25">
      <c r="A159" s="314" t="s">
        <v>259</v>
      </c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62"/>
      <c r="AB159" s="62"/>
      <c r="AC159" s="62"/>
    </row>
    <row r="160" spans="1:68" ht="14.25" hidden="1" customHeight="1" x14ac:dyDescent="0.25">
      <c r="A160" s="302" t="s">
        <v>147</v>
      </c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63"/>
      <c r="AB160" s="63"/>
      <c r="AC160" s="63"/>
    </row>
    <row r="161" spans="1:68" ht="27" hidden="1" customHeight="1" x14ac:dyDescent="0.25">
      <c r="A161" s="60" t="s">
        <v>260</v>
      </c>
      <c r="B161" s="60" t="s">
        <v>261</v>
      </c>
      <c r="C161" s="34">
        <v>4301135940</v>
      </c>
      <c r="D161" s="284">
        <v>4620207491614</v>
      </c>
      <c r="E161" s="284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33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291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2"/>
      <c r="P162" s="288" t="s">
        <v>40</v>
      </c>
      <c r="Q162" s="289"/>
      <c r="R162" s="289"/>
      <c r="S162" s="289"/>
      <c r="T162" s="289"/>
      <c r="U162" s="289"/>
      <c r="V162" s="290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2"/>
      <c r="P163" s="288" t="s">
        <v>40</v>
      </c>
      <c r="Q163" s="289"/>
      <c r="R163" s="289"/>
      <c r="S163" s="289"/>
      <c r="T163" s="289"/>
      <c r="U163" s="289"/>
      <c r="V163" s="290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14" t="s">
        <v>263</v>
      </c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62"/>
      <c r="AB164" s="62"/>
      <c r="AC164" s="62"/>
    </row>
    <row r="165" spans="1:68" ht="14.25" hidden="1" customHeight="1" x14ac:dyDescent="0.25">
      <c r="A165" s="302" t="s">
        <v>147</v>
      </c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63"/>
      <c r="AB165" s="63"/>
      <c r="AC165" s="63"/>
    </row>
    <row r="166" spans="1:68" ht="16.5" hidden="1" customHeight="1" x14ac:dyDescent="0.25">
      <c r="A166" s="60" t="s">
        <v>264</v>
      </c>
      <c r="B166" s="60" t="s">
        <v>265</v>
      </c>
      <c r="C166" s="34">
        <v>4301135607</v>
      </c>
      <c r="D166" s="284">
        <v>4607111039613</v>
      </c>
      <c r="E166" s="284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291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2"/>
      <c r="P167" s="288" t="s">
        <v>40</v>
      </c>
      <c r="Q167" s="289"/>
      <c r="R167" s="289"/>
      <c r="S167" s="289"/>
      <c r="T167" s="289"/>
      <c r="U167" s="289"/>
      <c r="V167" s="29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2"/>
      <c r="P168" s="288" t="s">
        <v>40</v>
      </c>
      <c r="Q168" s="289"/>
      <c r="R168" s="289"/>
      <c r="S168" s="289"/>
      <c r="T168" s="289"/>
      <c r="U168" s="289"/>
      <c r="V168" s="29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14" t="s">
        <v>266</v>
      </c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62"/>
      <c r="AB169" s="62"/>
      <c r="AC169" s="62"/>
    </row>
    <row r="170" spans="1:68" ht="14.25" hidden="1" customHeight="1" x14ac:dyDescent="0.25">
      <c r="A170" s="302" t="s">
        <v>147</v>
      </c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63"/>
      <c r="AB170" s="63"/>
      <c r="AC170" s="63"/>
    </row>
    <row r="171" spans="1:68" ht="27" hidden="1" customHeight="1" x14ac:dyDescent="0.25">
      <c r="A171" s="60" t="s">
        <v>267</v>
      </c>
      <c r="B171" s="60" t="s">
        <v>268</v>
      </c>
      <c r="C171" s="34">
        <v>4301135591</v>
      </c>
      <c r="D171" s="284">
        <v>4607111036568</v>
      </c>
      <c r="E171" s="284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2"/>
      <c r="P172" s="288" t="s">
        <v>40</v>
      </c>
      <c r="Q172" s="289"/>
      <c r="R172" s="289"/>
      <c r="S172" s="289"/>
      <c r="T172" s="289"/>
      <c r="U172" s="289"/>
      <c r="V172" s="29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2"/>
      <c r="P173" s="288" t="s">
        <v>40</v>
      </c>
      <c r="Q173" s="289"/>
      <c r="R173" s="289"/>
      <c r="S173" s="289"/>
      <c r="T173" s="289"/>
      <c r="U173" s="289"/>
      <c r="V173" s="29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hidden="1" customHeight="1" x14ac:dyDescent="0.2">
      <c r="A174" s="313" t="s">
        <v>270</v>
      </c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  <c r="AA174" s="52"/>
      <c r="AB174" s="52"/>
      <c r="AC174" s="52"/>
    </row>
    <row r="175" spans="1:68" ht="16.5" hidden="1" customHeight="1" x14ac:dyDescent="0.25">
      <c r="A175" s="314" t="s">
        <v>271</v>
      </c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62"/>
      <c r="AB175" s="62"/>
      <c r="AC175" s="62"/>
    </row>
    <row r="176" spans="1:68" ht="14.25" hidden="1" customHeight="1" x14ac:dyDescent="0.25">
      <c r="A176" s="302" t="s">
        <v>80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63"/>
      <c r="AB176" s="63"/>
      <c r="AC176" s="63"/>
    </row>
    <row r="177" spans="1:68" ht="16.5" hidden="1" customHeight="1" x14ac:dyDescent="0.25">
      <c r="A177" s="60" t="s">
        <v>272</v>
      </c>
      <c r="B177" s="60" t="s">
        <v>273</v>
      </c>
      <c r="C177" s="34">
        <v>4301071062</v>
      </c>
      <c r="D177" s="284">
        <v>4607111036384</v>
      </c>
      <c r="E177" s="284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3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275</v>
      </c>
      <c r="B178" s="60" t="s">
        <v>276</v>
      </c>
      <c r="C178" s="34">
        <v>4301071050</v>
      </c>
      <c r="D178" s="284">
        <v>4607111036216</v>
      </c>
      <c r="E178" s="284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2"/>
      <c r="P179" s="288" t="s">
        <v>40</v>
      </c>
      <c r="Q179" s="289"/>
      <c r="R179" s="289"/>
      <c r="S179" s="289"/>
      <c r="T179" s="289"/>
      <c r="U179" s="289"/>
      <c r="V179" s="290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2"/>
      <c r="P180" s="288" t="s">
        <v>40</v>
      </c>
      <c r="Q180" s="289"/>
      <c r="R180" s="289"/>
      <c r="S180" s="289"/>
      <c r="T180" s="289"/>
      <c r="U180" s="289"/>
      <c r="V180" s="290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hidden="1" customHeight="1" x14ac:dyDescent="0.25">
      <c r="A181" s="314" t="s">
        <v>278</v>
      </c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62"/>
      <c r="AB181" s="62"/>
      <c r="AC181" s="62"/>
    </row>
    <row r="182" spans="1:68" ht="14.25" hidden="1" customHeight="1" x14ac:dyDescent="0.25">
      <c r="A182" s="302" t="s">
        <v>80</v>
      </c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63"/>
      <c r="AB182" s="63"/>
      <c r="AC182" s="63"/>
    </row>
    <row r="183" spans="1:68" ht="27" hidden="1" customHeight="1" x14ac:dyDescent="0.25">
      <c r="A183" s="60" t="s">
        <v>279</v>
      </c>
      <c r="B183" s="60" t="s">
        <v>280</v>
      </c>
      <c r="C183" s="34">
        <v>4301071117</v>
      </c>
      <c r="D183" s="284">
        <v>4620207491737</v>
      </c>
      <c r="E183" s="284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3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2"/>
      <c r="P184" s="288" t="s">
        <v>40</v>
      </c>
      <c r="Q184" s="289"/>
      <c r="R184" s="289"/>
      <c r="S184" s="289"/>
      <c r="T184" s="289"/>
      <c r="U184" s="289"/>
      <c r="V184" s="290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hidden="1" x14ac:dyDescent="0.2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2"/>
      <c r="P185" s="288" t="s">
        <v>40</v>
      </c>
      <c r="Q185" s="289"/>
      <c r="R185" s="289"/>
      <c r="S185" s="289"/>
      <c r="T185" s="289"/>
      <c r="U185" s="289"/>
      <c r="V185" s="290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13" t="s">
        <v>281</v>
      </c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  <c r="AA186" s="52"/>
      <c r="AB186" s="52"/>
      <c r="AC186" s="52"/>
    </row>
    <row r="187" spans="1:68" ht="16.5" hidden="1" customHeight="1" x14ac:dyDescent="0.25">
      <c r="A187" s="314" t="s">
        <v>282</v>
      </c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62"/>
      <c r="AB187" s="62"/>
      <c r="AC187" s="62"/>
    </row>
    <row r="188" spans="1:68" ht="14.25" hidden="1" customHeight="1" x14ac:dyDescent="0.25">
      <c r="A188" s="302" t="s">
        <v>111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63"/>
      <c r="AB188" s="63"/>
      <c r="AC188" s="63"/>
    </row>
    <row r="189" spans="1:68" ht="16.5" customHeight="1" x14ac:dyDescent="0.25">
      <c r="A189" s="60" t="s">
        <v>283</v>
      </c>
      <c r="B189" s="60" t="s">
        <v>284</v>
      </c>
      <c r="C189" s="34">
        <v>4301132179</v>
      </c>
      <c r="D189" s="284">
        <v>4607111035691</v>
      </c>
      <c r="E189" s="284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286</v>
      </c>
      <c r="B190" s="60" t="s">
        <v>287</v>
      </c>
      <c r="C190" s="34">
        <v>4301132182</v>
      </c>
      <c r="D190" s="284">
        <v>4607111035721</v>
      </c>
      <c r="E190" s="284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7" t="s">
        <v>46</v>
      </c>
      <c r="V190" s="37" t="s">
        <v>46</v>
      </c>
      <c r="W190" s="38" t="s">
        <v>39</v>
      </c>
      <c r="X190" s="56">
        <v>14</v>
      </c>
      <c r="Y190" s="53">
        <f>IFERROR(IF(X190="","",X190),"")</f>
        <v>14</v>
      </c>
      <c r="Z190" s="39">
        <f>IFERROR(IF(X190="","",X190*0.01788),"")</f>
        <v>0.25031999999999999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47.432000000000002</v>
      </c>
      <c r="BN190" s="78">
        <f>IFERROR(Y190*I190,"0")</f>
        <v>47.432000000000002</v>
      </c>
      <c r="BO190" s="78">
        <f>IFERROR(X190/J190,"0")</f>
        <v>0.2</v>
      </c>
      <c r="BP190" s="78">
        <f>IFERROR(Y190/J190,"0")</f>
        <v>0.2</v>
      </c>
    </row>
    <row r="191" spans="1:68" ht="27" customHeight="1" x14ac:dyDescent="0.25">
      <c r="A191" s="60" t="s">
        <v>289</v>
      </c>
      <c r="B191" s="60" t="s">
        <v>290</v>
      </c>
      <c r="C191" s="34">
        <v>4301132170</v>
      </c>
      <c r="D191" s="284">
        <v>4607111038487</v>
      </c>
      <c r="E191" s="284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3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7" t="s">
        <v>46</v>
      </c>
      <c r="V191" s="37" t="s">
        <v>46</v>
      </c>
      <c r="W191" s="38" t="s">
        <v>39</v>
      </c>
      <c r="X191" s="56">
        <v>28</v>
      </c>
      <c r="Y191" s="53">
        <f>IFERROR(IF(X191="","",X191),"")</f>
        <v>28</v>
      </c>
      <c r="Z191" s="39">
        <f>IFERROR(IF(X191="","",X191*0.01788),"")</f>
        <v>0.50063999999999997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104.608</v>
      </c>
      <c r="BN191" s="78">
        <f>IFERROR(Y191*I191,"0")</f>
        <v>104.608</v>
      </c>
      <c r="BO191" s="78">
        <f>IFERROR(X191/J191,"0")</f>
        <v>0.4</v>
      </c>
      <c r="BP191" s="78">
        <f>IFERROR(Y191/J191,"0")</f>
        <v>0.4</v>
      </c>
    </row>
    <row r="192" spans="1:68" ht="27" hidden="1" customHeight="1" x14ac:dyDescent="0.25">
      <c r="A192" s="60" t="s">
        <v>292</v>
      </c>
      <c r="B192" s="60" t="s">
        <v>293</v>
      </c>
      <c r="C192" s="34">
        <v>4301132243</v>
      </c>
      <c r="D192" s="284">
        <v>4620207491195</v>
      </c>
      <c r="E192" s="284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3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291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2"/>
      <c r="P193" s="288" t="s">
        <v>40</v>
      </c>
      <c r="Q193" s="289"/>
      <c r="R193" s="289"/>
      <c r="S193" s="289"/>
      <c r="T193" s="289"/>
      <c r="U193" s="289"/>
      <c r="V193" s="290"/>
      <c r="W193" s="40" t="s">
        <v>39</v>
      </c>
      <c r="X193" s="41">
        <f>IFERROR(SUM(X189:X192),"0")</f>
        <v>70</v>
      </c>
      <c r="Y193" s="41">
        <f>IFERROR(SUM(Y189:Y192),"0")</f>
        <v>70</v>
      </c>
      <c r="Z193" s="41">
        <f>IFERROR(IF(Z189="",0,Z189),"0")+IFERROR(IF(Z190="",0,Z190),"0")+IFERROR(IF(Z191="",0,Z191),"0")+IFERROR(IF(Z192="",0,Z192),"0")</f>
        <v>1.2515999999999998</v>
      </c>
      <c r="AA193" s="64"/>
      <c r="AB193" s="64"/>
      <c r="AC193" s="64"/>
    </row>
    <row r="194" spans="1:68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2"/>
      <c r="P194" s="288" t="s">
        <v>40</v>
      </c>
      <c r="Q194" s="289"/>
      <c r="R194" s="289"/>
      <c r="S194" s="289"/>
      <c r="T194" s="289"/>
      <c r="U194" s="289"/>
      <c r="V194" s="290"/>
      <c r="W194" s="40" t="s">
        <v>0</v>
      </c>
      <c r="X194" s="41">
        <f>IFERROR(SUMPRODUCT(X189:X192*H189:H192),"0")</f>
        <v>210</v>
      </c>
      <c r="Y194" s="41">
        <f>IFERROR(SUMPRODUCT(Y189:Y192*H189:H192),"0")</f>
        <v>210</v>
      </c>
      <c r="Z194" s="40"/>
      <c r="AA194" s="64"/>
      <c r="AB194" s="64"/>
      <c r="AC194" s="64"/>
    </row>
    <row r="195" spans="1:68" ht="27.75" hidden="1" customHeight="1" x14ac:dyDescent="0.2">
      <c r="A195" s="313" t="s">
        <v>295</v>
      </c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  <c r="AA195" s="52"/>
      <c r="AB195" s="52"/>
      <c r="AC195" s="52"/>
    </row>
    <row r="196" spans="1:68" ht="16.5" hidden="1" customHeight="1" x14ac:dyDescent="0.25">
      <c r="A196" s="314" t="s">
        <v>296</v>
      </c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62"/>
      <c r="AB196" s="62"/>
      <c r="AC196" s="62"/>
    </row>
    <row r="197" spans="1:68" ht="14.25" hidden="1" customHeight="1" x14ac:dyDescent="0.25">
      <c r="A197" s="302" t="s">
        <v>111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63"/>
      <c r="AB197" s="63"/>
      <c r="AC197" s="63"/>
    </row>
    <row r="198" spans="1:68" ht="27" hidden="1" customHeight="1" x14ac:dyDescent="0.25">
      <c r="A198" s="60" t="s">
        <v>297</v>
      </c>
      <c r="B198" s="60" t="s">
        <v>298</v>
      </c>
      <c r="C198" s="34">
        <v>4301132227</v>
      </c>
      <c r="D198" s="284">
        <v>4620207491133</v>
      </c>
      <c r="E198" s="284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2"/>
      <c r="P199" s="288" t="s">
        <v>40</v>
      </c>
      <c r="Q199" s="289"/>
      <c r="R199" s="289"/>
      <c r="S199" s="289"/>
      <c r="T199" s="289"/>
      <c r="U199" s="289"/>
      <c r="V199" s="290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2"/>
      <c r="P200" s="288" t="s">
        <v>40</v>
      </c>
      <c r="Q200" s="289"/>
      <c r="R200" s="289"/>
      <c r="S200" s="289"/>
      <c r="T200" s="289"/>
      <c r="U200" s="289"/>
      <c r="V200" s="290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02" t="s">
        <v>147</v>
      </c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63"/>
      <c r="AB201" s="63"/>
      <c r="AC201" s="63"/>
    </row>
    <row r="202" spans="1:68" ht="27" hidden="1" customHeight="1" x14ac:dyDescent="0.25">
      <c r="A202" s="60" t="s">
        <v>300</v>
      </c>
      <c r="B202" s="60" t="s">
        <v>301</v>
      </c>
      <c r="C202" s="34">
        <v>4301135834</v>
      </c>
      <c r="D202" s="284">
        <v>4620207491188</v>
      </c>
      <c r="E202" s="284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32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303</v>
      </c>
      <c r="B203" s="60" t="s">
        <v>304</v>
      </c>
      <c r="C203" s="34">
        <v>4301135696</v>
      </c>
      <c r="D203" s="284">
        <v>4620207490235</v>
      </c>
      <c r="E203" s="284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32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306</v>
      </c>
      <c r="B204" s="60" t="s">
        <v>307</v>
      </c>
      <c r="C204" s="34">
        <v>4301135697</v>
      </c>
      <c r="D204" s="284">
        <v>4620207490259</v>
      </c>
      <c r="E204" s="284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3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91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292"/>
      <c r="P205" s="288" t="s">
        <v>40</v>
      </c>
      <c r="Q205" s="289"/>
      <c r="R205" s="289"/>
      <c r="S205" s="289"/>
      <c r="T205" s="289"/>
      <c r="U205" s="289"/>
      <c r="V205" s="290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2"/>
      <c r="P206" s="288" t="s">
        <v>40</v>
      </c>
      <c r="Q206" s="289"/>
      <c r="R206" s="289"/>
      <c r="S206" s="289"/>
      <c r="T206" s="289"/>
      <c r="U206" s="289"/>
      <c r="V206" s="290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14" t="s">
        <v>309</v>
      </c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62"/>
      <c r="AB207" s="62"/>
      <c r="AC207" s="62"/>
    </row>
    <row r="208" spans="1:68" ht="14.25" hidden="1" customHeight="1" x14ac:dyDescent="0.25">
      <c r="A208" s="302" t="s">
        <v>147</v>
      </c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63"/>
      <c r="AB208" s="63"/>
      <c r="AC208" s="63"/>
    </row>
    <row r="209" spans="1:68" ht="27" hidden="1" customHeight="1" x14ac:dyDescent="0.25">
      <c r="A209" s="60" t="s">
        <v>310</v>
      </c>
      <c r="B209" s="60" t="s">
        <v>311</v>
      </c>
      <c r="C209" s="34">
        <v>4301135854</v>
      </c>
      <c r="D209" s="284">
        <v>4620207491706</v>
      </c>
      <c r="E209" s="284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32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313</v>
      </c>
      <c r="B210" s="60" t="s">
        <v>314</v>
      </c>
      <c r="C210" s="34">
        <v>4301135895</v>
      </c>
      <c r="D210" s="284">
        <v>4620207491522</v>
      </c>
      <c r="E210" s="284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32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2"/>
      <c r="P211" s="288" t="s">
        <v>40</v>
      </c>
      <c r="Q211" s="289"/>
      <c r="R211" s="289"/>
      <c r="S211" s="289"/>
      <c r="T211" s="289"/>
      <c r="U211" s="289"/>
      <c r="V211" s="290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2"/>
      <c r="P212" s="288" t="s">
        <v>40</v>
      </c>
      <c r="Q212" s="289"/>
      <c r="R212" s="289"/>
      <c r="S212" s="289"/>
      <c r="T212" s="289"/>
      <c r="U212" s="289"/>
      <c r="V212" s="290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14" t="s">
        <v>316</v>
      </c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62"/>
      <c r="AB213" s="62"/>
      <c r="AC213" s="62"/>
    </row>
    <row r="214" spans="1:68" ht="14.25" hidden="1" customHeight="1" x14ac:dyDescent="0.25">
      <c r="A214" s="302" t="s">
        <v>80</v>
      </c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63"/>
      <c r="AB214" s="63"/>
      <c r="AC214" s="63"/>
    </row>
    <row r="215" spans="1:68" ht="27" hidden="1" customHeight="1" x14ac:dyDescent="0.25">
      <c r="A215" s="60" t="s">
        <v>317</v>
      </c>
      <c r="B215" s="60" t="s">
        <v>318</v>
      </c>
      <c r="C215" s="34">
        <v>4301071097</v>
      </c>
      <c r="D215" s="284">
        <v>4620207491096</v>
      </c>
      <c r="E215" s="284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3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291"/>
      <c r="B216" s="291"/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  <c r="O216" s="292"/>
      <c r="P216" s="288" t="s">
        <v>40</v>
      </c>
      <c r="Q216" s="289"/>
      <c r="R216" s="289"/>
      <c r="S216" s="289"/>
      <c r="T216" s="289"/>
      <c r="U216" s="289"/>
      <c r="V216" s="290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2"/>
      <c r="P217" s="288" t="s">
        <v>40</v>
      </c>
      <c r="Q217" s="289"/>
      <c r="R217" s="289"/>
      <c r="S217" s="289"/>
      <c r="T217" s="289"/>
      <c r="U217" s="289"/>
      <c r="V217" s="290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14" t="s">
        <v>320</v>
      </c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62"/>
      <c r="AB218" s="62"/>
      <c r="AC218" s="62"/>
    </row>
    <row r="219" spans="1:68" ht="14.25" hidden="1" customHeight="1" x14ac:dyDescent="0.25">
      <c r="A219" s="302" t="s">
        <v>147</v>
      </c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63"/>
      <c r="AB219" s="63"/>
      <c r="AC219" s="63"/>
    </row>
    <row r="220" spans="1:68" ht="27" hidden="1" customHeight="1" x14ac:dyDescent="0.25">
      <c r="A220" s="60" t="s">
        <v>321</v>
      </c>
      <c r="B220" s="60" t="s">
        <v>322</v>
      </c>
      <c r="C220" s="34">
        <v>4301135694</v>
      </c>
      <c r="D220" s="284">
        <v>4620207490501</v>
      </c>
      <c r="E220" s="284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292"/>
      <c r="P221" s="288" t="s">
        <v>40</v>
      </c>
      <c r="Q221" s="289"/>
      <c r="R221" s="289"/>
      <c r="S221" s="289"/>
      <c r="T221" s="289"/>
      <c r="U221" s="289"/>
      <c r="V221" s="290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291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2"/>
      <c r="P222" s="288" t="s">
        <v>40</v>
      </c>
      <c r="Q222" s="289"/>
      <c r="R222" s="289"/>
      <c r="S222" s="289"/>
      <c r="T222" s="289"/>
      <c r="U222" s="289"/>
      <c r="V222" s="290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hidden="1" customHeight="1" x14ac:dyDescent="0.2">
      <c r="A223" s="313" t="s">
        <v>324</v>
      </c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  <c r="AA223" s="52"/>
      <c r="AB223" s="52"/>
      <c r="AC223" s="52"/>
    </row>
    <row r="224" spans="1:68" ht="16.5" hidden="1" customHeight="1" x14ac:dyDescent="0.25">
      <c r="A224" s="314" t="s">
        <v>325</v>
      </c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62"/>
      <c r="AB224" s="62"/>
      <c r="AC224" s="62"/>
    </row>
    <row r="225" spans="1:68" ht="14.25" hidden="1" customHeight="1" x14ac:dyDescent="0.25">
      <c r="A225" s="302" t="s">
        <v>80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63"/>
      <c r="AB225" s="63"/>
      <c r="AC225" s="63"/>
    </row>
    <row r="226" spans="1:68" ht="27" hidden="1" customHeight="1" x14ac:dyDescent="0.25">
      <c r="A226" s="60" t="s">
        <v>326</v>
      </c>
      <c r="B226" s="60" t="s">
        <v>327</v>
      </c>
      <c r="C226" s="34">
        <v>4301071036</v>
      </c>
      <c r="D226" s="284">
        <v>4607111036162</v>
      </c>
      <c r="E226" s="284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291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2"/>
      <c r="P227" s="288" t="s">
        <v>40</v>
      </c>
      <c r="Q227" s="289"/>
      <c r="R227" s="289"/>
      <c r="S227" s="289"/>
      <c r="T227" s="289"/>
      <c r="U227" s="289"/>
      <c r="V227" s="290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291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292"/>
      <c r="P228" s="288" t="s">
        <v>40</v>
      </c>
      <c r="Q228" s="289"/>
      <c r="R228" s="289"/>
      <c r="S228" s="289"/>
      <c r="T228" s="289"/>
      <c r="U228" s="289"/>
      <c r="V228" s="290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13" t="s">
        <v>329</v>
      </c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  <c r="AA229" s="52"/>
      <c r="AB229" s="52"/>
      <c r="AC229" s="52"/>
    </row>
    <row r="230" spans="1:68" ht="16.5" hidden="1" customHeight="1" x14ac:dyDescent="0.25">
      <c r="A230" s="314" t="s">
        <v>330</v>
      </c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62"/>
      <c r="AB230" s="62"/>
      <c r="AC230" s="62"/>
    </row>
    <row r="231" spans="1:68" ht="14.25" hidden="1" customHeight="1" x14ac:dyDescent="0.25">
      <c r="A231" s="302" t="s">
        <v>331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63"/>
      <c r="AB231" s="63"/>
      <c r="AC231" s="63"/>
    </row>
    <row r="232" spans="1:68" ht="27" hidden="1" customHeight="1" x14ac:dyDescent="0.25">
      <c r="A232" s="60" t="s">
        <v>332</v>
      </c>
      <c r="B232" s="60" t="s">
        <v>333</v>
      </c>
      <c r="C232" s="34">
        <v>4301133004</v>
      </c>
      <c r="D232" s="284">
        <v>4607111039774</v>
      </c>
      <c r="E232" s="284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31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291"/>
      <c r="B233" s="291"/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  <c r="O233" s="292"/>
      <c r="P233" s="288" t="s">
        <v>40</v>
      </c>
      <c r="Q233" s="289"/>
      <c r="R233" s="289"/>
      <c r="S233" s="289"/>
      <c r="T233" s="289"/>
      <c r="U233" s="289"/>
      <c r="V233" s="290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291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2"/>
      <c r="P234" s="288" t="s">
        <v>40</v>
      </c>
      <c r="Q234" s="289"/>
      <c r="R234" s="289"/>
      <c r="S234" s="289"/>
      <c r="T234" s="289"/>
      <c r="U234" s="289"/>
      <c r="V234" s="290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hidden="1" customHeight="1" x14ac:dyDescent="0.25">
      <c r="A235" s="302" t="s">
        <v>147</v>
      </c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63"/>
      <c r="AB235" s="63"/>
      <c r="AC235" s="63"/>
    </row>
    <row r="236" spans="1:68" ht="37.5" hidden="1" customHeight="1" x14ac:dyDescent="0.25">
      <c r="A236" s="60" t="s">
        <v>335</v>
      </c>
      <c r="B236" s="60" t="s">
        <v>336</v>
      </c>
      <c r="C236" s="34">
        <v>4301135400</v>
      </c>
      <c r="D236" s="284">
        <v>4607111039361</v>
      </c>
      <c r="E236" s="284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31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hidden="1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292"/>
      <c r="P237" s="288" t="s">
        <v>40</v>
      </c>
      <c r="Q237" s="289"/>
      <c r="R237" s="289"/>
      <c r="S237" s="289"/>
      <c r="T237" s="289"/>
      <c r="U237" s="289"/>
      <c r="V237" s="290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292"/>
      <c r="P238" s="288" t="s">
        <v>40</v>
      </c>
      <c r="Q238" s="289"/>
      <c r="R238" s="289"/>
      <c r="S238" s="289"/>
      <c r="T238" s="289"/>
      <c r="U238" s="289"/>
      <c r="V238" s="290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hidden="1" customHeight="1" x14ac:dyDescent="0.2">
      <c r="A239" s="313" t="s">
        <v>337</v>
      </c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  <c r="AA239" s="52"/>
      <c r="AB239" s="52"/>
      <c r="AC239" s="52"/>
    </row>
    <row r="240" spans="1:68" ht="16.5" hidden="1" customHeight="1" x14ac:dyDescent="0.25">
      <c r="A240" s="314" t="s">
        <v>337</v>
      </c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  <c r="AA240" s="62"/>
      <c r="AB240" s="62"/>
      <c r="AC240" s="62"/>
    </row>
    <row r="241" spans="1:68" ht="14.25" hidden="1" customHeight="1" x14ac:dyDescent="0.25">
      <c r="A241" s="302" t="s">
        <v>111</v>
      </c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63"/>
      <c r="AB241" s="63"/>
      <c r="AC241" s="63"/>
    </row>
    <row r="242" spans="1:68" ht="27" hidden="1" customHeight="1" x14ac:dyDescent="0.25">
      <c r="A242" s="60" t="s">
        <v>338</v>
      </c>
      <c r="B242" s="60" t="s">
        <v>339</v>
      </c>
      <c r="C242" s="34">
        <v>4301132228</v>
      </c>
      <c r="D242" s="284">
        <v>4640242181950</v>
      </c>
      <c r="E242" s="284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31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291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2"/>
      <c r="P243" s="288" t="s">
        <v>40</v>
      </c>
      <c r="Q243" s="289"/>
      <c r="R243" s="289"/>
      <c r="S243" s="289"/>
      <c r="T243" s="289"/>
      <c r="U243" s="289"/>
      <c r="V243" s="290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291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292"/>
      <c r="P244" s="288" t="s">
        <v>40</v>
      </c>
      <c r="Q244" s="289"/>
      <c r="R244" s="289"/>
      <c r="S244" s="289"/>
      <c r="T244" s="289"/>
      <c r="U244" s="289"/>
      <c r="V244" s="290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02" t="s">
        <v>143</v>
      </c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63"/>
      <c r="AB245" s="63"/>
      <c r="AC245" s="63"/>
    </row>
    <row r="246" spans="1:68" ht="27" hidden="1" customHeight="1" x14ac:dyDescent="0.25">
      <c r="A246" s="60" t="s">
        <v>341</v>
      </c>
      <c r="B246" s="60" t="s">
        <v>342</v>
      </c>
      <c r="C246" s="34">
        <v>4301136098</v>
      </c>
      <c r="D246" s="284">
        <v>4640242181943</v>
      </c>
      <c r="E246" s="284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31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2"/>
      <c r="P247" s="288" t="s">
        <v>40</v>
      </c>
      <c r="Q247" s="289"/>
      <c r="R247" s="289"/>
      <c r="S247" s="289"/>
      <c r="T247" s="289"/>
      <c r="U247" s="289"/>
      <c r="V247" s="290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2"/>
      <c r="P248" s="288" t="s">
        <v>40</v>
      </c>
      <c r="Q248" s="289"/>
      <c r="R248" s="289"/>
      <c r="S248" s="289"/>
      <c r="T248" s="289"/>
      <c r="U248" s="289"/>
      <c r="V248" s="290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13" t="s">
        <v>344</v>
      </c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  <c r="AA249" s="52"/>
      <c r="AB249" s="52"/>
      <c r="AC249" s="52"/>
    </row>
    <row r="250" spans="1:68" ht="16.5" hidden="1" customHeight="1" x14ac:dyDescent="0.25">
      <c r="A250" s="314" t="s">
        <v>344</v>
      </c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  <c r="AA250" s="62"/>
      <c r="AB250" s="62"/>
      <c r="AC250" s="62"/>
    </row>
    <row r="251" spans="1:68" ht="14.25" hidden="1" customHeight="1" x14ac:dyDescent="0.25">
      <c r="A251" s="302" t="s">
        <v>80</v>
      </c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63"/>
      <c r="AB251" s="63"/>
      <c r="AC251" s="63"/>
    </row>
    <row r="252" spans="1:68" ht="27" hidden="1" customHeight="1" x14ac:dyDescent="0.25">
      <c r="A252" s="60" t="s">
        <v>345</v>
      </c>
      <c r="B252" s="60" t="s">
        <v>346</v>
      </c>
      <c r="C252" s="34">
        <v>4301071014</v>
      </c>
      <c r="D252" s="284">
        <v>4640242181264</v>
      </c>
      <c r="E252" s="284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31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hidden="1" customHeight="1" x14ac:dyDescent="0.25">
      <c r="A253" s="60" t="s">
        <v>348</v>
      </c>
      <c r="B253" s="60" t="s">
        <v>349</v>
      </c>
      <c r="C253" s="34">
        <v>4301071141</v>
      </c>
      <c r="D253" s="284">
        <v>4620207491980</v>
      </c>
      <c r="E253" s="284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3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291"/>
      <c r="B254" s="291"/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2"/>
      <c r="P254" s="288" t="s">
        <v>40</v>
      </c>
      <c r="Q254" s="289"/>
      <c r="R254" s="289"/>
      <c r="S254" s="289"/>
      <c r="T254" s="289"/>
      <c r="U254" s="289"/>
      <c r="V254" s="290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hidden="1" x14ac:dyDescent="0.2">
      <c r="A255" s="291"/>
      <c r="B255" s="291"/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292"/>
      <c r="P255" s="288" t="s">
        <v>40</v>
      </c>
      <c r="Q255" s="289"/>
      <c r="R255" s="289"/>
      <c r="S255" s="289"/>
      <c r="T255" s="289"/>
      <c r="U255" s="289"/>
      <c r="V255" s="290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hidden="1" customHeight="1" x14ac:dyDescent="0.25">
      <c r="A256" s="302" t="s">
        <v>111</v>
      </c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63"/>
      <c r="AB256" s="63"/>
      <c r="AC256" s="63"/>
    </row>
    <row r="257" spans="1:68" ht="27" customHeight="1" x14ac:dyDescent="0.25">
      <c r="A257" s="60" t="s">
        <v>351</v>
      </c>
      <c r="B257" s="60" t="s">
        <v>352</v>
      </c>
      <c r="C257" s="34">
        <v>4301132080</v>
      </c>
      <c r="D257" s="284">
        <v>4640242180397</v>
      </c>
      <c r="E257" s="284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7" t="s">
        <v>46</v>
      </c>
      <c r="V257" s="37" t="s">
        <v>46</v>
      </c>
      <c r="W257" s="38" t="s">
        <v>39</v>
      </c>
      <c r="X257" s="56">
        <v>84</v>
      </c>
      <c r="Y257" s="53">
        <f>IFERROR(IF(X257="","",X257),"")</f>
        <v>84</v>
      </c>
      <c r="Z257" s="39">
        <f>IFERROR(IF(X257="","",X257*0.0155),"")</f>
        <v>1.302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525.84</v>
      </c>
      <c r="BN257" s="78">
        <f>IFERROR(Y257*I257,"0")</f>
        <v>525.84</v>
      </c>
      <c r="BO257" s="78">
        <f>IFERROR(X257/J257,"0")</f>
        <v>1</v>
      </c>
      <c r="BP257" s="78">
        <f>IFERROR(Y257/J257,"0")</f>
        <v>1</v>
      </c>
    </row>
    <row r="258" spans="1:68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292"/>
      <c r="P258" s="288" t="s">
        <v>40</v>
      </c>
      <c r="Q258" s="289"/>
      <c r="R258" s="289"/>
      <c r="S258" s="289"/>
      <c r="T258" s="289"/>
      <c r="U258" s="289"/>
      <c r="V258" s="290"/>
      <c r="W258" s="40" t="s">
        <v>39</v>
      </c>
      <c r="X258" s="41">
        <f>IFERROR(SUM(X257:X257),"0")</f>
        <v>84</v>
      </c>
      <c r="Y258" s="41">
        <f>IFERROR(SUM(Y257:Y257),"0")</f>
        <v>84</v>
      </c>
      <c r="Z258" s="41">
        <f>IFERROR(IF(Z257="",0,Z257),"0")</f>
        <v>1.302</v>
      </c>
      <c r="AA258" s="64"/>
      <c r="AB258" s="64"/>
      <c r="AC258" s="64"/>
    </row>
    <row r="259" spans="1:68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292"/>
      <c r="P259" s="288" t="s">
        <v>40</v>
      </c>
      <c r="Q259" s="289"/>
      <c r="R259" s="289"/>
      <c r="S259" s="289"/>
      <c r="T259" s="289"/>
      <c r="U259" s="289"/>
      <c r="V259" s="290"/>
      <c r="W259" s="40" t="s">
        <v>0</v>
      </c>
      <c r="X259" s="41">
        <f>IFERROR(SUMPRODUCT(X257:X257*H257:H257),"0")</f>
        <v>504</v>
      </c>
      <c r="Y259" s="41">
        <f>IFERROR(SUMPRODUCT(Y257:Y257*H257:H257),"0")</f>
        <v>504</v>
      </c>
      <c r="Z259" s="40"/>
      <c r="AA259" s="64"/>
      <c r="AB259" s="64"/>
      <c r="AC259" s="64"/>
    </row>
    <row r="260" spans="1:68" ht="14.25" hidden="1" customHeight="1" x14ac:dyDescent="0.25">
      <c r="A260" s="302" t="s">
        <v>143</v>
      </c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63"/>
      <c r="AB260" s="63"/>
      <c r="AC260" s="63"/>
    </row>
    <row r="261" spans="1:68" ht="27" hidden="1" customHeight="1" x14ac:dyDescent="0.25">
      <c r="A261" s="60" t="s">
        <v>354</v>
      </c>
      <c r="B261" s="60" t="s">
        <v>355</v>
      </c>
      <c r="C261" s="34">
        <v>4301136051</v>
      </c>
      <c r="D261" s="284">
        <v>4640242180304</v>
      </c>
      <c r="E261" s="284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30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357</v>
      </c>
      <c r="B262" s="60" t="s">
        <v>358</v>
      </c>
      <c r="C262" s="34">
        <v>4301136053</v>
      </c>
      <c r="D262" s="284">
        <v>4640242180236</v>
      </c>
      <c r="E262" s="284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3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7" t="s">
        <v>46</v>
      </c>
      <c r="V262" s="37" t="s">
        <v>46</v>
      </c>
      <c r="W262" s="38" t="s">
        <v>39</v>
      </c>
      <c r="X262" s="56">
        <v>504</v>
      </c>
      <c r="Y262" s="53">
        <f>IFERROR(IF(X262="","",X262),"")</f>
        <v>504</v>
      </c>
      <c r="Z262" s="39">
        <f>IFERROR(IF(X262="","",X262*0.0155),"")</f>
        <v>7.8120000000000003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2638.44</v>
      </c>
      <c r="BN262" s="78">
        <f>IFERROR(Y262*I262,"0")</f>
        <v>2638.44</v>
      </c>
      <c r="BO262" s="78">
        <f>IFERROR(X262/J262,"0")</f>
        <v>6</v>
      </c>
      <c r="BP262" s="78">
        <f>IFERROR(Y262/J262,"0")</f>
        <v>6</v>
      </c>
    </row>
    <row r="263" spans="1:68" ht="27" hidden="1" customHeight="1" x14ac:dyDescent="0.25">
      <c r="A263" s="60" t="s">
        <v>359</v>
      </c>
      <c r="B263" s="60" t="s">
        <v>360</v>
      </c>
      <c r="C263" s="34">
        <v>4301136052</v>
      </c>
      <c r="D263" s="284">
        <v>4640242180410</v>
      </c>
      <c r="E263" s="284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30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292"/>
      <c r="P264" s="288" t="s">
        <v>40</v>
      </c>
      <c r="Q264" s="289"/>
      <c r="R264" s="289"/>
      <c r="S264" s="289"/>
      <c r="T264" s="289"/>
      <c r="U264" s="289"/>
      <c r="V264" s="290"/>
      <c r="W264" s="40" t="s">
        <v>39</v>
      </c>
      <c r="X264" s="41">
        <f>IFERROR(SUM(X261:X263),"0")</f>
        <v>504</v>
      </c>
      <c r="Y264" s="41">
        <f>IFERROR(SUM(Y261:Y263),"0")</f>
        <v>504</v>
      </c>
      <c r="Z264" s="41">
        <f>IFERROR(IF(Z261="",0,Z261),"0")+IFERROR(IF(Z262="",0,Z262),"0")+IFERROR(IF(Z263="",0,Z263),"0")</f>
        <v>7.8120000000000003</v>
      </c>
      <c r="AA264" s="64"/>
      <c r="AB264" s="64"/>
      <c r="AC264" s="64"/>
    </row>
    <row r="265" spans="1:68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292"/>
      <c r="P265" s="288" t="s">
        <v>40</v>
      </c>
      <c r="Q265" s="289"/>
      <c r="R265" s="289"/>
      <c r="S265" s="289"/>
      <c r="T265" s="289"/>
      <c r="U265" s="289"/>
      <c r="V265" s="290"/>
      <c r="W265" s="40" t="s">
        <v>0</v>
      </c>
      <c r="X265" s="41">
        <f>IFERROR(SUMPRODUCT(X261:X263*H261:H263),"0")</f>
        <v>2520</v>
      </c>
      <c r="Y265" s="41">
        <f>IFERROR(SUMPRODUCT(Y261:Y263*H261:H263),"0")</f>
        <v>2520</v>
      </c>
      <c r="Z265" s="40"/>
      <c r="AA265" s="64"/>
      <c r="AB265" s="64"/>
      <c r="AC265" s="64"/>
    </row>
    <row r="266" spans="1:68" ht="14.25" hidden="1" customHeight="1" x14ac:dyDescent="0.25">
      <c r="A266" s="302" t="s">
        <v>147</v>
      </c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63"/>
      <c r="AB266" s="63"/>
      <c r="AC266" s="63"/>
    </row>
    <row r="267" spans="1:68" ht="37.5" hidden="1" customHeight="1" x14ac:dyDescent="0.25">
      <c r="A267" s="60" t="s">
        <v>361</v>
      </c>
      <c r="B267" s="60" t="s">
        <v>362</v>
      </c>
      <c r="C267" s="34">
        <v>4301135504</v>
      </c>
      <c r="D267" s="284">
        <v>4640242181554</v>
      </c>
      <c r="E267" s="284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customHeight="1" x14ac:dyDescent="0.25">
      <c r="A268" s="60" t="s">
        <v>364</v>
      </c>
      <c r="B268" s="60" t="s">
        <v>365</v>
      </c>
      <c r="C268" s="34">
        <v>4301137046</v>
      </c>
      <c r="D268" s="284">
        <v>4620207492093</v>
      </c>
      <c r="E268" s="284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304" t="s">
        <v>366</v>
      </c>
      <c r="Q268" s="286"/>
      <c r="R268" s="286"/>
      <c r="S268" s="286"/>
      <c r="T268" s="287"/>
      <c r="U268" s="37" t="s">
        <v>46</v>
      </c>
      <c r="V268" s="37" t="s">
        <v>46</v>
      </c>
      <c r="W268" s="38" t="s">
        <v>39</v>
      </c>
      <c r="X268" s="56">
        <v>126</v>
      </c>
      <c r="Y268" s="53">
        <f t="shared" si="18"/>
        <v>126</v>
      </c>
      <c r="Z268" s="39">
        <f>IFERROR(IF(X268="","",X268*0.00936),"")</f>
        <v>1.17936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490.392</v>
      </c>
      <c r="BN268" s="78">
        <f t="shared" si="20"/>
        <v>490.392</v>
      </c>
      <c r="BO268" s="78">
        <f t="shared" si="21"/>
        <v>1</v>
      </c>
      <c r="BP268" s="78">
        <f t="shared" si="22"/>
        <v>1</v>
      </c>
    </row>
    <row r="269" spans="1:68" ht="27" customHeight="1" x14ac:dyDescent="0.25">
      <c r="A269" s="60" t="s">
        <v>368</v>
      </c>
      <c r="B269" s="60" t="s">
        <v>369</v>
      </c>
      <c r="C269" s="34">
        <v>4301135374</v>
      </c>
      <c r="D269" s="284">
        <v>4640242181424</v>
      </c>
      <c r="E269" s="284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30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7" t="s">
        <v>46</v>
      </c>
      <c r="V269" s="37" t="s">
        <v>46</v>
      </c>
      <c r="W269" s="38" t="s">
        <v>39</v>
      </c>
      <c r="X269" s="56">
        <v>84</v>
      </c>
      <c r="Y269" s="53">
        <f t="shared" si="18"/>
        <v>84</v>
      </c>
      <c r="Z269" s="39">
        <f>IFERROR(IF(X269="","",X269*0.0155),"")</f>
        <v>1.302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481.74</v>
      </c>
      <c r="BN269" s="78">
        <f t="shared" si="20"/>
        <v>481.74</v>
      </c>
      <c r="BO269" s="78">
        <f t="shared" si="21"/>
        <v>1</v>
      </c>
      <c r="BP269" s="78">
        <f t="shared" si="22"/>
        <v>1</v>
      </c>
    </row>
    <row r="270" spans="1:68" ht="27" customHeight="1" x14ac:dyDescent="0.25">
      <c r="A270" s="60" t="s">
        <v>370</v>
      </c>
      <c r="B270" s="60" t="s">
        <v>371</v>
      </c>
      <c r="C270" s="34">
        <v>4301135405</v>
      </c>
      <c r="D270" s="284">
        <v>4640242181523</v>
      </c>
      <c r="E270" s="284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3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7" t="s">
        <v>46</v>
      </c>
      <c r="V270" s="37" t="s">
        <v>46</v>
      </c>
      <c r="W270" s="38" t="s">
        <v>39</v>
      </c>
      <c r="X270" s="56">
        <v>252</v>
      </c>
      <c r="Y270" s="53">
        <f t="shared" si="18"/>
        <v>252</v>
      </c>
      <c r="Z270" s="39">
        <f t="shared" ref="Z270:Z276" si="23">IFERROR(IF(X270="","",X270*0.00936),"")</f>
        <v>2.3587199999999999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804.38400000000001</v>
      </c>
      <c r="BN270" s="78">
        <f t="shared" si="20"/>
        <v>804.38400000000001</v>
      </c>
      <c r="BO270" s="78">
        <f t="shared" si="21"/>
        <v>2</v>
      </c>
      <c r="BP270" s="78">
        <f t="shared" si="22"/>
        <v>2</v>
      </c>
    </row>
    <row r="271" spans="1:68" ht="27" customHeight="1" x14ac:dyDescent="0.25">
      <c r="A271" s="60" t="s">
        <v>373</v>
      </c>
      <c r="B271" s="60" t="s">
        <v>374</v>
      </c>
      <c r="C271" s="34">
        <v>4301135375</v>
      </c>
      <c r="D271" s="284">
        <v>4640242181486</v>
      </c>
      <c r="E271" s="284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29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7" t="s">
        <v>46</v>
      </c>
      <c r="V271" s="37" t="s">
        <v>46</v>
      </c>
      <c r="W271" s="38" t="s">
        <v>39</v>
      </c>
      <c r="X271" s="56">
        <v>252</v>
      </c>
      <c r="Y271" s="53">
        <f t="shared" si="18"/>
        <v>252</v>
      </c>
      <c r="Z271" s="39">
        <f t="shared" si="23"/>
        <v>2.3587199999999999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980.78399999999999</v>
      </c>
      <c r="BN271" s="78">
        <f t="shared" si="20"/>
        <v>980.78399999999999</v>
      </c>
      <c r="BO271" s="78">
        <f t="shared" si="21"/>
        <v>2</v>
      </c>
      <c r="BP271" s="78">
        <f t="shared" si="22"/>
        <v>2</v>
      </c>
    </row>
    <row r="272" spans="1:68" ht="37.5" hidden="1" customHeight="1" x14ac:dyDescent="0.25">
      <c r="A272" s="60" t="s">
        <v>375</v>
      </c>
      <c r="B272" s="60" t="s">
        <v>376</v>
      </c>
      <c r="C272" s="34">
        <v>4301135402</v>
      </c>
      <c r="D272" s="284">
        <v>4640242181493</v>
      </c>
      <c r="E272" s="284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29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hidden="1" customHeight="1" x14ac:dyDescent="0.25">
      <c r="A273" s="60" t="s">
        <v>377</v>
      </c>
      <c r="B273" s="60" t="s">
        <v>378</v>
      </c>
      <c r="C273" s="34">
        <v>4301135403</v>
      </c>
      <c r="D273" s="284">
        <v>4640242181509</v>
      </c>
      <c r="E273" s="284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4301135304</v>
      </c>
      <c r="D274" s="284">
        <v>4640242181240</v>
      </c>
      <c r="E274" s="284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381</v>
      </c>
      <c r="B275" s="60" t="s">
        <v>382</v>
      </c>
      <c r="C275" s="34">
        <v>4301135610</v>
      </c>
      <c r="D275" s="284">
        <v>4640242181318</v>
      </c>
      <c r="E275" s="284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4301137012</v>
      </c>
      <c r="D276" s="284">
        <v>4620207491935</v>
      </c>
      <c r="E276" s="284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2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292"/>
      <c r="P277" s="288" t="s">
        <v>40</v>
      </c>
      <c r="Q277" s="289"/>
      <c r="R277" s="289"/>
      <c r="S277" s="289"/>
      <c r="T277" s="289"/>
      <c r="U277" s="289"/>
      <c r="V277" s="290"/>
      <c r="W277" s="40" t="s">
        <v>39</v>
      </c>
      <c r="X277" s="41">
        <f>IFERROR(SUM(X267:X276),"0")</f>
        <v>714</v>
      </c>
      <c r="Y277" s="41">
        <f>IFERROR(SUM(Y267:Y276),"0")</f>
        <v>714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7.1988000000000003</v>
      </c>
      <c r="AA277" s="64"/>
      <c r="AB277" s="64"/>
      <c r="AC277" s="64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2"/>
      <c r="P278" s="288" t="s">
        <v>40</v>
      </c>
      <c r="Q278" s="289"/>
      <c r="R278" s="289"/>
      <c r="S278" s="289"/>
      <c r="T278" s="289"/>
      <c r="U278" s="289"/>
      <c r="V278" s="290"/>
      <c r="W278" s="40" t="s">
        <v>0</v>
      </c>
      <c r="X278" s="41">
        <f>IFERROR(SUMPRODUCT(X267:X276*H267:H276),"0")</f>
        <v>2616.6000000000004</v>
      </c>
      <c r="Y278" s="41">
        <f>IFERROR(SUMPRODUCT(Y267:Y276*H267:H276),"0")</f>
        <v>2616.6000000000004</v>
      </c>
      <c r="Z278" s="40"/>
      <c r="AA278" s="64"/>
      <c r="AB278" s="64"/>
      <c r="AC278" s="64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6"/>
      <c r="P279" s="293" t="s">
        <v>33</v>
      </c>
      <c r="Q279" s="294"/>
      <c r="R279" s="294"/>
      <c r="S279" s="294"/>
      <c r="T279" s="294"/>
      <c r="U279" s="294"/>
      <c r="V279" s="295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7074.4800000000005</v>
      </c>
      <c r="Y279" s="41">
        <f>IFERROR(Y31+Y37+Y44+Y50+Y58+Y63+Y67+Y73+Y79+Y84+Y90+Y100+Y106+Y117+Y121+Y125+Y133+Y139+Y145+Y152+Y158+Y163+Y168+Y173+Y180+Y185+Y194+Y200+Y206+Y212+Y217+Y222+Y228+Y234+Y238+Y244+Y248+Y255+Y259+Y265+Y278,"0")</f>
        <v>7074.4800000000005</v>
      </c>
      <c r="Z279" s="40"/>
      <c r="AA279" s="64"/>
      <c r="AB279" s="64"/>
      <c r="AC279" s="64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6"/>
      <c r="P280" s="293" t="s">
        <v>34</v>
      </c>
      <c r="Q280" s="294"/>
      <c r="R280" s="294"/>
      <c r="S280" s="294"/>
      <c r="T280" s="294"/>
      <c r="U280" s="294"/>
      <c r="V280" s="295"/>
      <c r="W280" s="40" t="s">
        <v>0</v>
      </c>
      <c r="X280" s="41">
        <f>IFERROR(SUM(BM22:BM276),"0")</f>
        <v>7697.4239999999991</v>
      </c>
      <c r="Y280" s="41">
        <f>IFERROR(SUM(BN22:BN276),"0")</f>
        <v>7697.4239999999991</v>
      </c>
      <c r="Z280" s="40"/>
      <c r="AA280" s="64"/>
      <c r="AB280" s="64"/>
      <c r="AC280" s="64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6"/>
      <c r="P281" s="293" t="s">
        <v>35</v>
      </c>
      <c r="Q281" s="294"/>
      <c r="R281" s="294"/>
      <c r="S281" s="294"/>
      <c r="T281" s="294"/>
      <c r="U281" s="294"/>
      <c r="V281" s="295"/>
      <c r="W281" s="40" t="s">
        <v>20</v>
      </c>
      <c r="X281" s="42">
        <f>ROUNDUP(SUM(BO22:BO276),0)</f>
        <v>20</v>
      </c>
      <c r="Y281" s="42">
        <f>ROUNDUP(SUM(BP22:BP276),0)</f>
        <v>20</v>
      </c>
      <c r="Z281" s="40"/>
      <c r="AA281" s="64"/>
      <c r="AB281" s="64"/>
      <c r="AC281" s="64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6"/>
      <c r="P282" s="293" t="s">
        <v>36</v>
      </c>
      <c r="Q282" s="294"/>
      <c r="R282" s="294"/>
      <c r="S282" s="294"/>
      <c r="T282" s="294"/>
      <c r="U282" s="294"/>
      <c r="V282" s="295"/>
      <c r="W282" s="40" t="s">
        <v>0</v>
      </c>
      <c r="X282" s="41">
        <f>GrossWeightTotal+PalletQtyTotal*25</f>
        <v>8197.4239999999991</v>
      </c>
      <c r="Y282" s="41">
        <f>GrossWeightTotalR+PalletQtyTotalR*25</f>
        <v>8197.4239999999991</v>
      </c>
      <c r="Z282" s="40"/>
      <c r="AA282" s="64"/>
      <c r="AB282" s="64"/>
      <c r="AC282" s="64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6"/>
      <c r="P283" s="293" t="s">
        <v>37</v>
      </c>
      <c r="Q283" s="294"/>
      <c r="R283" s="294"/>
      <c r="S283" s="294"/>
      <c r="T283" s="294"/>
      <c r="U283" s="294"/>
      <c r="V283" s="295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1862</v>
      </c>
      <c r="Y283" s="41">
        <f>IFERROR(Y30+Y36+Y43+Y49+Y57+Y62+Y66+Y72+Y78+Y83+Y89+Y99+Y105+Y116+Y120+Y124+Y132+Y138+Y144+Y151+Y157+Y162+Y167+Y172+Y179+Y184+Y193+Y199+Y205+Y211+Y216+Y221+Y227+Y233+Y237+Y243+Y247+Y254+Y258+Y264+Y277,"0")</f>
        <v>1862</v>
      </c>
      <c r="Z283" s="40"/>
      <c r="AA283" s="64"/>
      <c r="AB283" s="64"/>
      <c r="AC283" s="64"/>
    </row>
    <row r="284" spans="1:68" ht="14.25" hidden="1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6"/>
      <c r="P284" s="293" t="s">
        <v>38</v>
      </c>
      <c r="Q284" s="294"/>
      <c r="R284" s="294"/>
      <c r="S284" s="294"/>
      <c r="T284" s="294"/>
      <c r="U284" s="294"/>
      <c r="V284" s="295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25.139800000000001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280" t="s">
        <v>79</v>
      </c>
      <c r="C286" s="280" t="s">
        <v>79</v>
      </c>
      <c r="D286" s="280" t="s">
        <v>45</v>
      </c>
      <c r="E286" s="280" t="s">
        <v>45</v>
      </c>
      <c r="F286" s="280" t="s">
        <v>45</v>
      </c>
      <c r="G286" s="280" t="s">
        <v>45</v>
      </c>
      <c r="H286" s="280" t="s">
        <v>45</v>
      </c>
      <c r="I286" s="280" t="s">
        <v>45</v>
      </c>
      <c r="J286" s="280" t="s">
        <v>45</v>
      </c>
      <c r="K286" s="280" t="s">
        <v>45</v>
      </c>
      <c r="L286" s="280" t="s">
        <v>45</v>
      </c>
      <c r="M286" s="280" t="s">
        <v>45</v>
      </c>
      <c r="N286" s="281"/>
      <c r="O286" s="280" t="s">
        <v>45</v>
      </c>
      <c r="P286" s="280" t="s">
        <v>45</v>
      </c>
      <c r="Q286" s="280" t="s">
        <v>45</v>
      </c>
      <c r="R286" s="280" t="s">
        <v>45</v>
      </c>
      <c r="S286" s="280" t="s">
        <v>45</v>
      </c>
      <c r="T286" s="280" t="s">
        <v>45</v>
      </c>
      <c r="U286" s="280" t="s">
        <v>45</v>
      </c>
      <c r="V286" s="280" t="s">
        <v>270</v>
      </c>
      <c r="W286" s="280" t="s">
        <v>270</v>
      </c>
      <c r="X286" s="83" t="s">
        <v>281</v>
      </c>
      <c r="Y286" s="280" t="s">
        <v>295</v>
      </c>
      <c r="Z286" s="280" t="s">
        <v>295</v>
      </c>
      <c r="AA286" s="280" t="s">
        <v>295</v>
      </c>
      <c r="AB286" s="280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282" t="s">
        <v>10</v>
      </c>
      <c r="B287" s="280" t="s">
        <v>79</v>
      </c>
      <c r="C287" s="280" t="s">
        <v>104</v>
      </c>
      <c r="D287" s="280" t="s">
        <v>110</v>
      </c>
      <c r="E287" s="280" t="s">
        <v>121</v>
      </c>
      <c r="F287" s="280" t="s">
        <v>128</v>
      </c>
      <c r="G287" s="280" t="s">
        <v>139</v>
      </c>
      <c r="H287" s="280" t="s">
        <v>155</v>
      </c>
      <c r="I287" s="280" t="s">
        <v>162</v>
      </c>
      <c r="J287" s="280" t="s">
        <v>166</v>
      </c>
      <c r="K287" s="280" t="s">
        <v>174</v>
      </c>
      <c r="L287" s="280" t="s">
        <v>189</v>
      </c>
      <c r="M287" s="280" t="s">
        <v>195</v>
      </c>
      <c r="N287" s="1"/>
      <c r="O287" s="280" t="s">
        <v>220</v>
      </c>
      <c r="P287" s="280" t="s">
        <v>238</v>
      </c>
      <c r="Q287" s="280" t="s">
        <v>244</v>
      </c>
      <c r="R287" s="280" t="s">
        <v>253</v>
      </c>
      <c r="S287" s="280" t="s">
        <v>259</v>
      </c>
      <c r="T287" s="280" t="s">
        <v>263</v>
      </c>
      <c r="U287" s="280" t="s">
        <v>266</v>
      </c>
      <c r="V287" s="280" t="s">
        <v>271</v>
      </c>
      <c r="W287" s="280" t="s">
        <v>278</v>
      </c>
      <c r="X287" s="280" t="s">
        <v>282</v>
      </c>
      <c r="Y287" s="280" t="s">
        <v>296</v>
      </c>
      <c r="Z287" s="280" t="s">
        <v>309</v>
      </c>
      <c r="AA287" s="280" t="s">
        <v>316</v>
      </c>
      <c r="AB287" s="280" t="s">
        <v>320</v>
      </c>
      <c r="AC287" s="280" t="s">
        <v>325</v>
      </c>
      <c r="AD287" s="280" t="s">
        <v>330</v>
      </c>
      <c r="AE287" s="280" t="s">
        <v>337</v>
      </c>
      <c r="AF287" s="280" t="s">
        <v>344</v>
      </c>
    </row>
    <row r="288" spans="1:68" ht="13.5" thickBot="1" x14ac:dyDescent="0.25">
      <c r="A288" s="283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1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0</v>
      </c>
      <c r="J289" s="50">
        <f>IFERROR(X87*H87,"0")+IFERROR(X88*H88,"0")</f>
        <v>0</v>
      </c>
      <c r="K289" s="50">
        <f>IFERROR(X93*H93,"0")+IFERROR(X94*H94,"0")+IFERROR(X95*H95,"0")+IFERROR(X96*H96,"0")+IFERROR(X97*H97,"0")+IFERROR(X98*H98,"0")</f>
        <v>403.2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0</v>
      </c>
      <c r="N289" s="1"/>
      <c r="O289" s="50">
        <f>IFERROR(X128*H128,"0")+IFERROR(X129*H129,"0")+IFERROR(X130*H130,"0")+IFERROR(X131*H131,"0")+IFERROR(X135*H135,"0")+IFERROR(X136*H136,"0")+IFERROR(X137*H137,"0")</f>
        <v>190.68</v>
      </c>
      <c r="P289" s="50">
        <f>IFERROR(X142*H142,"0")+IFERROR(X143*H143,"0")</f>
        <v>630</v>
      </c>
      <c r="Q289" s="50">
        <f>IFERROR(X148*H148,"0")+IFERROR(X149*H149,"0")+IFERROR(X150*H150,"0")</f>
        <v>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210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5640.6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7074.48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62,00"/>
        <filter val="126,00"/>
        <filter val="14,00"/>
        <filter val="140,00"/>
        <filter val="190,68"/>
        <filter val="2 520,00"/>
        <filter val="2 616,60"/>
        <filter val="20"/>
        <filter val="210,00"/>
        <filter val="252,00"/>
        <filter val="28,00"/>
        <filter val="403,20"/>
        <filter val="42,00"/>
        <filter val="504,00"/>
        <filter val="56,00"/>
        <filter val="630,00"/>
        <filter val="7 074,48"/>
        <filter val="7 697,42"/>
        <filter val="70,00"/>
        <filter val="714,00"/>
        <filter val="8 197,42"/>
        <filter val="84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