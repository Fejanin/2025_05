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_ ;[Red]\-0\ 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Calibri"/>
      <b val="1"/>
      <sz val="11"/>
    </font>
    <font>
      <name val="Calibri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05959"/>
      </patternFill>
    </fill>
    <fill>
      <patternFill patternType="solid">
        <fgColor rgb="FF46D444"/>
      </patternFill>
    </fill>
    <fill>
      <patternFill patternType="solid">
        <fgColor rgb="0013E22E"/>
        <bgColor rgb="0013E22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pivotButton="0" quotePrefix="0" xfId="0"/>
    <xf numFmtId="164" fontId="1" fillId="0" borderId="1" pivotButton="0" quotePrefix="0" xfId="1"/>
    <xf numFmtId="164" fontId="2" fillId="2" borderId="1" pivotButton="0" quotePrefix="0" xfId="1"/>
    <xf numFmtId="164" fontId="3" fillId="2" borderId="1" pivotButton="0" quotePrefix="0" xfId="1"/>
    <xf numFmtId="164" fontId="1" fillId="3" borderId="1" pivotButton="0" quotePrefix="0" xfId="1"/>
    <xf numFmtId="164" fontId="1" fillId="0" borderId="2" pivotButton="0" quotePrefix="0" xfId="1"/>
    <xf numFmtId="164" fontId="1" fillId="4" borderId="1" pivotButton="0" quotePrefix="0" xfId="1"/>
    <xf numFmtId="164" fontId="1" fillId="5" borderId="1" pivotButton="0" quotePrefix="0" xfId="1"/>
    <xf numFmtId="2" fontId="0" fillId="0" borderId="0" pivotButton="0" quotePrefix="0" xfId="0"/>
    <xf numFmtId="164" fontId="2" fillId="6" borderId="1" pivotButton="0" quotePrefix="0" xfId="1"/>
  </cellXfs>
  <cellStyles count="2">
    <cellStyle name="Обычный" xfId="0" builtinId="0"/>
    <cellStyle name="Arial10px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4" sqref="V44"/>
    </sheetView>
  </sheetViews>
  <sheetFormatPr baseColWidth="8" defaultRowHeight="15"/>
  <cols>
    <col width="60" customWidth="1" min="1" max="1"/>
    <col width="3" customWidth="1" min="2" max="52"/>
    <col width="6" customWidth="1" min="3" max="3"/>
    <col width="6" customWidth="1" min="4" max="4"/>
    <col width="7" customWidth="1" min="5" max="5"/>
    <col width="7" customWidth="1" min="6" max="6"/>
    <col width="5" customWidth="1" style="8" min="7" max="7"/>
    <col width="5" customWidth="1" min="8" max="8"/>
    <col width="9" customWidth="1" min="9" max="9"/>
    <col width="1" customWidth="1" min="10" max="10"/>
    <col width="6.5" customWidth="1" min="11" max="11"/>
    <col width="5.5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7" customWidth="1" min="19" max="19"/>
    <col width="7" customWidth="1" min="20" max="20"/>
    <col width="7" customWidth="1" min="21" max="21"/>
    <col width="15" customWidth="1" min="22" max="22"/>
    <col width="5" customWidth="1" min="23" max="23"/>
    <col width="5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20" customWidth="1" min="36" max="36"/>
    <col width="6" customWidth="1" min="37" max="37"/>
    <col width="6" customWidth="1" min="38" max="38"/>
    <col width="7" customWidth="1" min="39" max="39"/>
    <col width="6" customWidth="1" min="40" max="40"/>
    <col width="5" customWidth="1" min="41" max="41"/>
    <col width="5" customWidth="1" min="42" max="42"/>
    <col width="6" customWidth="1" min="43" max="4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</row>
    <row r="3">
      <c r="A3" s="2" t="inlineStr">
        <is>
          <t>Номенклатура</t>
        </is>
      </c>
      <c r="B3" s="2" t="inlineStr">
        <is>
          <t>Ед. изм.</t>
        </is>
      </c>
      <c r="C3" s="2" t="inlineStr">
        <is>
          <t>Начальный остаток</t>
        </is>
      </c>
      <c r="D3" s="2" t="inlineStr">
        <is>
          <t>Приход</t>
        </is>
      </c>
      <c r="E3" s="2" t="inlineStr">
        <is>
          <t>Расход</t>
        </is>
      </c>
      <c r="F3" s="2" t="inlineStr">
        <is>
          <t>Конечный остаток</t>
        </is>
      </c>
      <c r="G3" s="2" t="inlineStr">
        <is>
          <t>крат</t>
        </is>
      </c>
      <c r="H3" s="2" t="inlineStr">
        <is>
          <t>сроки</t>
        </is>
      </c>
      <c r="I3" s="2" t="inlineStr">
        <is>
          <t>метка</t>
        </is>
      </c>
      <c r="J3" s="2" t="inlineStr">
        <is>
          <t>метка2</t>
        </is>
      </c>
      <c r="K3" s="2" t="inlineStr">
        <is>
          <t>заяв</t>
        </is>
      </c>
      <c r="L3" s="2" t="inlineStr">
        <is>
          <t>разн</t>
        </is>
      </c>
      <c r="M3" s="2" t="inlineStr">
        <is>
          <t>без опта</t>
        </is>
      </c>
      <c r="N3" s="2" t="inlineStr">
        <is>
          <t>опт</t>
        </is>
      </c>
      <c r="O3" s="2" t="inlineStr">
        <is>
          <t>заказ в пути</t>
        </is>
      </c>
      <c r="P3" s="2" t="inlineStr">
        <is>
          <t>заказ в пути</t>
        </is>
      </c>
      <c r="Q3" s="2" t="inlineStr">
        <is>
          <t>заказ в пути</t>
        </is>
      </c>
      <c r="R3" s="2" t="inlineStr">
        <is>
          <t>ср нов</t>
        </is>
      </c>
      <c r="S3" s="3" t="inlineStr">
        <is>
          <t>расчет (потребность)</t>
        </is>
      </c>
      <c r="T3" s="3" t="inlineStr">
        <is>
          <t>расчет (отгрузит завод)</t>
        </is>
      </c>
      <c r="U3" s="9" t="inlineStr">
        <is>
          <t>заказ филиала</t>
        </is>
      </c>
      <c r="V3" s="9" t="inlineStr">
        <is>
          <t>Комментарии филиала</t>
        </is>
      </c>
      <c r="W3" s="2" t="inlineStr">
        <is>
          <t>кон ост</t>
        </is>
      </c>
      <c r="X3" s="2" t="inlineStr">
        <is>
          <t>факт</t>
        </is>
      </c>
      <c r="Y3" s="2" t="inlineStr">
        <is>
          <t>ср</t>
        </is>
      </c>
      <c r="Z3" s="2" t="inlineStr">
        <is>
          <t>ср</t>
        </is>
      </c>
      <c r="AA3" s="2" t="inlineStr">
        <is>
          <t>ср</t>
        </is>
      </c>
      <c r="AB3" s="2" t="inlineStr">
        <is>
          <t>ср</t>
        </is>
      </c>
      <c r="AC3" s="2" t="inlineStr">
        <is>
          <t>ср</t>
        </is>
      </c>
      <c r="AD3" s="2" t="inlineStr">
        <is>
          <t>ср</t>
        </is>
      </c>
      <c r="AE3" s="2" t="inlineStr">
        <is>
          <t>ср</t>
        </is>
      </c>
      <c r="AF3" s="2" t="inlineStr">
        <is>
          <t>ср</t>
        </is>
      </c>
      <c r="AG3" s="2" t="inlineStr">
        <is>
          <t>ср</t>
        </is>
      </c>
      <c r="AH3" s="2" t="inlineStr">
        <is>
          <t>ср</t>
        </is>
      </c>
      <c r="AI3" s="2" t="inlineStr">
        <is>
          <t>ср</t>
        </is>
      </c>
      <c r="AJ3" s="2" t="inlineStr">
        <is>
          <t>комментарии</t>
        </is>
      </c>
      <c r="AK3" s="2" t="inlineStr">
        <is>
          <t>вес</t>
        </is>
      </c>
      <c r="AL3" s="2" t="inlineStr">
        <is>
          <t>крат кор</t>
        </is>
      </c>
      <c r="AM3" s="2" t="inlineStr">
        <is>
          <t>заказ кор.</t>
        </is>
      </c>
      <c r="AN3" s="2" t="inlineStr">
        <is>
          <t>ВЕС</t>
        </is>
      </c>
      <c r="AO3" s="2" t="inlineStr">
        <is>
          <t>ряд</t>
        </is>
      </c>
      <c r="AP3" s="2" t="inlineStr">
        <is>
          <t>паллет</t>
        </is>
      </c>
      <c r="AQ3" s="2" t="inlineStr">
        <is>
          <t>кол-во паллет</t>
        </is>
      </c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inlineStr">
        <is>
          <t>12,10,</t>
        </is>
      </c>
      <c r="P4" s="1" t="inlineStr">
        <is>
          <t>19,10,</t>
        </is>
      </c>
      <c r="Q4" s="1" t="inlineStr">
        <is>
          <t>20,10,</t>
        </is>
      </c>
      <c r="R4" s="1" t="inlineStr">
        <is>
          <t>22,10,</t>
        </is>
      </c>
      <c r="S4" s="1" t="n"/>
      <c r="T4" s="1" t="n"/>
      <c r="U4" s="1" t="n"/>
      <c r="V4" s="1" t="n"/>
      <c r="W4" s="1" t="n"/>
      <c r="X4" s="1" t="n"/>
      <c r="Y4" s="1" t="inlineStr">
        <is>
          <t>15,10,</t>
        </is>
      </c>
      <c r="Z4" s="1" t="inlineStr">
        <is>
          <t>08,10,</t>
        </is>
      </c>
      <c r="AA4" s="1" t="inlineStr">
        <is>
          <t>01,10,</t>
        </is>
      </c>
      <c r="AB4" s="1" t="inlineStr">
        <is>
          <t>24,09,</t>
        </is>
      </c>
      <c r="AC4" s="1" t="inlineStr">
        <is>
          <t>22,09,</t>
        </is>
      </c>
      <c r="AD4" s="1" t="inlineStr">
        <is>
          <t>17,09,</t>
        </is>
      </c>
      <c r="AE4" s="1" t="inlineStr">
        <is>
          <t>10,09,</t>
        </is>
      </c>
      <c r="AF4" s="1" t="inlineStr">
        <is>
          <t>03,09,</t>
        </is>
      </c>
      <c r="AG4" s="1" t="inlineStr">
        <is>
          <t>27,08,</t>
        </is>
      </c>
      <c r="AH4" s="1" t="inlineStr">
        <is>
          <t>20,08,</t>
        </is>
      </c>
      <c r="AI4" s="1" t="inlineStr">
        <is>
          <t>16,08,</t>
        </is>
      </c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</row>
    <row r="5">
      <c r="A5" s="1" t="n"/>
      <c r="B5" s="1" t="n"/>
      <c r="C5" s="1" t="n"/>
      <c r="D5" s="1" t="n"/>
      <c r="E5" s="4">
        <f>SUM(E6:E499)</f>
        <v/>
      </c>
      <c r="F5" s="4">
        <f>SUM(F6:F499)</f>
        <v/>
      </c>
      <c r="G5" s="1" t="n"/>
      <c r="H5" s="1" t="n"/>
      <c r="I5" s="1" t="n"/>
      <c r="J5" s="1" t="n"/>
      <c r="K5" s="4">
        <f>SUM(K6:K499)</f>
        <v/>
      </c>
      <c r="L5" s="4">
        <f>SUM(L6:L499)</f>
        <v/>
      </c>
      <c r="M5" s="4">
        <f>SUM(M6:M499)</f>
        <v/>
      </c>
      <c r="N5" s="4">
        <f>SUM(N6:N499)</f>
        <v/>
      </c>
      <c r="O5" s="4">
        <f>SUM(O6:O499)</f>
        <v/>
      </c>
      <c r="P5" s="4">
        <f>SUM(P6:P499)</f>
        <v/>
      </c>
      <c r="Q5" s="4">
        <f>SUM(Q6:Q499)</f>
        <v/>
      </c>
      <c r="R5" s="4">
        <f>SUM(R6:R499)</f>
        <v/>
      </c>
      <c r="S5" s="4">
        <f>SUM(S6:S499)</f>
        <v/>
      </c>
      <c r="T5" s="4">
        <f>SUM(T6:T499)</f>
        <v/>
      </c>
      <c r="U5" s="4">
        <f>SUM(U6:U499)</f>
        <v/>
      </c>
      <c r="V5" s="1" t="n"/>
      <c r="W5" s="1" t="n"/>
      <c r="X5" s="1" t="n"/>
      <c r="Y5" s="4">
        <f>SUM(Y6:Y499)</f>
        <v/>
      </c>
      <c r="Z5" s="4">
        <f>SUM(Z6:Z499)</f>
        <v/>
      </c>
      <c r="AA5" s="4">
        <f>SUM(AA6:AA499)</f>
        <v/>
      </c>
      <c r="AB5" s="4">
        <f>SUM(AB6:AB499)</f>
        <v/>
      </c>
      <c r="AC5" s="4">
        <f>SUM(AC6:AC499)</f>
        <v/>
      </c>
      <c r="AD5" s="4">
        <f>SUM(AD6:AD499)</f>
        <v/>
      </c>
      <c r="AE5" s="4">
        <f>SUM(AE6:AE499)</f>
        <v/>
      </c>
      <c r="AF5" s="4">
        <f>SUM(AF6:AF499)</f>
        <v/>
      </c>
      <c r="AG5" s="4">
        <f>SUM(AG6:AG499)</f>
        <v/>
      </c>
      <c r="AH5" s="4">
        <f>SUM(AH6:AH499)</f>
        <v/>
      </c>
      <c r="AI5" s="4">
        <f>SUM(AI6:AI499)</f>
        <v/>
      </c>
      <c r="AJ5" s="1" t="n"/>
      <c r="AK5" s="4">
        <f>SUM(AK6:AK499)</f>
        <v/>
      </c>
      <c r="AL5" s="1" t="n"/>
      <c r="AM5" s="4">
        <f>SUM(AM6:AM499)</f>
        <v/>
      </c>
      <c r="AN5" s="4">
        <f>SUM(AN6:AN499)</f>
        <v/>
      </c>
      <c r="AO5" s="1" t="n"/>
      <c r="AP5" s="1" t="n"/>
      <c r="AQ5" s="4">
        <f>SUM(AQ6:AQ499)</f>
        <v/>
      </c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</row>
    <row r="6">
      <c r="A6" s="1" t="inlineStr">
        <is>
          <t>БОНУС_Готовые чебупели сочные с мясом ТМ Горячая штучка флоу-пак 0,24 кг  ПОКОМ</t>
        </is>
      </c>
      <c r="B6" s="1" t="inlineStr">
        <is>
          <t>шт</t>
        </is>
      </c>
      <c r="C6" s="1" t="n">
        <v>36</v>
      </c>
      <c r="D6" s="1" t="n">
        <v>311</v>
      </c>
      <c r="E6" s="1" t="n">
        <v>135</v>
      </c>
      <c r="F6" s="1" t="n">
        <v>212</v>
      </c>
      <c r="G6" s="1" t="n">
        <v>0</v>
      </c>
      <c r="H6" s="1" t="n"/>
      <c r="I6" s="1" t="inlineStr">
        <is>
          <t>бонус</t>
        </is>
      </c>
      <c r="J6" s="1" t="inlineStr">
        <is>
          <t>Готовые чебупели сочные с мясом ТМ Горячая штучка флоу-пак 0,24 кг  ПОКОМ</t>
        </is>
      </c>
      <c r="K6" s="1" t="n">
        <v>136</v>
      </c>
      <c r="L6" s="1">
        <f>E6-K6</f>
        <v/>
      </c>
      <c r="M6" s="1" t="n"/>
      <c r="N6" s="1" t="n"/>
      <c r="O6" s="1" t="n"/>
      <c r="P6" s="1" t="n"/>
      <c r="Q6" s="1" t="n"/>
      <c r="R6" s="1" t="n"/>
      <c r="S6" s="5" t="n"/>
      <c r="T6" s="5" t="n"/>
      <c r="U6" s="5" t="n"/>
      <c r="V6" s="1" t="n"/>
      <c r="W6" s="1" t="n"/>
      <c r="X6" s="1" t="n"/>
      <c r="Y6" s="1" t="n">
        <v>23.2</v>
      </c>
      <c r="Z6" s="1" t="n">
        <v>28.8</v>
      </c>
      <c r="AA6" s="1" t="n">
        <v>20.8</v>
      </c>
      <c r="AB6" s="1" t="n">
        <v>24.2</v>
      </c>
      <c r="AC6" s="1" t="n">
        <v>27.4</v>
      </c>
      <c r="AD6" s="1" t="n">
        <v>22.6</v>
      </c>
      <c r="AE6" s="1" t="n">
        <v>31</v>
      </c>
      <c r="AF6" s="1" t="n">
        <v>6.4</v>
      </c>
      <c r="AG6" s="1" t="n">
        <v>10.8</v>
      </c>
      <c r="AH6" s="1" t="n">
        <v>17.6</v>
      </c>
      <c r="AI6" s="1" t="n">
        <v>13.2</v>
      </c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</row>
    <row r="7">
      <c r="A7" s="1" t="inlineStr">
        <is>
          <t>БОНУС_Наггетсы Нагетосы Сочная курочка ТМ Горячая штучка 0,25 кг зам  ПОКОМ</t>
        </is>
      </c>
      <c r="B7" s="1" t="inlineStr">
        <is>
          <t>шт</t>
        </is>
      </c>
      <c r="C7" s="1" t="n">
        <v>36</v>
      </c>
      <c r="D7" s="1" t="n">
        <v>303</v>
      </c>
      <c r="E7" s="1" t="n">
        <v>112</v>
      </c>
      <c r="F7" s="1" t="n">
        <v>224</v>
      </c>
      <c r="G7" s="1" t="n">
        <v>0</v>
      </c>
      <c r="H7" s="1" t="n"/>
      <c r="I7" s="1" t="inlineStr">
        <is>
          <t>бонус</t>
        </is>
      </c>
      <c r="J7" s="1" t="inlineStr">
        <is>
          <t>Наггетсы Нагетосы Сочная курочка ТМ Горячая штучка 0,25 кг зам  ПОКОМ</t>
        </is>
      </c>
      <c r="K7" s="1" t="n">
        <v>114</v>
      </c>
      <c r="L7" s="1">
        <f>E7-K7</f>
        <v/>
      </c>
      <c r="M7" s="1" t="n"/>
      <c r="N7" s="1" t="n"/>
      <c r="O7" s="1" t="n"/>
      <c r="P7" s="1" t="n"/>
      <c r="Q7" s="1" t="n"/>
      <c r="R7" s="1" t="n"/>
      <c r="S7" s="5" t="n"/>
      <c r="T7" s="5" t="n"/>
      <c r="U7" s="5" t="n"/>
      <c r="V7" s="1" t="n"/>
      <c r="W7" s="1" t="n"/>
      <c r="X7" s="1" t="n"/>
      <c r="Y7" s="1" t="n">
        <v>23.2</v>
      </c>
      <c r="Z7" s="1" t="n">
        <v>17</v>
      </c>
      <c r="AA7" s="1" t="n">
        <v>21.4</v>
      </c>
      <c r="AB7" s="1" t="n">
        <v>21.8</v>
      </c>
      <c r="AC7" s="1" t="n">
        <v>27.2</v>
      </c>
      <c r="AD7" s="1" t="n">
        <v>25.4</v>
      </c>
      <c r="AE7" s="1" t="n">
        <v>31</v>
      </c>
      <c r="AF7" s="1" t="n">
        <v>4.4</v>
      </c>
      <c r="AG7" s="1" t="n">
        <v>0</v>
      </c>
      <c r="AH7" s="1" t="n">
        <v>0</v>
      </c>
      <c r="AI7" s="1" t="n">
        <v>0</v>
      </c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</row>
    <row r="8">
      <c r="A8" s="6" t="inlineStr">
        <is>
          <t>Вареники «Медвежье ушко Премиум с картофелем и лесными грибами» 0,6 классическая форма ТМ «Медвежье ушко»</t>
        </is>
      </c>
      <c r="B8" s="1" t="inlineStr">
        <is>
          <t>шт</t>
        </is>
      </c>
      <c r="C8" s="1" t="n"/>
      <c r="D8" s="1" t="n"/>
      <c r="E8" s="1" t="n"/>
      <c r="F8" s="1" t="n"/>
      <c r="G8" s="1" t="n">
        <v>0.6</v>
      </c>
      <c r="H8" s="1" t="n">
        <v>180</v>
      </c>
      <c r="I8" s="1" t="inlineStr">
        <is>
          <t>SU004310</t>
        </is>
      </c>
      <c r="J8" s="1" t="n"/>
      <c r="K8" s="1" t="n"/>
      <c r="L8" s="1">
        <f>E8-K8</f>
        <v/>
      </c>
      <c r="M8" s="1" t="n"/>
      <c r="N8" s="1" t="n"/>
      <c r="O8" s="1" t="n"/>
      <c r="P8" s="1" t="n">
        <v>240</v>
      </c>
      <c r="Q8" s="1" t="n"/>
      <c r="R8" s="1" t="n"/>
      <c r="S8" s="5" t="n"/>
      <c r="T8" s="5">
        <f>AL8*AM8</f>
        <v/>
      </c>
      <c r="U8" s="5" t="n"/>
      <c r="V8" s="1" t="n"/>
      <c r="W8" s="1" t="n"/>
      <c r="X8" s="1" t="n"/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inlineStr">
        <is>
          <t>новинка</t>
        </is>
      </c>
      <c r="AK8" s="1">
        <f>G8*S8</f>
        <v/>
      </c>
      <c r="AL8" s="1" t="n">
        <v>10</v>
      </c>
      <c r="AM8" s="1">
        <f>MROUND(S8, AL8*AO8)/AL8</f>
        <v/>
      </c>
      <c r="AN8" s="1">
        <f>AM8*AL8*G8</f>
        <v/>
      </c>
      <c r="AO8" s="1" t="n">
        <v>12</v>
      </c>
      <c r="AP8" s="1" t="n">
        <v>84</v>
      </c>
      <c r="AQ8" s="1">
        <f>AM8/AP8</f>
        <v/>
      </c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</row>
    <row r="9">
      <c r="A9" s="1" t="inlineStr">
        <is>
          <t>Готовая чебупицца курочка по-итальянски 0,25кг ТМ Горячая штучка  ПОКОМ</t>
        </is>
      </c>
      <c r="B9" s="1" t="inlineStr">
        <is>
          <t>шт</t>
        </is>
      </c>
      <c r="C9" s="1" t="n">
        <v>495</v>
      </c>
      <c r="D9" s="1" t="n">
        <v>2433</v>
      </c>
      <c r="E9" s="1" t="n">
        <v>431</v>
      </c>
      <c r="F9" s="1" t="n">
        <v>1701</v>
      </c>
      <c r="G9" s="1" t="n">
        <v>0</v>
      </c>
      <c r="H9" s="1" t="n">
        <v>180</v>
      </c>
      <c r="I9" s="1" t="inlineStr">
        <is>
          <t>дубль</t>
        </is>
      </c>
      <c r="J9" s="1" t="inlineStr">
        <is>
          <t>Чебупицца курочка по-итальянски Горячая штучка 0,25 кг зам  ПОКОМ</t>
        </is>
      </c>
      <c r="K9" s="1" t="n">
        <v>455</v>
      </c>
      <c r="L9" s="1">
        <f>E9-K9</f>
        <v/>
      </c>
      <c r="M9" s="1" t="n"/>
      <c r="N9" s="1" t="n"/>
      <c r="O9" s="1" t="n"/>
      <c r="P9" s="1" t="n"/>
      <c r="Q9" s="1" t="n"/>
      <c r="R9" s="1" t="n"/>
      <c r="S9" s="5" t="n"/>
      <c r="T9" s="5" t="n"/>
      <c r="U9" s="5" t="n"/>
      <c r="V9" s="1" t="n"/>
      <c r="W9" s="1" t="n"/>
      <c r="X9" s="1" t="n"/>
      <c r="Y9" s="1" t="n">
        <v>1.4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</row>
    <row r="10">
      <c r="A10" s="1" t="inlineStr">
        <is>
          <t>Готовые бельмеши сочные с мясом ТМ Горячая штучка 0,3кг зам  ПОКОМ</t>
        </is>
      </c>
      <c r="B10" s="1" t="inlineStr">
        <is>
          <t>шт</t>
        </is>
      </c>
      <c r="C10" s="1" t="n">
        <v>-13</v>
      </c>
      <c r="D10" s="1" t="n">
        <v>824</v>
      </c>
      <c r="E10" s="1" t="n">
        <v>115</v>
      </c>
      <c r="F10" s="1" t="n">
        <v>-3</v>
      </c>
      <c r="G10" s="1" t="n">
        <v>0.3</v>
      </c>
      <c r="H10" s="1" t="n">
        <v>180</v>
      </c>
      <c r="I10" s="1" t="inlineStr">
        <is>
          <t>P004598</t>
        </is>
      </c>
      <c r="J10" s="1" t="n"/>
      <c r="K10" s="1" t="n">
        <v>294</v>
      </c>
      <c r="L10" s="1">
        <f>E10-K10</f>
        <v/>
      </c>
      <c r="M10" s="1" t="n"/>
      <c r="N10" s="1" t="n"/>
      <c r="O10" s="1" t="n">
        <v>0</v>
      </c>
      <c r="P10" s="1" t="n">
        <v>1008</v>
      </c>
      <c r="Q10" s="1" t="n"/>
      <c r="R10" s="1" t="n"/>
      <c r="S10" s="5" t="n"/>
      <c r="T10" s="5">
        <f>AL10*AM10</f>
        <v/>
      </c>
      <c r="U10" s="5" t="n"/>
      <c r="V10" s="1" t="n"/>
      <c r="W10" s="1" t="n"/>
      <c r="X10" s="1" t="n"/>
      <c r="Y10" s="1" t="n">
        <v>96.2</v>
      </c>
      <c r="Z10" s="1" t="n">
        <v>34.4</v>
      </c>
      <c r="AA10" s="1" t="n">
        <v>56.4</v>
      </c>
      <c r="AB10" s="1" t="n">
        <v>54.4</v>
      </c>
      <c r="AC10" s="1" t="n">
        <v>74.2</v>
      </c>
      <c r="AD10" s="1" t="n">
        <v>66.2</v>
      </c>
      <c r="AE10" s="1" t="n">
        <v>59.2</v>
      </c>
      <c r="AF10" s="1" t="n">
        <v>80.59999999999999</v>
      </c>
      <c r="AG10" s="1" t="n">
        <v>35.4</v>
      </c>
      <c r="AH10" s="1" t="n">
        <v>93.8</v>
      </c>
      <c r="AI10" s="1" t="n">
        <v>69.8</v>
      </c>
      <c r="AJ10" s="1" t="n"/>
      <c r="AK10" s="1">
        <f>G10*S10</f>
        <v/>
      </c>
      <c r="AL10" s="1" t="n">
        <v>12</v>
      </c>
      <c r="AM10" s="1">
        <f>MROUND(S10, AL10*AO10)/AL10</f>
        <v/>
      </c>
      <c r="AN10" s="1">
        <f>AM10*AL10*G10</f>
        <v/>
      </c>
      <c r="AO10" s="1" t="n">
        <v>14</v>
      </c>
      <c r="AP10" s="1" t="n">
        <v>70</v>
      </c>
      <c r="AQ10" s="1">
        <f>AM10/AP10</f>
        <v/>
      </c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</row>
    <row r="11">
      <c r="A11" s="1" t="inlineStr">
        <is>
          <t>Готовые круггетсы сочные ТМ Горячая штучка флоу пак 0,2кг  ПОКОМ</t>
        </is>
      </c>
      <c r="B11" s="1" t="inlineStr">
        <is>
          <t>шт</t>
        </is>
      </c>
      <c r="C11" s="1" t="n">
        <v>161</v>
      </c>
      <c r="D11" s="1" t="n">
        <v>853</v>
      </c>
      <c r="E11" s="1" t="n">
        <v>186</v>
      </c>
      <c r="F11" s="1" t="n">
        <v>668</v>
      </c>
      <c r="G11" s="1" t="n">
        <v>0</v>
      </c>
      <c r="H11" s="1" t="n">
        <v>180</v>
      </c>
      <c r="I11" s="1" t="inlineStr">
        <is>
          <t>дубль</t>
        </is>
      </c>
      <c r="J11" s="1" t="inlineStr">
        <is>
          <t>Круггетсы сочные ТМ Горячая штучка ТС Круггетсы флоу-пак  0,2 кг.  ПОКОМ</t>
        </is>
      </c>
      <c r="K11" s="1" t="n">
        <v>192</v>
      </c>
      <c r="L11" s="1">
        <f>E11-K11</f>
        <v/>
      </c>
      <c r="M11" s="1" t="n"/>
      <c r="N11" s="1" t="n"/>
      <c r="O11" s="1" t="n"/>
      <c r="P11" s="1" t="n"/>
      <c r="Q11" s="1" t="n"/>
      <c r="R11" s="1" t="n"/>
      <c r="S11" s="5" t="n"/>
      <c r="T11" s="5" t="n"/>
      <c r="U11" s="5" t="n"/>
      <c r="V11" s="1" t="n"/>
      <c r="W11" s="1" t="n"/>
      <c r="X11" s="1" t="n"/>
      <c r="Y11" s="1" t="n">
        <v>1.4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</row>
    <row r="12">
      <c r="A12" s="1" t="inlineStr">
        <is>
          <t>Готовые пекерсы с индейкой в сливочном соусе ТМ Горячая штучка флоу-пак 0,25кг  ПОКОМ</t>
        </is>
      </c>
      <c r="B12" s="1" t="inlineStr">
        <is>
          <t>шт</t>
        </is>
      </c>
      <c r="C12" s="1" t="n">
        <v>368</v>
      </c>
      <c r="D12" s="1" t="n">
        <v>225</v>
      </c>
      <c r="E12" s="1" t="n">
        <v>168</v>
      </c>
      <c r="F12" s="1" t="n">
        <v>210</v>
      </c>
      <c r="G12" s="1" t="n">
        <v>0</v>
      </c>
      <c r="H12" s="1" t="n">
        <v>180</v>
      </c>
      <c r="I12" s="1" t="inlineStr">
        <is>
          <t>дубль</t>
        </is>
      </c>
      <c r="J12" s="1" t="inlineStr">
        <is>
          <t>Пекерсы с индейкой в сливочном соусе ТМ Горячая штучка 0,25 кг зам  ПОКОМ</t>
        </is>
      </c>
      <c r="K12" s="1" t="n">
        <v>172</v>
      </c>
      <c r="L12" s="1">
        <f>E12-K12</f>
        <v/>
      </c>
      <c r="M12" s="1" t="n"/>
      <c r="N12" s="1" t="n"/>
      <c r="O12" s="1" t="n"/>
      <c r="P12" s="1" t="n"/>
      <c r="Q12" s="1" t="n"/>
      <c r="R12" s="1" t="n"/>
      <c r="S12" s="5" t="n"/>
      <c r="T12" s="5" t="n"/>
      <c r="U12" s="5" t="n"/>
      <c r="V12" s="1" t="n"/>
      <c r="W12" s="1" t="n"/>
      <c r="X12" s="1" t="n"/>
      <c r="Y12" s="1" t="n">
        <v>25.2</v>
      </c>
      <c r="Z12" s="1" t="n">
        <v>25.6</v>
      </c>
      <c r="AA12" s="1" t="n">
        <v>7.4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</row>
    <row r="13">
      <c r="A13" s="1" t="inlineStr">
        <is>
          <t>Готовые хотстеры ТМ Горячая штучка ТС Хотстеры флоу-пак 0,25 кг.  ПОКОМ</t>
        </is>
      </c>
      <c r="B13" s="1" t="inlineStr">
        <is>
          <t>шт</t>
        </is>
      </c>
      <c r="C13" s="1" t="n">
        <v>1612</v>
      </c>
      <c r="D13" s="1" t="n">
        <v>67</v>
      </c>
      <c r="E13" s="1" t="n">
        <v>654</v>
      </c>
      <c r="F13" s="1" t="n">
        <v>612</v>
      </c>
      <c r="G13" s="1" t="n">
        <v>0</v>
      </c>
      <c r="H13" s="1" t="n">
        <v>180</v>
      </c>
      <c r="I13" s="1" t="inlineStr">
        <is>
          <t>дубль</t>
        </is>
      </c>
      <c r="J13" s="1" t="inlineStr">
        <is>
          <t>Хотстеры ТМ Горячая штучка ТС Хотстеры 0,25 кг зам  ПОКОМ</t>
        </is>
      </c>
      <c r="K13" s="1" t="n">
        <v>710</v>
      </c>
      <c r="L13" s="1">
        <f>E13-K13</f>
        <v/>
      </c>
      <c r="M13" s="1" t="n"/>
      <c r="N13" s="1" t="n"/>
      <c r="O13" s="1" t="n"/>
      <c r="P13" s="1" t="n"/>
      <c r="Q13" s="1" t="n"/>
      <c r="R13" s="1" t="n"/>
      <c r="S13" s="5" t="n"/>
      <c r="T13" s="5" t="n"/>
      <c r="U13" s="5" t="n"/>
      <c r="V13" s="1" t="n"/>
      <c r="W13" s="1" t="n"/>
      <c r="X13" s="1" t="n"/>
      <c r="Y13" s="1" t="n">
        <v>56.6</v>
      </c>
      <c r="Z13" s="1" t="n">
        <v>66.59999999999999</v>
      </c>
      <c r="AA13" s="1" t="n">
        <v>86.40000000000001</v>
      </c>
      <c r="AB13" s="1" t="n">
        <v>36.2</v>
      </c>
      <c r="AC13" s="1" t="n">
        <v>30.8</v>
      </c>
      <c r="AD13" s="1" t="n">
        <v>17.6</v>
      </c>
      <c r="AE13" s="1" t="n">
        <v>3.2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</row>
    <row r="14">
      <c r="A14" s="1" t="inlineStr">
        <is>
          <t>Готовые хотстеры с сыром ТМ Горячая штучка ТС Хотстеры флоу-пак 0,25 кг.  ПОКОМ</t>
        </is>
      </c>
      <c r="B14" s="1" t="inlineStr">
        <is>
          <t>шт</t>
        </is>
      </c>
      <c r="C14" s="1" t="n">
        <v>880</v>
      </c>
      <c r="D14" s="1" t="n">
        <v>196</v>
      </c>
      <c r="E14" s="1" t="n">
        <v>318</v>
      </c>
      <c r="F14" s="1" t="n">
        <v>383</v>
      </c>
      <c r="G14" s="1" t="n">
        <v>0</v>
      </c>
      <c r="H14" s="1" t="n">
        <v>180</v>
      </c>
      <c r="I14" s="1" t="inlineStr">
        <is>
          <t>дубль</t>
        </is>
      </c>
      <c r="J14" s="1" t="inlineStr">
        <is>
          <t>Хотстеры с сыром ТМ Горячая штучка ТС Хотстеры 0,25кг.  Поком</t>
        </is>
      </c>
      <c r="K14" s="1" t="n">
        <v>394</v>
      </c>
      <c r="L14" s="1">
        <f>E14-K14</f>
        <v/>
      </c>
      <c r="M14" s="1" t="n"/>
      <c r="N14" s="1" t="n"/>
      <c r="O14" s="1" t="n"/>
      <c r="P14" s="1" t="n"/>
      <c r="Q14" s="1" t="n"/>
      <c r="R14" s="1" t="n"/>
      <c r="S14" s="5" t="n"/>
      <c r="T14" s="5" t="n"/>
      <c r="U14" s="5" t="n"/>
      <c r="V14" s="1" t="n"/>
      <c r="W14" s="1" t="n"/>
      <c r="X14" s="1" t="n"/>
      <c r="Y14" s="1" t="n">
        <v>18.8</v>
      </c>
      <c r="Z14" s="1" t="n">
        <v>7</v>
      </c>
      <c r="AA14" s="1" t="n">
        <v>0.4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</row>
    <row r="15">
      <c r="A15" s="1" t="inlineStr">
        <is>
          <t>Готовые чебуманы с говядиной ТМ горячая штучка 0,28 кг.  Поком</t>
        </is>
      </c>
      <c r="B15" s="1" t="inlineStr">
        <is>
          <t>шт</t>
        </is>
      </c>
      <c r="C15" s="1" t="n">
        <v>-6</v>
      </c>
      <c r="D15" s="1" t="n">
        <v>1228</v>
      </c>
      <c r="E15" s="1" t="n">
        <v>336</v>
      </c>
      <c r="F15" s="1" t="n">
        <v>6</v>
      </c>
      <c r="G15" s="1" t="n">
        <v>0.28</v>
      </c>
      <c r="H15" s="1" t="n">
        <v>180</v>
      </c>
      <c r="I15" s="1" t="inlineStr">
        <is>
          <t>P004597</t>
        </is>
      </c>
      <c r="J15" s="1" t="n"/>
      <c r="K15" s="1" t="n">
        <v>388</v>
      </c>
      <c r="L15" s="1">
        <f>E15-K15</f>
        <v/>
      </c>
      <c r="M15" s="1" t="n"/>
      <c r="N15" s="1" t="n"/>
      <c r="O15" s="1" t="n">
        <v>336</v>
      </c>
      <c r="P15" s="1" t="n">
        <v>756</v>
      </c>
      <c r="Q15" s="1" t="n"/>
      <c r="R15" s="1" t="n"/>
      <c r="S15" s="5" t="n"/>
      <c r="T15" s="5">
        <f>AL15*AM15</f>
        <v/>
      </c>
      <c r="U15" s="5" t="n"/>
      <c r="V15" s="1" t="n"/>
      <c r="W15" s="1" t="n"/>
      <c r="X15" s="1" t="n"/>
      <c r="Y15" s="1" t="n">
        <v>101.8</v>
      </c>
      <c r="Z15" s="1" t="n">
        <v>99.59999999999999</v>
      </c>
      <c r="AA15" s="1" t="n">
        <v>98.2</v>
      </c>
      <c r="AB15" s="1" t="n">
        <v>107</v>
      </c>
      <c r="AC15" s="1" t="n">
        <v>125.8</v>
      </c>
      <c r="AD15" s="1" t="n">
        <v>110.6</v>
      </c>
      <c r="AE15" s="1" t="n">
        <v>135</v>
      </c>
      <c r="AF15" s="1" t="n">
        <v>170.2</v>
      </c>
      <c r="AG15" s="1" t="n">
        <v>160.6</v>
      </c>
      <c r="AH15" s="1" t="n">
        <v>137.6</v>
      </c>
      <c r="AI15" s="1" t="n">
        <v>93.40000000000001</v>
      </c>
      <c r="AJ15" s="1" t="n"/>
      <c r="AK15" s="1">
        <f>G15*S15</f>
        <v/>
      </c>
      <c r="AL15" s="1" t="n">
        <v>6</v>
      </c>
      <c r="AM15" s="1">
        <f>MROUND(S15, AL15*AO15)/AL15</f>
        <v/>
      </c>
      <c r="AN15" s="1">
        <f>AM15*AL15*G15</f>
        <v/>
      </c>
      <c r="AO15" s="1" t="n">
        <v>14</v>
      </c>
      <c r="AP15" s="1" t="n">
        <v>140</v>
      </c>
      <c r="AQ15" s="1">
        <f>AM15/AP15</f>
        <v/>
      </c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</row>
    <row r="16">
      <c r="A16" s="1" t="inlineStr">
        <is>
          <t>Готовые чебупели острые с мясом ТМ Горячая штучка флоу-пак 0,24 кг  Поком</t>
        </is>
      </c>
      <c r="B16" s="1" t="inlineStr">
        <is>
          <t>шт</t>
        </is>
      </c>
      <c r="C16" s="1" t="n">
        <v>786</v>
      </c>
      <c r="D16" s="1" t="n">
        <v>885</v>
      </c>
      <c r="E16" s="1" t="n">
        <v>591</v>
      </c>
      <c r="F16" s="1" t="n">
        <v>235</v>
      </c>
      <c r="G16" s="1" t="n">
        <v>0.24</v>
      </c>
      <c r="H16" s="1" t="n">
        <v>180</v>
      </c>
      <c r="I16" s="1" t="inlineStr">
        <is>
          <t>P004969</t>
        </is>
      </c>
      <c r="J16" s="1" t="n"/>
      <c r="K16" s="1" t="n">
        <v>619</v>
      </c>
      <c r="L16" s="1">
        <f>E16-K16</f>
        <v/>
      </c>
      <c r="M16" s="1" t="n"/>
      <c r="N16" s="1" t="n"/>
      <c r="O16" s="1" t="n">
        <v>0</v>
      </c>
      <c r="P16" s="1" t="n">
        <v>840</v>
      </c>
      <c r="Q16" s="1" t="n"/>
      <c r="R16" s="1" t="n"/>
      <c r="S16" s="5" t="n"/>
      <c r="T16" s="5">
        <f>AL16*AM16</f>
        <v/>
      </c>
      <c r="U16" s="5" t="n"/>
      <c r="V16" s="1" t="n"/>
      <c r="W16" s="1" t="n"/>
      <c r="X16" s="1" t="n"/>
      <c r="Y16" s="1" t="n">
        <v>105.6</v>
      </c>
      <c r="Z16" s="1" t="n">
        <v>95.8</v>
      </c>
      <c r="AA16" s="1" t="n">
        <v>106</v>
      </c>
      <c r="AB16" s="1" t="n">
        <v>104.4</v>
      </c>
      <c r="AC16" s="1" t="n">
        <v>123.8</v>
      </c>
      <c r="AD16" s="1" t="n">
        <v>127.2</v>
      </c>
      <c r="AE16" s="1" t="n">
        <v>128</v>
      </c>
      <c r="AF16" s="1" t="n">
        <v>174.2</v>
      </c>
      <c r="AG16" s="1" t="n">
        <v>176.4</v>
      </c>
      <c r="AH16" s="1" t="n">
        <v>168.2</v>
      </c>
      <c r="AI16" s="1" t="n">
        <v>137.6</v>
      </c>
      <c r="AJ16" s="1" t="n"/>
      <c r="AK16" s="1">
        <f>G16*S16</f>
        <v/>
      </c>
      <c r="AL16" s="1" t="n">
        <v>12</v>
      </c>
      <c r="AM16" s="1">
        <f>MROUND(S16, AL16*AO16)/AL16</f>
        <v/>
      </c>
      <c r="AN16" s="1">
        <f>AM16*AL16*G16</f>
        <v/>
      </c>
      <c r="AO16" s="1" t="n">
        <v>14</v>
      </c>
      <c r="AP16" s="1" t="n">
        <v>70</v>
      </c>
      <c r="AQ16" s="1">
        <f>AM16/AP16</f>
        <v/>
      </c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</row>
    <row r="17">
      <c r="A17" s="1" t="inlineStr">
        <is>
          <t>Готовые чебупели с ветчиной и сыром 0,24 кг НОВАЯ ТМ Горячая штучка  ПОКОМ</t>
        </is>
      </c>
      <c r="B17" s="1" t="inlineStr">
        <is>
          <t>шт</t>
        </is>
      </c>
      <c r="C17" s="1" t="n">
        <v>1014</v>
      </c>
      <c r="D17" s="1" t="n">
        <v>289</v>
      </c>
      <c r="E17" s="1" t="n">
        <v>649</v>
      </c>
      <c r="F17" s="1" t="n">
        <v>257</v>
      </c>
      <c r="G17" s="1" t="n">
        <v>0</v>
      </c>
      <c r="H17" s="1" t="n"/>
      <c r="I17" s="1" t="inlineStr">
        <is>
          <t>дубль</t>
        </is>
      </c>
      <c r="J17" s="1" t="inlineStr">
        <is>
          <t>Готовые чебупели с ветчиной и сыром ТМ Горячая штучка флоу-пак 0,24 кг.  ПОКОМ</t>
        </is>
      </c>
      <c r="K17" s="1" t="n">
        <v>713</v>
      </c>
      <c r="L17" s="1">
        <f>E17-K17</f>
        <v/>
      </c>
      <c r="M17" s="1" t="n"/>
      <c r="N17" s="1" t="n"/>
      <c r="O17" s="1" t="n"/>
      <c r="P17" s="1" t="n"/>
      <c r="Q17" s="1" t="n"/>
      <c r="R17" s="1" t="n"/>
      <c r="S17" s="5" t="n"/>
      <c r="T17" s="5" t="n"/>
      <c r="U17" s="5" t="n"/>
      <c r="V17" s="1" t="n"/>
      <c r="W17" s="1" t="n"/>
      <c r="X17" s="1" t="n"/>
      <c r="Y17" s="1" t="n">
        <v>155.4</v>
      </c>
      <c r="Z17" s="1" t="n">
        <v>119</v>
      </c>
      <c r="AA17" s="1" t="n">
        <v>136.6</v>
      </c>
      <c r="AB17" s="1" t="n">
        <v>59.4</v>
      </c>
      <c r="AC17" s="1" t="n">
        <v>44.8</v>
      </c>
      <c r="AD17" s="1" t="n">
        <v>14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</row>
    <row r="18">
      <c r="A18" s="1" t="inlineStr">
        <is>
          <t>Готовые чебупели с ветчиной и сыром ТМ Горячая штучка флоу-пак 0,24 кг.  ПОКОМ</t>
        </is>
      </c>
      <c r="B18" s="1" t="inlineStr">
        <is>
          <t>шт</t>
        </is>
      </c>
      <c r="C18" s="1" t="n"/>
      <c r="D18" s="1" t="n">
        <v>110</v>
      </c>
      <c r="E18" s="1" t="n">
        <v>110</v>
      </c>
      <c r="F18" s="1" t="n"/>
      <c r="G18" s="1" t="n">
        <v>0.24</v>
      </c>
      <c r="H18" s="1" t="n">
        <v>180</v>
      </c>
      <c r="I18" s="1" t="inlineStr">
        <is>
          <t>P004971</t>
        </is>
      </c>
      <c r="J18" s="1" t="n"/>
      <c r="K18" s="1" t="n">
        <v>110</v>
      </c>
      <c r="L18" s="1">
        <f>E18-K18</f>
        <v/>
      </c>
      <c r="M18" s="1" t="n"/>
      <c r="N18" s="1" t="n"/>
      <c r="O18" s="1" t="n">
        <v>0</v>
      </c>
      <c r="P18" s="1" t="n">
        <v>1008</v>
      </c>
      <c r="Q18" s="1" t="n">
        <v>840</v>
      </c>
      <c r="R18" s="1" t="n"/>
      <c r="S18" s="5" t="n"/>
      <c r="T18" s="5">
        <f>AL18*AM18</f>
        <v/>
      </c>
      <c r="U18" s="5" t="n"/>
      <c r="V18" s="1" t="n"/>
      <c r="W18" s="1" t="n"/>
      <c r="X18" s="1" t="n"/>
      <c r="Y18" s="1" t="n">
        <v>185.6</v>
      </c>
      <c r="Z18" s="1" t="n">
        <v>154.4</v>
      </c>
      <c r="AA18" s="1" t="n">
        <v>167.2</v>
      </c>
      <c r="AB18" s="1" t="n">
        <v>147</v>
      </c>
      <c r="AC18" s="1" t="n">
        <v>130.4</v>
      </c>
      <c r="AD18" s="1" t="n">
        <v>80.2</v>
      </c>
      <c r="AE18" s="1" t="n">
        <v>193.6</v>
      </c>
      <c r="AF18" s="1" t="n">
        <v>291.8</v>
      </c>
      <c r="AG18" s="1" t="n">
        <v>130</v>
      </c>
      <c r="AH18" s="1" t="n">
        <v>224.8</v>
      </c>
      <c r="AI18" s="1" t="n">
        <v>220</v>
      </c>
      <c r="AJ18" s="1" t="n"/>
      <c r="AK18" s="1">
        <f>G18*S18</f>
        <v/>
      </c>
      <c r="AL18" s="1" t="n">
        <v>12</v>
      </c>
      <c r="AM18" s="1">
        <f>MROUND(S18, AL18*AO18)/AL18</f>
        <v/>
      </c>
      <c r="AN18" s="1">
        <f>AM18*AL18*G18</f>
        <v/>
      </c>
      <c r="AO18" s="1" t="n">
        <v>14</v>
      </c>
      <c r="AP18" s="1" t="n">
        <v>70</v>
      </c>
      <c r="AQ18" s="1">
        <f>AM18/AP18</f>
        <v/>
      </c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</row>
    <row r="19">
      <c r="A19" s="1" t="inlineStr">
        <is>
          <t>Готовые чебупели с мясом ТМ Горячая штучка 0,24 кг  ПОКОМ</t>
        </is>
      </c>
      <c r="B19" s="1" t="inlineStr">
        <is>
          <t>шт</t>
        </is>
      </c>
      <c r="C19" s="1" t="n">
        <v>148</v>
      </c>
      <c r="D19" s="1" t="n">
        <v>2128</v>
      </c>
      <c r="E19" s="1" t="n">
        <v>538</v>
      </c>
      <c r="F19" s="1" t="n">
        <v>1683</v>
      </c>
      <c r="G19" s="1" t="n">
        <v>0.24</v>
      </c>
      <c r="H19" s="1" t="n">
        <v>180</v>
      </c>
      <c r="I19" s="1" t="inlineStr">
        <is>
          <t>P004974</t>
        </is>
      </c>
      <c r="J19" s="1" t="n"/>
      <c r="K19" s="1" t="n">
        <v>597</v>
      </c>
      <c r="L19" s="1">
        <f>E19-K19</f>
        <v/>
      </c>
      <c r="M19" s="1" t="n"/>
      <c r="N19" s="1" t="n"/>
      <c r="O19" s="1" t="n">
        <v>1176</v>
      </c>
      <c r="P19" s="1" t="n">
        <v>0</v>
      </c>
      <c r="Q19" s="1" t="n"/>
      <c r="R19" s="1" t="n"/>
      <c r="S19" s="5" t="n"/>
      <c r="T19" s="5">
        <f>AL19*AM19</f>
        <v/>
      </c>
      <c r="U19" s="5" t="n"/>
      <c r="V19" s="1" t="n"/>
      <c r="W19" s="1" t="n"/>
      <c r="X19" s="1" t="n"/>
      <c r="Y19" s="1" t="n">
        <v>65</v>
      </c>
      <c r="Z19" s="1" t="n">
        <v>122.6</v>
      </c>
      <c r="AA19" s="1" t="n">
        <v>71.2</v>
      </c>
      <c r="AB19" s="1" t="n">
        <v>67.2</v>
      </c>
      <c r="AC19" s="1" t="n">
        <v>75.8</v>
      </c>
      <c r="AD19" s="1" t="n">
        <v>81.8</v>
      </c>
      <c r="AE19" s="1" t="n">
        <v>108.4</v>
      </c>
      <c r="AF19" s="1" t="n">
        <v>213</v>
      </c>
      <c r="AG19" s="1" t="n">
        <v>127.2</v>
      </c>
      <c r="AH19" s="1" t="n">
        <v>175.6</v>
      </c>
      <c r="AI19" s="1" t="n">
        <v>141</v>
      </c>
      <c r="AJ19" s="1" t="n"/>
      <c r="AK19" s="1">
        <f>G19*S19</f>
        <v/>
      </c>
      <c r="AL19" s="1" t="n">
        <v>12</v>
      </c>
      <c r="AM19" s="1">
        <f>MROUND(S19, AL19*AO19)/AL19</f>
        <v/>
      </c>
      <c r="AN19" s="1">
        <f>AM19*AL19*G19</f>
        <v/>
      </c>
      <c r="AO19" s="1" t="n">
        <v>14</v>
      </c>
      <c r="AP19" s="1" t="n">
        <v>70</v>
      </c>
      <c r="AQ19" s="1">
        <f>AM19/AP19</f>
        <v/>
      </c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</row>
    <row r="20">
      <c r="A20" s="1" t="inlineStr">
        <is>
          <t>Готовые чебупели сочные с мясом 0,24 кг НОВАЯ ТМ Горячая штучка флоу-пак  ПОКОМ</t>
        </is>
      </c>
      <c r="B20" s="1" t="inlineStr">
        <is>
          <t>шт</t>
        </is>
      </c>
      <c r="C20" s="1" t="n">
        <v>238</v>
      </c>
      <c r="D20" s="1" t="n">
        <v>1637</v>
      </c>
      <c r="E20" s="1" t="n">
        <v>469</v>
      </c>
      <c r="F20" s="1" t="n">
        <v>837</v>
      </c>
      <c r="G20" s="1" t="n">
        <v>0</v>
      </c>
      <c r="H20" s="1" t="n"/>
      <c r="I20" s="1" t="inlineStr">
        <is>
          <t>дубль</t>
        </is>
      </c>
      <c r="J20" s="1" t="inlineStr">
        <is>
          <t>Готовые чебупели сочные с мясом ТМ Горячая штучка флоу-пак 0,24 кг  ПОКОМ</t>
        </is>
      </c>
      <c r="K20" s="1" t="n">
        <v>510</v>
      </c>
      <c r="L20" s="1">
        <f>E20-K20</f>
        <v/>
      </c>
      <c r="M20" s="1" t="n"/>
      <c r="N20" s="1" t="n"/>
      <c r="O20" s="1" t="n"/>
      <c r="P20" s="1" t="n"/>
      <c r="Q20" s="1" t="n"/>
      <c r="R20" s="1" t="n"/>
      <c r="S20" s="5" t="n"/>
      <c r="T20" s="5" t="n"/>
      <c r="U20" s="5" t="n"/>
      <c r="V20" s="1" t="n"/>
      <c r="W20" s="1" t="n"/>
      <c r="X20" s="1" t="n"/>
      <c r="Y20" s="1" t="n">
        <v>82.8</v>
      </c>
      <c r="Z20" s="1" t="n">
        <v>116.6</v>
      </c>
      <c r="AA20" s="1" t="n">
        <v>76.2</v>
      </c>
      <c r="AB20" s="1" t="n">
        <v>60.4</v>
      </c>
      <c r="AC20" s="1" t="n">
        <v>42.8</v>
      </c>
      <c r="AD20" s="1" t="n">
        <v>13.8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</row>
    <row r="21">
      <c r="A21" s="1" t="inlineStr">
        <is>
          <t>Готовые чебупели сочные с мясом 0,48 кг НОВАЯ ТМ Горячая штучка флоу-пак МЕГАпачка  ПОКОМ</t>
        </is>
      </c>
      <c r="B21" s="1" t="inlineStr">
        <is>
          <t>шт</t>
        </is>
      </c>
      <c r="C21" s="1" t="n">
        <v>308</v>
      </c>
      <c r="D21" s="1" t="n">
        <v>790</v>
      </c>
      <c r="E21" s="1" t="n">
        <v>396</v>
      </c>
      <c r="F21" s="1" t="n">
        <v>235</v>
      </c>
      <c r="G21" s="1" t="n">
        <v>0</v>
      </c>
      <c r="H21" s="1" t="n">
        <v>180</v>
      </c>
      <c r="I21" s="1" t="inlineStr">
        <is>
          <t>дубль</t>
        </is>
      </c>
      <c r="J21" s="1" t="inlineStr">
        <is>
          <t>Готовые чебупели сочные с мясом ТМ Горячая штучка флоу-пак 0,48 кг XXL  Поком</t>
        </is>
      </c>
      <c r="K21" s="1" t="n">
        <v>444</v>
      </c>
      <c r="L21" s="1">
        <f>E21-K21</f>
        <v/>
      </c>
      <c r="M21" s="1" t="n"/>
      <c r="N21" s="1" t="n"/>
      <c r="O21" s="1" t="n"/>
      <c r="P21" s="1" t="n"/>
      <c r="Q21" s="1" t="n"/>
      <c r="R21" s="1" t="n"/>
      <c r="S21" s="5" t="n"/>
      <c r="T21" s="5" t="n"/>
      <c r="U21" s="5" t="n"/>
      <c r="V21" s="1" t="n"/>
      <c r="W21" s="1" t="n"/>
      <c r="X21" s="1" t="n"/>
      <c r="Y21" s="1" t="n">
        <v>68.40000000000001</v>
      </c>
      <c r="Z21" s="1" t="n">
        <v>70.2</v>
      </c>
      <c r="AA21" s="1" t="n">
        <v>73.2</v>
      </c>
      <c r="AB21" s="1" t="n">
        <v>22.8</v>
      </c>
      <c r="AC21" s="1" t="n">
        <v>15.6</v>
      </c>
      <c r="AD21" s="1" t="n">
        <v>12</v>
      </c>
      <c r="AE21" s="1" t="n">
        <v>0.6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</row>
    <row r="22">
      <c r="A22" s="1" t="inlineStr">
        <is>
          <t>Готовые чебупели сочные с мясом ТМ Горячая штучка флоу-пак 0,24 кг  ПОКОМ</t>
        </is>
      </c>
      <c r="B22" s="1" t="inlineStr">
        <is>
          <t>шт</t>
        </is>
      </c>
      <c r="C22" s="1" t="n">
        <v>-3</v>
      </c>
      <c r="D22" s="1" t="n">
        <v>98</v>
      </c>
      <c r="E22" s="1" t="n">
        <v>60</v>
      </c>
      <c r="F22" s="1" t="n"/>
      <c r="G22" s="1" t="n">
        <v>0.24</v>
      </c>
      <c r="H22" s="1" t="n">
        <v>180</v>
      </c>
      <c r="I22" s="1" t="inlineStr">
        <is>
          <t>P004486</t>
        </is>
      </c>
      <c r="J22" s="1" t="n"/>
      <c r="K22" s="1" t="n">
        <v>86</v>
      </c>
      <c r="L22" s="1">
        <f>E22-K22</f>
        <v/>
      </c>
      <c r="M22" s="1" t="n"/>
      <c r="N22" s="1" t="n"/>
      <c r="O22" s="1" t="n">
        <v>1344</v>
      </c>
      <c r="P22" s="1" t="n">
        <v>168</v>
      </c>
      <c r="Q22" s="1" t="n"/>
      <c r="R22" s="1" t="n"/>
      <c r="S22" s="5" t="n"/>
      <c r="T22" s="5">
        <f>AL22*AM22</f>
        <v/>
      </c>
      <c r="U22" s="5" t="n"/>
      <c r="V22" s="1" t="n"/>
      <c r="W22" s="1" t="n"/>
      <c r="X22" s="1" t="n"/>
      <c r="Y22" s="1" t="n">
        <v>119.4</v>
      </c>
      <c r="Z22" s="1" t="n">
        <v>161.8</v>
      </c>
      <c r="AA22" s="1" t="n">
        <v>107.4</v>
      </c>
      <c r="AB22" s="1" t="n">
        <v>133.4</v>
      </c>
      <c r="AC22" s="1" t="n">
        <v>125.4</v>
      </c>
      <c r="AD22" s="1" t="n">
        <v>87.59999999999999</v>
      </c>
      <c r="AE22" s="1" t="n">
        <v>136</v>
      </c>
      <c r="AF22" s="1" t="n">
        <v>211.8</v>
      </c>
      <c r="AG22" s="1" t="n">
        <v>99.8</v>
      </c>
      <c r="AH22" s="1" t="n">
        <v>155.8</v>
      </c>
      <c r="AI22" s="1" t="n">
        <v>138.2</v>
      </c>
      <c r="AJ22" s="1" t="n"/>
      <c r="AK22" s="1">
        <f>G22*S22</f>
        <v/>
      </c>
      <c r="AL22" s="1" t="n">
        <v>12</v>
      </c>
      <c r="AM22" s="1">
        <f>MROUND(S22, AL22*AO22)/AL22</f>
        <v/>
      </c>
      <c r="AN22" s="1">
        <f>AM22*AL22*G22</f>
        <v/>
      </c>
      <c r="AO22" s="1" t="n">
        <v>14</v>
      </c>
      <c r="AP22" s="1" t="n">
        <v>70</v>
      </c>
      <c r="AQ22" s="1">
        <f>AM22/AP22</f>
        <v/>
      </c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</row>
    <row r="23">
      <c r="A23" s="1" t="inlineStr">
        <is>
          <t>Готовые чебупели сочные с мясом ТМ Горячая штучка флоу-пак 0,48 кг XXL  Поком</t>
        </is>
      </c>
      <c r="B23" s="1" t="inlineStr">
        <is>
          <t>шт</t>
        </is>
      </c>
      <c r="C23" s="1" t="n"/>
      <c r="D23" s="1" t="n">
        <v>1</v>
      </c>
      <c r="E23" s="1" t="n"/>
      <c r="F23" s="1" t="n"/>
      <c r="G23" s="1" t="n">
        <v>0.48</v>
      </c>
      <c r="H23" s="1" t="n">
        <v>180</v>
      </c>
      <c r="I23" s="1" t="inlineStr">
        <is>
          <t>P004595</t>
        </is>
      </c>
      <c r="J23" s="1" t="n"/>
      <c r="K23" s="1" t="n">
        <v>4</v>
      </c>
      <c r="L23" s="1">
        <f>E23-K23</f>
        <v/>
      </c>
      <c r="M23" s="1" t="n"/>
      <c r="N23" s="1" t="n"/>
      <c r="O23" s="1" t="n">
        <v>336</v>
      </c>
      <c r="P23" s="1" t="n">
        <v>336</v>
      </c>
      <c r="Q23" s="1" t="n"/>
      <c r="R23" s="1" t="n"/>
      <c r="S23" s="5" t="n"/>
      <c r="T23" s="5">
        <f>AL23*AM23</f>
        <v/>
      </c>
      <c r="U23" s="5" t="n"/>
      <c r="V23" s="1" t="n"/>
      <c r="W23" s="1" t="n"/>
      <c r="X23" s="1" t="n"/>
      <c r="Y23" s="1" t="n">
        <v>68.40000000000001</v>
      </c>
      <c r="Z23" s="1" t="n">
        <v>70.2</v>
      </c>
      <c r="AA23" s="1" t="n">
        <v>73.59999999999999</v>
      </c>
      <c r="AB23" s="1" t="n">
        <v>45.6</v>
      </c>
      <c r="AC23" s="1" t="n">
        <v>44.8</v>
      </c>
      <c r="AD23" s="1" t="n">
        <v>34.6</v>
      </c>
      <c r="AE23" s="1" t="n">
        <v>28.2</v>
      </c>
      <c r="AF23" s="1" t="n">
        <v>130</v>
      </c>
      <c r="AG23" s="1" t="n">
        <v>84.59999999999999</v>
      </c>
      <c r="AH23" s="1" t="n">
        <v>85.59999999999999</v>
      </c>
      <c r="AI23" s="1" t="n">
        <v>42.8</v>
      </c>
      <c r="AJ23" s="1" t="n"/>
      <c r="AK23" s="1">
        <f>G23*S23</f>
        <v/>
      </c>
      <c r="AL23" s="1" t="n">
        <v>8</v>
      </c>
      <c r="AM23" s="1">
        <f>MROUND(S23, AL23*AO23)/AL23</f>
        <v/>
      </c>
      <c r="AN23" s="1">
        <f>AM23*AL23*G23</f>
        <v/>
      </c>
      <c r="AO23" s="1" t="n">
        <v>14</v>
      </c>
      <c r="AP23" s="1" t="n">
        <v>70</v>
      </c>
      <c r="AQ23" s="1">
        <f>AM23/AP23</f>
        <v/>
      </c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</row>
    <row r="24">
      <c r="A24" s="1" t="inlineStr">
        <is>
          <t>Готовые чебуреки с мясом ТМ Горячая штучка 0,09 кг флоу-пак ПОКОМ</t>
        </is>
      </c>
      <c r="B24" s="1" t="inlineStr">
        <is>
          <t>шт</t>
        </is>
      </c>
      <c r="C24" s="1" t="n">
        <v>834</v>
      </c>
      <c r="D24" s="1" t="n">
        <v>2935</v>
      </c>
      <c r="E24" s="1" t="n">
        <v>724</v>
      </c>
      <c r="F24" s="1" t="n">
        <v>432</v>
      </c>
      <c r="G24" s="1" t="n">
        <v>0.09</v>
      </c>
      <c r="H24" s="1" t="n">
        <v>180</v>
      </c>
      <c r="I24" s="1" t="inlineStr">
        <is>
          <t>P004138</t>
        </is>
      </c>
      <c r="J24" s="1" t="n"/>
      <c r="K24" s="1" t="n">
        <v>786</v>
      </c>
      <c r="L24" s="1">
        <f>E24-K24</f>
        <v/>
      </c>
      <c r="M24" s="1" t="n"/>
      <c r="N24" s="1" t="n"/>
      <c r="O24" s="1" t="n">
        <v>336</v>
      </c>
      <c r="P24" s="1" t="n">
        <v>2016</v>
      </c>
      <c r="Q24" s="1" t="n"/>
      <c r="R24" s="1" t="n"/>
      <c r="S24" s="5" t="n"/>
      <c r="T24" s="5">
        <f>AL24*AM24</f>
        <v/>
      </c>
      <c r="U24" s="5" t="n"/>
      <c r="V24" s="1" t="n"/>
      <c r="W24" s="1" t="n"/>
      <c r="X24" s="1" t="n"/>
      <c r="Y24" s="1" t="n">
        <v>210.6</v>
      </c>
      <c r="Z24" s="1" t="n">
        <v>160.2</v>
      </c>
      <c r="AA24" s="1" t="n">
        <v>173.4</v>
      </c>
      <c r="AB24" s="1" t="n">
        <v>201</v>
      </c>
      <c r="AC24" s="1" t="n">
        <v>236.2</v>
      </c>
      <c r="AD24" s="1" t="n">
        <v>153</v>
      </c>
      <c r="AE24" s="1" t="n">
        <v>114.4</v>
      </c>
      <c r="AF24" s="1" t="n">
        <v>151.4</v>
      </c>
      <c r="AG24" s="1" t="n">
        <v>219.8</v>
      </c>
      <c r="AH24" s="1" t="n">
        <v>133.6</v>
      </c>
      <c r="AI24" s="1" t="n">
        <v>125.8</v>
      </c>
      <c r="AJ24" s="1" t="n"/>
      <c r="AK24" s="1">
        <f>G24*S24</f>
        <v/>
      </c>
      <c r="AL24" s="1" t="n">
        <v>24</v>
      </c>
      <c r="AM24" s="1">
        <f>MROUND(S24, AL24*AO24)/AL24</f>
        <v/>
      </c>
      <c r="AN24" s="1">
        <f>AM24*AL24*G24</f>
        <v/>
      </c>
      <c r="AO24" s="1" t="n">
        <v>14</v>
      </c>
      <c r="AP24" s="1" t="n">
        <v>126</v>
      </c>
      <c r="AQ24" s="1">
        <f>AM24/AP24</f>
        <v/>
      </c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</row>
    <row r="25">
      <c r="A25" s="1" t="inlineStr">
        <is>
          <t>Готовые чебуреки со свининой и говядиной ТМ Горячая штучка ТС Базовый ассортимент 0,36 кг  ПОКОМ</t>
        </is>
      </c>
      <c r="B25" s="1" t="inlineStr">
        <is>
          <t>шт</t>
        </is>
      </c>
      <c r="C25" s="1" t="n">
        <v>-3</v>
      </c>
      <c r="D25" s="1" t="n">
        <v>28</v>
      </c>
      <c r="E25" s="1" t="n"/>
      <c r="F25" s="1" t="n">
        <v>-1</v>
      </c>
      <c r="G25" s="1" t="n">
        <v>0.36</v>
      </c>
      <c r="H25" s="1" t="n">
        <v>180</v>
      </c>
      <c r="I25" s="1" t="inlineStr">
        <is>
          <t>P004583</t>
        </is>
      </c>
      <c r="J25" s="1" t="n"/>
      <c r="K25" s="1" t="n">
        <v>79</v>
      </c>
      <c r="L25" s="1">
        <f>E25-K25</f>
        <v/>
      </c>
      <c r="M25" s="1" t="n"/>
      <c r="N25" s="1" t="n"/>
      <c r="O25" s="1" t="n">
        <v>0</v>
      </c>
      <c r="P25" s="1" t="n">
        <v>0</v>
      </c>
      <c r="Q25" s="1" t="n"/>
      <c r="R25" s="1" t="n"/>
      <c r="S25" s="5" t="n"/>
      <c r="T25" s="5">
        <f>AL25*AM25</f>
        <v/>
      </c>
      <c r="U25" s="5" t="n"/>
      <c r="V25" s="1" t="n"/>
      <c r="W25" s="1" t="n"/>
      <c r="X25" s="1" t="n"/>
      <c r="Y25" s="1" t="n">
        <v>0</v>
      </c>
      <c r="Z25" s="1" t="n">
        <v>0</v>
      </c>
      <c r="AA25" s="1" t="n">
        <v>0.4</v>
      </c>
      <c r="AB25" s="1" t="n">
        <v>22</v>
      </c>
      <c r="AC25" s="1" t="n">
        <v>28.6</v>
      </c>
      <c r="AD25" s="1" t="n">
        <v>28.4</v>
      </c>
      <c r="AE25" s="1" t="n">
        <v>25.8</v>
      </c>
      <c r="AF25" s="1" t="n">
        <v>7.6</v>
      </c>
      <c r="AG25" s="1" t="n">
        <v>17.8</v>
      </c>
      <c r="AH25" s="1" t="n">
        <v>33</v>
      </c>
      <c r="AI25" s="1" t="n">
        <v>26</v>
      </c>
      <c r="AJ25" s="1" t="inlineStr">
        <is>
          <t>нет в бланке</t>
        </is>
      </c>
      <c r="AK25" s="1">
        <f>G25*S25</f>
        <v/>
      </c>
      <c r="AL25" s="1" t="n">
        <v>10</v>
      </c>
      <c r="AM25" s="1">
        <f>MROUND(S25, AL25*AO25)/AL25</f>
        <v/>
      </c>
      <c r="AN25" s="1">
        <f>AM25*AL25*G25</f>
        <v/>
      </c>
      <c r="AO25" s="1" t="n">
        <v>14</v>
      </c>
      <c r="AP25" s="1" t="n">
        <v>70</v>
      </c>
      <c r="AQ25" s="1">
        <f>AM25/AP25</f>
        <v/>
      </c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</row>
    <row r="26">
      <c r="A26" s="1" t="inlineStr">
        <is>
          <t>Жареные вареники с картофелем и беконом ТМ Стародворье 0,2 кг  ПОКОМ</t>
        </is>
      </c>
      <c r="B26" s="1" t="inlineStr">
        <is>
          <t>шт</t>
        </is>
      </c>
      <c r="C26" s="1" t="n">
        <v>150</v>
      </c>
      <c r="D26" s="1" t="n">
        <v>744</v>
      </c>
      <c r="E26" s="1" t="n">
        <v>233</v>
      </c>
      <c r="F26" s="1" t="n">
        <v>427</v>
      </c>
      <c r="G26" s="1" t="n">
        <v>0.2</v>
      </c>
      <c r="H26" s="1" t="n">
        <v>180</v>
      </c>
      <c r="I26" s="1" t="inlineStr">
        <is>
          <t>P005129</t>
        </is>
      </c>
      <c r="J26" s="1" t="n"/>
      <c r="K26" s="1" t="n">
        <v>257</v>
      </c>
      <c r="L26" s="1">
        <f>E26-K26</f>
        <v/>
      </c>
      <c r="M26" s="1" t="n"/>
      <c r="N26" s="1" t="n"/>
      <c r="O26" s="1" t="n">
        <v>504</v>
      </c>
      <c r="P26" s="1" t="n">
        <v>0</v>
      </c>
      <c r="Q26" s="1" t="n"/>
      <c r="R26" s="1" t="n"/>
      <c r="S26" s="5" t="n"/>
      <c r="T26" s="5">
        <f>AL26*AM26</f>
        <v/>
      </c>
      <c r="U26" s="5" t="n"/>
      <c r="V26" s="1" t="n"/>
      <c r="W26" s="1" t="n"/>
      <c r="X26" s="1" t="n"/>
      <c r="Y26" s="1" t="n">
        <v>46</v>
      </c>
      <c r="Z26" s="1" t="n">
        <v>65.59999999999999</v>
      </c>
      <c r="AA26" s="1" t="n">
        <v>48.2</v>
      </c>
      <c r="AB26" s="1" t="n">
        <v>66</v>
      </c>
      <c r="AC26" s="1" t="n">
        <v>76.2</v>
      </c>
      <c r="AD26" s="1" t="n">
        <v>34.4</v>
      </c>
      <c r="AE26" s="1" t="n">
        <v>75</v>
      </c>
      <c r="AF26" s="1" t="n">
        <v>132.8</v>
      </c>
      <c r="AG26" s="1" t="n">
        <v>56.6</v>
      </c>
      <c r="AH26" s="1" t="n">
        <v>88.2</v>
      </c>
      <c r="AI26" s="1" t="n">
        <v>71</v>
      </c>
      <c r="AJ26" s="1" t="n"/>
      <c r="AK26" s="1">
        <f>G26*S26</f>
        <v/>
      </c>
      <c r="AL26" s="1" t="n">
        <v>12</v>
      </c>
      <c r="AM26" s="1">
        <f>MROUND(S26, AL26*AO26)/AL26</f>
        <v/>
      </c>
      <c r="AN26" s="1">
        <f>AM26*AL26*G26</f>
        <v/>
      </c>
      <c r="AO26" s="1" t="n">
        <v>14</v>
      </c>
      <c r="AP26" s="1" t="n">
        <v>70</v>
      </c>
      <c r="AQ26" s="1">
        <f>AM26/AP26</f>
        <v/>
      </c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</row>
    <row r="27">
      <c r="A27" s="1" t="inlineStr">
        <is>
          <t>Круггетсы с сырным соусом ТМ Горячая штучка ТС Круггетсы флоу-пак 0,2 кг  ПОКОМ</t>
        </is>
      </c>
      <c r="B27" s="1" t="inlineStr">
        <is>
          <t>шт</t>
        </is>
      </c>
      <c r="C27" s="1" t="n">
        <v>492</v>
      </c>
      <c r="D27" s="1" t="n">
        <v>1828</v>
      </c>
      <c r="E27" s="1" t="n">
        <v>388</v>
      </c>
      <c r="F27" s="1" t="n"/>
      <c r="G27" s="1" t="n">
        <v>0.2</v>
      </c>
      <c r="H27" s="1" t="n">
        <v>180</v>
      </c>
      <c r="I27" s="1" t="inlineStr">
        <is>
          <t>P004956</t>
        </is>
      </c>
      <c r="J27" s="1" t="n"/>
      <c r="K27" s="1" t="n">
        <v>585</v>
      </c>
      <c r="L27" s="1">
        <f>E27-K27</f>
        <v/>
      </c>
      <c r="M27" s="1" t="n"/>
      <c r="N27" s="1" t="n"/>
      <c r="O27" s="1" t="n">
        <v>1176</v>
      </c>
      <c r="P27" s="1" t="n">
        <v>672</v>
      </c>
      <c r="Q27" s="1" t="n"/>
      <c r="R27" s="1" t="n"/>
      <c r="S27" s="5" t="n"/>
      <c r="T27" s="5">
        <f>AL27*AM27</f>
        <v/>
      </c>
      <c r="U27" s="5" t="n"/>
      <c r="V27" s="1" t="n"/>
      <c r="W27" s="1" t="n"/>
      <c r="X27" s="1" t="n"/>
      <c r="Y27" s="1" t="n">
        <v>142.6</v>
      </c>
      <c r="Z27" s="1" t="n">
        <v>165</v>
      </c>
      <c r="AA27" s="1" t="n">
        <v>123.6</v>
      </c>
      <c r="AB27" s="1" t="n">
        <v>169.6</v>
      </c>
      <c r="AC27" s="1" t="n">
        <v>189.4</v>
      </c>
      <c r="AD27" s="1" t="n">
        <v>124</v>
      </c>
      <c r="AE27" s="1" t="n">
        <v>163.8</v>
      </c>
      <c r="AF27" s="1" t="n">
        <v>277.6</v>
      </c>
      <c r="AG27" s="1" t="n">
        <v>113</v>
      </c>
      <c r="AH27" s="1" t="n">
        <v>187.8</v>
      </c>
      <c r="AI27" s="1" t="n">
        <v>166.2</v>
      </c>
      <c r="AJ27" s="1" t="n"/>
      <c r="AK27" s="1">
        <f>G27*S27</f>
        <v/>
      </c>
      <c r="AL27" s="1" t="n">
        <v>12</v>
      </c>
      <c r="AM27" s="1">
        <f>MROUND(S27, AL27*AO27)/AL27</f>
        <v/>
      </c>
      <c r="AN27" s="1">
        <f>AM27*AL27*G27</f>
        <v/>
      </c>
      <c r="AO27" s="1" t="n">
        <v>14</v>
      </c>
      <c r="AP27" s="1" t="n">
        <v>70</v>
      </c>
      <c r="AQ27" s="1">
        <f>AM27/AP27</f>
        <v/>
      </c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</row>
    <row r="28">
      <c r="A28" s="1" t="inlineStr">
        <is>
          <t>Круггетсы сочные ТМ Горячая штучка ТС Круггетсы 0,25 кг зам  ПОКОМ</t>
        </is>
      </c>
      <c r="B28" s="1" t="inlineStr">
        <is>
          <t>шт</t>
        </is>
      </c>
      <c r="C28" s="1" t="n">
        <v>-12</v>
      </c>
      <c r="D28" s="1" t="n">
        <v>12</v>
      </c>
      <c r="E28" s="1" t="n"/>
      <c r="F28" s="1" t="n"/>
      <c r="G28" s="1" t="n">
        <v>0</v>
      </c>
      <c r="H28" s="1" t="n"/>
      <c r="I28" s="1" t="inlineStr">
        <is>
          <t>дубль</t>
        </is>
      </c>
      <c r="J28" s="1" t="inlineStr">
        <is>
          <t>Круггетсы сочные ТМ Горячая штучка ТС Круггетсы флоу-пак  0,2 кг.  ПОКОМ</t>
        </is>
      </c>
      <c r="K28" s="1" t="n"/>
      <c r="L28" s="1">
        <f>E28-K28</f>
        <v/>
      </c>
      <c r="M28" s="1" t="n"/>
      <c r="N28" s="1" t="n"/>
      <c r="O28" s="1" t="n"/>
      <c r="P28" s="1" t="n"/>
      <c r="Q28" s="1" t="n"/>
      <c r="R28" s="1" t="n"/>
      <c r="S28" s="5" t="n"/>
      <c r="T28" s="5" t="n"/>
      <c r="U28" s="5" t="n"/>
      <c r="V28" s="1" t="n"/>
      <c r="W28" s="1" t="n"/>
      <c r="X28" s="1" t="n"/>
      <c r="Y28" s="1" t="n">
        <v>0</v>
      </c>
      <c r="Z28" s="1" t="n">
        <v>0</v>
      </c>
      <c r="AA28" s="1" t="n">
        <v>2.4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</row>
    <row r="29">
      <c r="A29" s="1" t="inlineStr">
        <is>
          <t>Круггетсы сочные ТМ Горячая штучка ТС Круггетсы флоу-пак  0,2 кг.  ПОКОМ</t>
        </is>
      </c>
      <c r="B29" s="1" t="inlineStr">
        <is>
          <t>шт</t>
        </is>
      </c>
      <c r="C29" s="1" t="n">
        <v>277</v>
      </c>
      <c r="D29" s="1" t="n">
        <v>792</v>
      </c>
      <c r="E29" s="1" t="n">
        <v>378</v>
      </c>
      <c r="F29" s="1" t="n">
        <v>8</v>
      </c>
      <c r="G29" s="1" t="n">
        <v>0.2</v>
      </c>
      <c r="H29" s="1" t="n">
        <v>180</v>
      </c>
      <c r="I29" s="1" t="inlineStr">
        <is>
          <t>P004953</t>
        </is>
      </c>
      <c r="J29" s="1" t="n"/>
      <c r="K29" s="1" t="n">
        <v>448</v>
      </c>
      <c r="L29" s="1">
        <f>E29-K29</f>
        <v/>
      </c>
      <c r="M29" s="1" t="n"/>
      <c r="N29" s="1" t="n"/>
      <c r="O29" s="1" t="n">
        <v>672</v>
      </c>
      <c r="P29" s="1" t="n">
        <v>672</v>
      </c>
      <c r="Q29" s="1" t="n"/>
      <c r="R29" s="1" t="n"/>
      <c r="S29" s="5" t="n"/>
      <c r="T29" s="5">
        <f>AL29*AM29</f>
        <v/>
      </c>
      <c r="U29" s="5" t="n"/>
      <c r="V29" s="1" t="n"/>
      <c r="W29" s="1" t="n"/>
      <c r="X29" s="1" t="n"/>
      <c r="Y29" s="1" t="n">
        <v>115.2</v>
      </c>
      <c r="Z29" s="1" t="n">
        <v>121.2</v>
      </c>
      <c r="AA29" s="1" t="n">
        <v>105.4</v>
      </c>
      <c r="AB29" s="1" t="n">
        <v>107.8</v>
      </c>
      <c r="AC29" s="1" t="n">
        <v>134.4</v>
      </c>
      <c r="AD29" s="1" t="n">
        <v>105.2</v>
      </c>
      <c r="AE29" s="1" t="n">
        <v>117</v>
      </c>
      <c r="AF29" s="1" t="n">
        <v>248.2</v>
      </c>
      <c r="AG29" s="1" t="n">
        <v>107.2</v>
      </c>
      <c r="AH29" s="1" t="n">
        <v>241.8</v>
      </c>
      <c r="AI29" s="1" t="n">
        <v>115.8</v>
      </c>
      <c r="AJ29" s="1" t="n"/>
      <c r="AK29" s="1">
        <f>G29*S29</f>
        <v/>
      </c>
      <c r="AL29" s="1" t="n">
        <v>12</v>
      </c>
      <c r="AM29" s="1">
        <f>MROUND(S29, AL29*AO29)/AL29</f>
        <v/>
      </c>
      <c r="AN29" s="1">
        <f>AM29*AL29*G29</f>
        <v/>
      </c>
      <c r="AO29" s="1" t="n">
        <v>14</v>
      </c>
      <c r="AP29" s="1" t="n">
        <v>70</v>
      </c>
      <c r="AQ29" s="1">
        <f>AM29/AP29</f>
        <v/>
      </c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</row>
    <row r="30">
      <c r="A30" s="1" t="inlineStr">
        <is>
          <t>Мини-сосиски в ароматном тесте ВЕС ТМ Зареченские продукты  ПОКОМ</t>
        </is>
      </c>
      <c r="B30" s="1" t="inlineStr">
        <is>
          <t>кг</t>
        </is>
      </c>
      <c r="C30" s="1" t="n">
        <v>-5.7</v>
      </c>
      <c r="D30" s="1" t="n">
        <v>560.7</v>
      </c>
      <c r="E30" s="1" t="n">
        <v>197.4</v>
      </c>
      <c r="F30" s="1" t="n">
        <v>353.9</v>
      </c>
      <c r="G30" s="1" t="n">
        <v>1</v>
      </c>
      <c r="H30" s="1" t="n"/>
      <c r="I30" s="1" t="inlineStr">
        <is>
          <t>новинка по ротации</t>
        </is>
      </c>
      <c r="J30" s="1" t="n"/>
      <c r="K30" s="1" t="n">
        <v>207.4</v>
      </c>
      <c r="L30" s="1">
        <f>E30-K30</f>
        <v/>
      </c>
      <c r="M30" s="1" t="n"/>
      <c r="N30" s="1" t="n"/>
      <c r="O30" s="1" t="n">
        <v>466.2</v>
      </c>
      <c r="P30" s="1" t="n">
        <v>207.2000000000001</v>
      </c>
      <c r="Q30" s="1" t="n">
        <v>466.2</v>
      </c>
      <c r="R30" s="1" t="n"/>
      <c r="S30" s="5" t="n"/>
      <c r="T30" s="5">
        <f>AL30*AM30</f>
        <v/>
      </c>
      <c r="U30" s="5" t="n"/>
      <c r="V30" s="1" t="n"/>
      <c r="W30" s="1" t="n"/>
      <c r="X30" s="1" t="n"/>
      <c r="Y30" s="1" t="n">
        <v>54.76000000000001</v>
      </c>
      <c r="Z30" s="1" t="n">
        <v>50.44</v>
      </c>
      <c r="AA30" s="1" t="n">
        <v>37.64</v>
      </c>
      <c r="AB30" s="1" t="n">
        <v>50.6</v>
      </c>
      <c r="AC30" s="1" t="n">
        <v>37.76000000000001</v>
      </c>
      <c r="AD30" s="1" t="n">
        <v>30.32</v>
      </c>
      <c r="AE30" s="1" t="n">
        <v>45.56</v>
      </c>
      <c r="AF30" s="1" t="n">
        <v>23</v>
      </c>
      <c r="AG30" s="1" t="n">
        <v>21</v>
      </c>
      <c r="AH30" s="1" t="n">
        <v>0</v>
      </c>
      <c r="AI30" s="1" t="n">
        <v>0</v>
      </c>
      <c r="AJ30" s="1" t="n"/>
      <c r="AK30" s="1">
        <f>G30*S30</f>
        <v/>
      </c>
      <c r="AL30" s="1" t="n">
        <v>3.7</v>
      </c>
      <c r="AM30" s="1">
        <f>MROUND(S30, AL30*AO30)/AL30</f>
        <v/>
      </c>
      <c r="AN30" s="1">
        <f>AM30*AL30*G30</f>
        <v/>
      </c>
      <c r="AO30" s="1" t="n">
        <v>14</v>
      </c>
      <c r="AP30" s="1" t="n">
        <v>126</v>
      </c>
      <c r="AQ30" s="1">
        <f>AM30/AP30</f>
        <v/>
      </c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</row>
    <row r="31">
      <c r="A31" s="1" t="inlineStr">
        <is>
          <t>Мини-чебуреки с мясом ТМ Зареченские ТС Зареченские продукты ПОКОМ</t>
        </is>
      </c>
      <c r="B31" s="1" t="inlineStr">
        <is>
          <t>кг</t>
        </is>
      </c>
      <c r="C31" s="1" t="n">
        <v>90</v>
      </c>
      <c r="D31" s="1" t="n">
        <v>346</v>
      </c>
      <c r="E31" s="1" t="n">
        <v>97.5</v>
      </c>
      <c r="F31" s="1" t="n">
        <v>22</v>
      </c>
      <c r="G31" s="1" t="n">
        <v>1</v>
      </c>
      <c r="H31" s="1" t="n">
        <v>180</v>
      </c>
      <c r="I31" s="1" t="inlineStr">
        <is>
          <t>P004358</t>
        </is>
      </c>
      <c r="J31" s="1" t="n"/>
      <c r="K31" s="1" t="n">
        <v>150.2</v>
      </c>
      <c r="L31" s="1">
        <f>E31-K31</f>
        <v/>
      </c>
      <c r="M31" s="1" t="n"/>
      <c r="N31" s="1" t="n"/>
      <c r="O31" s="1" t="n">
        <v>66</v>
      </c>
      <c r="P31" s="1" t="n">
        <v>330</v>
      </c>
      <c r="Q31" s="1" t="n"/>
      <c r="R31" s="1" t="n"/>
      <c r="S31" s="5" t="n"/>
      <c r="T31" s="5">
        <f>AL31*AM31</f>
        <v/>
      </c>
      <c r="U31" s="5" t="n"/>
      <c r="V31" s="1" t="n"/>
      <c r="W31" s="1" t="n"/>
      <c r="X31" s="1" t="n"/>
      <c r="Y31" s="1" t="n">
        <v>23.9</v>
      </c>
      <c r="Z31" s="1" t="n">
        <v>16.4</v>
      </c>
      <c r="AA31" s="1" t="n">
        <v>23</v>
      </c>
      <c r="AB31" s="1" t="n">
        <v>20.8</v>
      </c>
      <c r="AC31" s="1" t="n">
        <v>23</v>
      </c>
      <c r="AD31" s="1" t="n">
        <v>13.2</v>
      </c>
      <c r="AE31" s="1" t="n">
        <v>12</v>
      </c>
      <c r="AF31" s="1" t="n">
        <v>25</v>
      </c>
      <c r="AG31" s="1" t="n">
        <v>29.7</v>
      </c>
      <c r="AH31" s="1" t="n">
        <v>28.5</v>
      </c>
      <c r="AI31" s="1" t="n">
        <v>16.5</v>
      </c>
      <c r="AJ31" s="1" t="n"/>
      <c r="AK31" s="1">
        <f>G31*S31</f>
        <v/>
      </c>
      <c r="AL31" s="1" t="n">
        <v>5.5</v>
      </c>
      <c r="AM31" s="1">
        <f>MROUND(S31, AL31*AO31)/AL31</f>
        <v/>
      </c>
      <c r="AN31" s="1">
        <f>AM31*AL31*G31</f>
        <v/>
      </c>
      <c r="AO31" s="1" t="n">
        <v>12</v>
      </c>
      <c r="AP31" s="1" t="n">
        <v>84</v>
      </c>
      <c r="AQ31" s="1">
        <f>AM31/AP31</f>
        <v/>
      </c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</row>
    <row r="32">
      <c r="A32" s="1" t="inlineStr">
        <is>
          <t>Мини-шарики с курочкой и сыром ТМ Зареченские ВЕС ПОКОМ</t>
        </is>
      </c>
      <c r="B32" s="1" t="inlineStr">
        <is>
          <t>кг</t>
        </is>
      </c>
      <c r="C32" s="1" t="n"/>
      <c r="D32" s="1" t="n">
        <v>69</v>
      </c>
      <c r="E32" s="1" t="n">
        <v>15</v>
      </c>
      <c r="F32" s="1" t="n"/>
      <c r="G32" s="1" t="n">
        <v>1</v>
      </c>
      <c r="H32" s="1" t="n">
        <v>180</v>
      </c>
      <c r="I32" s="1" t="inlineStr">
        <is>
          <t>P004394</t>
        </is>
      </c>
      <c r="J32" s="1" t="n"/>
      <c r="K32" s="1" t="n">
        <v>47</v>
      </c>
      <c r="L32" s="1">
        <f>E32-K32</f>
        <v/>
      </c>
      <c r="M32" s="1" t="n"/>
      <c r="N32" s="1" t="n"/>
      <c r="O32" s="1" t="n">
        <v>294</v>
      </c>
      <c r="P32" s="1" t="n">
        <v>0</v>
      </c>
      <c r="Q32" s="1" t="n"/>
      <c r="R32" s="1" t="n"/>
      <c r="S32" s="5" t="n"/>
      <c r="T32" s="5">
        <f>AL32*AM32</f>
        <v/>
      </c>
      <c r="U32" s="5" t="n"/>
      <c r="V32" s="1" t="n"/>
      <c r="W32" s="1" t="n"/>
      <c r="X32" s="1" t="n"/>
      <c r="Y32" s="1" t="n">
        <v>19.34</v>
      </c>
      <c r="Z32" s="1" t="n">
        <v>32.6</v>
      </c>
      <c r="AA32" s="1" t="n">
        <v>21.88</v>
      </c>
      <c r="AB32" s="1" t="n">
        <v>28.8</v>
      </c>
      <c r="AC32" s="1" t="n">
        <v>28.2</v>
      </c>
      <c r="AD32" s="1" t="n">
        <v>29.4</v>
      </c>
      <c r="AE32" s="1" t="n">
        <v>24.6</v>
      </c>
      <c r="AF32" s="1" t="n">
        <v>25.8</v>
      </c>
      <c r="AG32" s="1" t="n">
        <v>45</v>
      </c>
      <c r="AH32" s="1" t="n">
        <v>40.8</v>
      </c>
      <c r="AI32" s="1" t="n">
        <v>36.6</v>
      </c>
      <c r="AJ32" s="1" t="n"/>
      <c r="AK32" s="1">
        <f>G32*S32</f>
        <v/>
      </c>
      <c r="AL32" s="1" t="n">
        <v>3</v>
      </c>
      <c r="AM32" s="1">
        <f>MROUND(S32, AL32*AO32)/AL32</f>
        <v/>
      </c>
      <c r="AN32" s="1">
        <f>AM32*AL32*G32</f>
        <v/>
      </c>
      <c r="AO32" s="1" t="n">
        <v>14</v>
      </c>
      <c r="AP32" s="1" t="n">
        <v>126</v>
      </c>
      <c r="AQ32" s="1">
        <f>AM32/AP32</f>
        <v/>
      </c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</row>
    <row r="33">
      <c r="A33" s="6" t="inlineStr">
        <is>
          <t>Наггетсы «Сливушки в темпуре» Фикс.вес 0,23 ТМ «Вязанка»</t>
        </is>
      </c>
      <c r="B33" s="1" t="inlineStr">
        <is>
          <t>шт</t>
        </is>
      </c>
      <c r="C33" s="1" t="n"/>
      <c r="D33" s="1" t="n"/>
      <c r="E33" s="1" t="n"/>
      <c r="F33" s="1" t="n"/>
      <c r="G33" s="1" t="n">
        <v>0.23</v>
      </c>
      <c r="H33" s="1" t="n">
        <v>180</v>
      </c>
      <c r="I33" s="1" t="inlineStr">
        <is>
          <t>SU004023</t>
        </is>
      </c>
      <c r="J33" s="1" t="n"/>
      <c r="K33" s="1" t="n"/>
      <c r="L33" s="1">
        <f>E33-K33</f>
        <v/>
      </c>
      <c r="M33" s="1" t="n"/>
      <c r="N33" s="1" t="n"/>
      <c r="O33" s="1" t="n"/>
      <c r="P33" s="1" t="n">
        <v>336</v>
      </c>
      <c r="Q33" s="1" t="n"/>
      <c r="R33" s="1" t="n"/>
      <c r="S33" s="5" t="n"/>
      <c r="T33" s="5">
        <f>AL33*AM33</f>
        <v/>
      </c>
      <c r="U33" s="5" t="n"/>
      <c r="V33" s="1" t="n"/>
      <c r="W33" s="1" t="n"/>
      <c r="X33" s="1" t="n"/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inlineStr">
        <is>
          <t>новинка</t>
        </is>
      </c>
      <c r="AK33" s="1">
        <f>G33*S33</f>
        <v/>
      </c>
      <c r="AL33" s="1" t="n">
        <v>12</v>
      </c>
      <c r="AM33" s="1">
        <f>MROUND(S33, AL33*AO33)/AL33</f>
        <v/>
      </c>
      <c r="AN33" s="1">
        <f>AM33*AL33*G33</f>
        <v/>
      </c>
      <c r="AO33" s="1" t="n">
        <v>14</v>
      </c>
      <c r="AP33" s="1" t="n">
        <v>70</v>
      </c>
      <c r="AQ33" s="1">
        <f>AM33/AP33</f>
        <v/>
      </c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</row>
    <row r="34">
      <c r="A34" s="1" t="inlineStr">
        <is>
          <t>Наггетсы Нагетосы Сочная курочка ТМ Горячая штучка 0,25 кг зам  ПОКОМ</t>
        </is>
      </c>
      <c r="B34" s="1" t="inlineStr">
        <is>
          <t>шт</t>
        </is>
      </c>
      <c r="C34" s="1" t="n">
        <v>754</v>
      </c>
      <c r="D34" s="1" t="n">
        <v>909</v>
      </c>
      <c r="E34" s="1" t="n">
        <v>595</v>
      </c>
      <c r="F34" s="1" t="n">
        <v>476</v>
      </c>
      <c r="G34" s="1" t="n">
        <v>0.25</v>
      </c>
      <c r="H34" s="1" t="n">
        <v>365</v>
      </c>
      <c r="I34" s="1" t="inlineStr">
        <is>
          <t>P004602</t>
        </is>
      </c>
      <c r="J34" s="1" t="n"/>
      <c r="K34" s="1" t="n">
        <v>656</v>
      </c>
      <c r="L34" s="1">
        <f>E34-K34</f>
        <v/>
      </c>
      <c r="M34" s="1" t="n"/>
      <c r="N34" s="1" t="n"/>
      <c r="O34" s="1" t="n">
        <v>588</v>
      </c>
      <c r="P34" s="1" t="n">
        <v>1008</v>
      </c>
      <c r="Q34" s="1" t="n"/>
      <c r="R34" s="1" t="n"/>
      <c r="S34" s="5" t="n"/>
      <c r="T34" s="5">
        <f>AL34*AM34</f>
        <v/>
      </c>
      <c r="U34" s="5" t="n"/>
      <c r="V34" s="1" t="n"/>
      <c r="W34" s="1" t="n"/>
      <c r="X34" s="1" t="n"/>
      <c r="Y34" s="1" t="n">
        <v>155.4</v>
      </c>
      <c r="Z34" s="1" t="n">
        <v>152.2</v>
      </c>
      <c r="AA34" s="1" t="n">
        <v>145.2</v>
      </c>
      <c r="AB34" s="1" t="n">
        <v>148</v>
      </c>
      <c r="AC34" s="1" t="n">
        <v>170.6</v>
      </c>
      <c r="AD34" s="1" t="n">
        <v>128</v>
      </c>
      <c r="AE34" s="1" t="n">
        <v>141.4</v>
      </c>
      <c r="AF34" s="1" t="n">
        <v>216.8</v>
      </c>
      <c r="AG34" s="1" t="n">
        <v>147.4</v>
      </c>
      <c r="AH34" s="1" t="n">
        <v>151.2</v>
      </c>
      <c r="AI34" s="1" t="n">
        <v>126.2</v>
      </c>
      <c r="AJ34" s="1" t="n"/>
      <c r="AK34" s="1">
        <f>G34*S34</f>
        <v/>
      </c>
      <c r="AL34" s="1" t="n">
        <v>6</v>
      </c>
      <c r="AM34" s="1">
        <f>MROUND(S34, AL34*AO34)/AL34</f>
        <v/>
      </c>
      <c r="AN34" s="1">
        <f>AM34*AL34*G34</f>
        <v/>
      </c>
      <c r="AO34" s="1" t="n">
        <v>14</v>
      </c>
      <c r="AP34" s="1" t="n">
        <v>140</v>
      </c>
      <c r="AQ34" s="1">
        <f>AM34/AP34</f>
        <v/>
      </c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</row>
    <row r="35">
      <c r="A35" s="1" t="inlineStr">
        <is>
          <t>Наггетсы Нагетосы Сочная курочка со сметаной и зеленью ТМ Горячая штучка флоу-пак 0,25 кг  Поком</t>
        </is>
      </c>
      <c r="B35" s="1" t="inlineStr">
        <is>
          <t>шт</t>
        </is>
      </c>
      <c r="C35" s="1" t="n">
        <v>6</v>
      </c>
      <c r="D35" s="1" t="n">
        <v>1294</v>
      </c>
      <c r="E35" s="1" t="n">
        <v>337</v>
      </c>
      <c r="F35" s="1" t="n">
        <v>857</v>
      </c>
      <c r="G35" s="1" t="n">
        <v>0.25</v>
      </c>
      <c r="H35" s="1" t="n">
        <v>365</v>
      </c>
      <c r="I35" s="1" t="inlineStr">
        <is>
          <t>P004600</t>
        </is>
      </c>
      <c r="J35" s="1" t="n"/>
      <c r="K35" s="1" t="n">
        <v>359</v>
      </c>
      <c r="L35" s="1">
        <f>E35-K35</f>
        <v/>
      </c>
      <c r="M35" s="1" t="n"/>
      <c r="N35" s="1" t="n"/>
      <c r="O35" s="1" t="n">
        <v>1008</v>
      </c>
      <c r="P35" s="1" t="n">
        <v>336</v>
      </c>
      <c r="Q35" s="1" t="n"/>
      <c r="R35" s="1" t="n"/>
      <c r="S35" s="5" t="n"/>
      <c r="T35" s="5">
        <f>AL35*AM35</f>
        <v/>
      </c>
      <c r="U35" s="5" t="n"/>
      <c r="V35" s="1" t="n"/>
      <c r="W35" s="1" t="n"/>
      <c r="X35" s="1" t="n"/>
      <c r="Y35" s="1" t="n">
        <v>96.40000000000001</v>
      </c>
      <c r="Z35" s="1" t="n">
        <v>105.6</v>
      </c>
      <c r="AA35" s="1" t="n">
        <v>72.40000000000001</v>
      </c>
      <c r="AB35" s="1" t="n">
        <v>84.8</v>
      </c>
      <c r="AC35" s="1" t="n">
        <v>106.8</v>
      </c>
      <c r="AD35" s="1" t="n">
        <v>85.8</v>
      </c>
      <c r="AE35" s="1" t="n">
        <v>62</v>
      </c>
      <c r="AF35" s="1" t="n">
        <v>165.8</v>
      </c>
      <c r="AG35" s="1" t="n">
        <v>143</v>
      </c>
      <c r="AH35" s="1" t="n">
        <v>111.8</v>
      </c>
      <c r="AI35" s="1" t="n">
        <v>95.8</v>
      </c>
      <c r="AJ35" s="1" t="n"/>
      <c r="AK35" s="1">
        <f>G35*S35</f>
        <v/>
      </c>
      <c r="AL35" s="1" t="n">
        <v>6</v>
      </c>
      <c r="AM35" s="1">
        <f>MROUND(S35, AL35*AO35)/AL35</f>
        <v/>
      </c>
      <c r="AN35" s="1">
        <f>AM35*AL35*G35</f>
        <v/>
      </c>
      <c r="AO35" s="1" t="n">
        <v>14</v>
      </c>
      <c r="AP35" s="1" t="n">
        <v>140</v>
      </c>
      <c r="AQ35" s="1">
        <f>AM35/AP35</f>
        <v/>
      </c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</row>
    <row r="36">
      <c r="A36" s="1" t="inlineStr">
        <is>
          <t>Наггетсы Хрустящие НД2. ВЕС.  ПОКОМ</t>
        </is>
      </c>
      <c r="B36" s="1" t="inlineStr">
        <is>
          <t>кг</t>
        </is>
      </c>
      <c r="C36" s="1" t="n">
        <v>270</v>
      </c>
      <c r="D36" s="1" t="n">
        <v>1104</v>
      </c>
      <c r="E36" s="1" t="n">
        <v>588</v>
      </c>
      <c r="F36" s="1" t="n">
        <v>588</v>
      </c>
      <c r="G36" s="1" t="n">
        <v>0</v>
      </c>
      <c r="H36" s="1" t="n">
        <v>180</v>
      </c>
      <c r="I36" s="1" t="inlineStr">
        <is>
          <t>дубль</t>
        </is>
      </c>
      <c r="J36" s="1" t="inlineStr">
        <is>
          <t>Наггетсы Хрустящие ТМ Зареченские ТС Зареченские продукты. Поком</t>
        </is>
      </c>
      <c r="K36" s="1" t="n">
        <v>657</v>
      </c>
      <c r="L36" s="1">
        <f>E36-K36</f>
        <v/>
      </c>
      <c r="M36" s="1" t="n"/>
      <c r="N36" s="1" t="n"/>
      <c r="O36" s="1" t="n"/>
      <c r="P36" s="1" t="n"/>
      <c r="Q36" s="1" t="n"/>
      <c r="R36" s="1" t="n"/>
      <c r="S36" s="5" t="n"/>
      <c r="T36" s="5" t="n"/>
      <c r="U36" s="5" t="n"/>
      <c r="V36" s="1" t="n"/>
      <c r="W36" s="1" t="n"/>
      <c r="X36" s="1" t="n"/>
      <c r="Y36" s="1" t="n">
        <v>160.8</v>
      </c>
      <c r="Z36" s="1" t="n">
        <v>31.2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</row>
    <row r="37">
      <c r="A37" s="1" t="inlineStr">
        <is>
          <t>Наггетсы Хрустящие ТМ Зареченские ТС Зареченские продукты. Поком</t>
        </is>
      </c>
      <c r="B37" s="1" t="inlineStr">
        <is>
          <t>кг</t>
        </is>
      </c>
      <c r="C37" s="1" t="n">
        <v>-119</v>
      </c>
      <c r="D37" s="1" t="n">
        <v>131</v>
      </c>
      <c r="E37" s="1" t="n">
        <v>6</v>
      </c>
      <c r="F37" s="1" t="n"/>
      <c r="G37" s="1" t="n">
        <v>1</v>
      </c>
      <c r="H37" s="1" t="n">
        <v>180</v>
      </c>
      <c r="I37" s="1" t="inlineStr">
        <is>
          <t>P003486</t>
        </is>
      </c>
      <c r="J37" s="1" t="n"/>
      <c r="K37" s="1" t="n">
        <v>36</v>
      </c>
      <c r="L37" s="1">
        <f>E37-K37</f>
        <v/>
      </c>
      <c r="M37" s="1" t="n"/>
      <c r="N37" s="1" t="n"/>
      <c r="O37" s="1" t="n">
        <v>1008</v>
      </c>
      <c r="P37" s="1" t="n">
        <v>1152</v>
      </c>
      <c r="Q37" s="1" t="n">
        <v>1008</v>
      </c>
      <c r="R37" s="1" t="n"/>
      <c r="S37" s="5" t="n"/>
      <c r="T37" s="5">
        <f>AL37*AM37</f>
        <v/>
      </c>
      <c r="U37" s="5" t="n"/>
      <c r="V37" s="1" t="n"/>
      <c r="W37" s="1" t="n"/>
      <c r="X37" s="1" t="n"/>
      <c r="Y37" s="1" t="n">
        <v>160.8</v>
      </c>
      <c r="Z37" s="1" t="n">
        <v>138.8</v>
      </c>
      <c r="AA37" s="1" t="n">
        <v>99.59999999999999</v>
      </c>
      <c r="AB37" s="1" t="n">
        <v>98.59999999999999</v>
      </c>
      <c r="AC37" s="1" t="n">
        <v>101.4</v>
      </c>
      <c r="AD37" s="1" t="n">
        <v>99.40000000000001</v>
      </c>
      <c r="AE37" s="1" t="n">
        <v>85.7998</v>
      </c>
      <c r="AF37" s="1" t="n">
        <v>51.4</v>
      </c>
      <c r="AG37" s="1" t="n">
        <v>49.8</v>
      </c>
      <c r="AH37" s="1" t="n">
        <v>51.6</v>
      </c>
      <c r="AI37" s="1" t="n">
        <v>52.8</v>
      </c>
      <c r="AJ37" s="1" t="n"/>
      <c r="AK37" s="1">
        <f>G37*S37</f>
        <v/>
      </c>
      <c r="AL37" s="1" t="n">
        <v>6</v>
      </c>
      <c r="AM37" s="1">
        <f>MROUND(S37, AL37*AO37)/AL37</f>
        <v/>
      </c>
      <c r="AN37" s="1">
        <f>AM37*AL37*G37</f>
        <v/>
      </c>
      <c r="AO37" s="1" t="n">
        <v>12</v>
      </c>
      <c r="AP37" s="1" t="n">
        <v>84</v>
      </c>
      <c r="AQ37" s="1">
        <f>AM37/AP37</f>
        <v/>
      </c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</row>
    <row r="38">
      <c r="A38" s="1" t="inlineStr">
        <is>
          <t>Наггетсы Хрустящие ТМ Стародворье с сочной курочкой 0,23 кг  ПОКОМ</t>
        </is>
      </c>
      <c r="B38" s="1" t="inlineStr">
        <is>
          <t>шт</t>
        </is>
      </c>
      <c r="C38" s="1" t="n">
        <v>1872</v>
      </c>
      <c r="D38" s="1" t="n">
        <v>2155</v>
      </c>
      <c r="E38" s="1" t="n">
        <v>453</v>
      </c>
      <c r="F38" s="1" t="n">
        <v>1415</v>
      </c>
      <c r="G38" s="1" t="n">
        <v>0.23</v>
      </c>
      <c r="H38" s="1" t="n">
        <v>180</v>
      </c>
      <c r="I38" s="1" t="inlineStr">
        <is>
          <t>ВНИМАНИЕ / P004486</t>
        </is>
      </c>
      <c r="J38" s="1" t="n"/>
      <c r="K38" s="1" t="n">
        <v>470</v>
      </c>
      <c r="L38" s="1">
        <f>E38-K38</f>
        <v/>
      </c>
      <c r="M38" s="1" t="n"/>
      <c r="N38" s="1" t="n"/>
      <c r="O38" s="1" t="n">
        <v>0</v>
      </c>
      <c r="P38" s="1" t="n">
        <v>1008</v>
      </c>
      <c r="Q38" s="1" t="n"/>
      <c r="R38" s="1" t="n"/>
      <c r="S38" s="5" t="n"/>
      <c r="T38" s="5">
        <f>AL38*AM38</f>
        <v/>
      </c>
      <c r="U38" s="5" t="n"/>
      <c r="V38" s="1" t="n"/>
      <c r="W38" s="1" t="n"/>
      <c r="X38" s="1" t="n"/>
      <c r="Y38" s="1" t="n">
        <v>180.2</v>
      </c>
      <c r="Z38" s="1" t="n">
        <v>99</v>
      </c>
      <c r="AA38" s="1" t="n">
        <v>206</v>
      </c>
      <c r="AB38" s="1" t="n">
        <v>45.4</v>
      </c>
      <c r="AC38" s="1" t="n">
        <v>70</v>
      </c>
      <c r="AD38" s="1" t="n">
        <v>177.4</v>
      </c>
      <c r="AE38" s="1" t="n">
        <v>205.4</v>
      </c>
      <c r="AF38" s="1" t="n">
        <v>210</v>
      </c>
      <c r="AG38" s="1" t="n">
        <v>71.8</v>
      </c>
      <c r="AH38" s="1" t="n">
        <v>104.2</v>
      </c>
      <c r="AI38" s="1" t="n">
        <v>105.2</v>
      </c>
      <c r="AJ38" s="1" t="n"/>
      <c r="AK38" s="1">
        <f>G38*S38</f>
        <v/>
      </c>
      <c r="AL38" s="1" t="n">
        <v>12</v>
      </c>
      <c r="AM38" s="1">
        <f>MROUND(S38, AL38*AO38)/AL38</f>
        <v/>
      </c>
      <c r="AN38" s="1">
        <f>AM38*AL38*G38</f>
        <v/>
      </c>
      <c r="AO38" s="1" t="n">
        <v>14</v>
      </c>
      <c r="AP38" s="1" t="n">
        <v>70</v>
      </c>
      <c r="AQ38" s="1">
        <f>AM38/AP38</f>
        <v/>
      </c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</row>
    <row r="39">
      <c r="A39" s="1" t="inlineStr">
        <is>
          <t>Наггетсы из печи 0,25кг ТМ Вязанка замор.  ПОКОМ</t>
        </is>
      </c>
      <c r="B39" s="1" t="inlineStr">
        <is>
          <t>шт</t>
        </is>
      </c>
      <c r="C39" s="1" t="n">
        <v>1052</v>
      </c>
      <c r="D39" s="1" t="n">
        <v>3677</v>
      </c>
      <c r="E39" s="1" t="n">
        <v>1376</v>
      </c>
      <c r="F39" s="1" t="n">
        <v>1326</v>
      </c>
      <c r="G39" s="1" t="n">
        <v>0.25</v>
      </c>
      <c r="H39" s="1" t="n">
        <v>365</v>
      </c>
      <c r="I39" s="1" t="inlineStr">
        <is>
          <t>P004497</t>
        </is>
      </c>
      <c r="J39" s="1" t="n"/>
      <c r="K39" s="1" t="n">
        <v>1488</v>
      </c>
      <c r="L39" s="1">
        <f>E39-K39</f>
        <v/>
      </c>
      <c r="M39" s="1" t="n"/>
      <c r="N39" s="1" t="n"/>
      <c r="O39" s="1" t="n">
        <v>1680</v>
      </c>
      <c r="P39" s="1" t="n">
        <v>672</v>
      </c>
      <c r="Q39" s="1" t="n">
        <v>840</v>
      </c>
      <c r="R39" s="1" t="n"/>
      <c r="S39" s="5" t="n"/>
      <c r="T39" s="5">
        <f>AL39*AM39</f>
        <v/>
      </c>
      <c r="U39" s="5" t="n"/>
      <c r="V39" s="1" t="n"/>
      <c r="W39" s="1" t="n"/>
      <c r="X39" s="1" t="n"/>
      <c r="Y39" s="1" t="n">
        <v>263</v>
      </c>
      <c r="Z39" s="1" t="n">
        <v>284.2</v>
      </c>
      <c r="AA39" s="1" t="n">
        <v>234.8</v>
      </c>
      <c r="AB39" s="1" t="n">
        <v>270.4</v>
      </c>
      <c r="AC39" s="1" t="n">
        <v>319.4</v>
      </c>
      <c r="AD39" s="1" t="n">
        <v>267.4</v>
      </c>
      <c r="AE39" s="1" t="n">
        <v>316.4</v>
      </c>
      <c r="AF39" s="1" t="n">
        <v>381</v>
      </c>
      <c r="AG39" s="1" t="n">
        <v>260</v>
      </c>
      <c r="AH39" s="1" t="n">
        <v>289</v>
      </c>
      <c r="AI39" s="1" t="n">
        <v>290.4</v>
      </c>
      <c r="AJ39" s="1" t="n"/>
      <c r="AK39" s="1">
        <f>G39*S39</f>
        <v/>
      </c>
      <c r="AL39" s="1" t="n">
        <v>12</v>
      </c>
      <c r="AM39" s="1">
        <f>MROUND(S39, AL39*AO39)/AL39</f>
        <v/>
      </c>
      <c r="AN39" s="1">
        <f>AM39*AL39*G39</f>
        <v/>
      </c>
      <c r="AO39" s="1" t="n">
        <v>14</v>
      </c>
      <c r="AP39" s="1" t="n">
        <v>70</v>
      </c>
      <c r="AQ39" s="1">
        <f>AM39/AP39</f>
        <v/>
      </c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</row>
    <row r="40">
      <c r="A40" s="1" t="inlineStr">
        <is>
          <t>Наггетсы с индейкой 0,25кг ТМ Вязанка ТС Из печи Сливушки ПОКОМ</t>
        </is>
      </c>
      <c r="B40" s="1" t="inlineStr">
        <is>
          <t>шт</t>
        </is>
      </c>
      <c r="C40" s="1" t="n">
        <v>934</v>
      </c>
      <c r="D40" s="1" t="n">
        <v>2750</v>
      </c>
      <c r="E40" s="1" t="n">
        <v>912</v>
      </c>
      <c r="F40" s="1" t="n">
        <v>664</v>
      </c>
      <c r="G40" s="1" t="n">
        <v>0.25</v>
      </c>
      <c r="H40" s="1" t="n">
        <v>365</v>
      </c>
      <c r="I40" s="1" t="inlineStr">
        <is>
          <t>P004496</t>
        </is>
      </c>
      <c r="J40" s="1" t="n"/>
      <c r="K40" s="1" t="n">
        <v>982</v>
      </c>
      <c r="L40" s="1">
        <f>E40-K40</f>
        <v/>
      </c>
      <c r="M40" s="1" t="n"/>
      <c r="N40" s="1" t="n"/>
      <c r="O40" s="1" t="n">
        <v>672</v>
      </c>
      <c r="P40" s="1" t="n">
        <v>504</v>
      </c>
      <c r="Q40" s="1" t="n">
        <v>840</v>
      </c>
      <c r="R40" s="1" t="n"/>
      <c r="S40" s="5" t="n"/>
      <c r="T40" s="5">
        <f>AL40*AM40</f>
        <v/>
      </c>
      <c r="U40" s="5" t="n"/>
      <c r="V40" s="1" t="n"/>
      <c r="W40" s="1" t="n"/>
      <c r="X40" s="1" t="n"/>
      <c r="Y40" s="1" t="n">
        <v>187.2</v>
      </c>
      <c r="Z40" s="1" t="n">
        <v>206.6</v>
      </c>
      <c r="AA40" s="1" t="n">
        <v>186.6</v>
      </c>
      <c r="AB40" s="1" t="n">
        <v>274</v>
      </c>
      <c r="AC40" s="1" t="n">
        <v>321</v>
      </c>
      <c r="AD40" s="1" t="n">
        <v>265.8</v>
      </c>
      <c r="AE40" s="1" t="n">
        <v>208.6</v>
      </c>
      <c r="AF40" s="1" t="n">
        <v>336</v>
      </c>
      <c r="AG40" s="1" t="n">
        <v>163.8</v>
      </c>
      <c r="AH40" s="1" t="n">
        <v>199.2</v>
      </c>
      <c r="AI40" s="1" t="n">
        <v>206.4</v>
      </c>
      <c r="AJ40" s="1" t="n"/>
      <c r="AK40" s="1">
        <f>G40*S40</f>
        <v/>
      </c>
      <c r="AL40" s="1" t="n">
        <v>12</v>
      </c>
      <c r="AM40" s="1">
        <f>MROUND(S40, AL40*AO40)/AL40</f>
        <v/>
      </c>
      <c r="AN40" s="1">
        <f>AM40*AL40*G40</f>
        <v/>
      </c>
      <c r="AO40" s="1" t="n">
        <v>14</v>
      </c>
      <c r="AP40" s="1" t="n">
        <v>70</v>
      </c>
      <c r="AQ40" s="1">
        <f>AM40/AP40</f>
        <v/>
      </c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</row>
    <row r="41">
      <c r="A41" s="1" t="inlineStr">
        <is>
          <t>Наггетсы с куриным филе и сыром ТМ Вязанка ТС Из печи Сливушки 0,25 кг.  Поком</t>
        </is>
      </c>
      <c r="B41" s="1" t="inlineStr">
        <is>
          <t>шт</t>
        </is>
      </c>
      <c r="C41" s="1" t="n">
        <v>673</v>
      </c>
      <c r="D41" s="1" t="n">
        <v>1624</v>
      </c>
      <c r="E41" s="1" t="n">
        <v>730</v>
      </c>
      <c r="F41" s="1" t="n">
        <v>107</v>
      </c>
      <c r="G41" s="1" t="n">
        <v>0.25</v>
      </c>
      <c r="H41" s="1" t="n">
        <v>180</v>
      </c>
      <c r="I41" s="1" t="inlineStr">
        <is>
          <t>P004535</t>
        </is>
      </c>
      <c r="J41" s="1" t="n"/>
      <c r="K41" s="1" t="n">
        <v>788</v>
      </c>
      <c r="L41" s="1">
        <f>E41-K41</f>
        <v/>
      </c>
      <c r="M41" s="1" t="n"/>
      <c r="N41" s="1" t="n"/>
      <c r="O41" s="1" t="n">
        <v>168</v>
      </c>
      <c r="P41" s="1" t="n">
        <v>672</v>
      </c>
      <c r="Q41" s="1" t="n">
        <v>840</v>
      </c>
      <c r="R41" s="1" t="n"/>
      <c r="S41" s="5" t="n"/>
      <c r="T41" s="5">
        <f>AL41*AM41</f>
        <v/>
      </c>
      <c r="U41" s="5" t="n"/>
      <c r="V41" s="1" t="n"/>
      <c r="W41" s="1" t="n"/>
      <c r="X41" s="1" t="n"/>
      <c r="Y41" s="1" t="n">
        <v>150.4</v>
      </c>
      <c r="Z41" s="1" t="n">
        <v>124.8</v>
      </c>
      <c r="AA41" s="1" t="n">
        <v>125.4</v>
      </c>
      <c r="AB41" s="1" t="n">
        <v>141</v>
      </c>
      <c r="AC41" s="1" t="n">
        <v>163.2</v>
      </c>
      <c r="AD41" s="1" t="n">
        <v>128.2</v>
      </c>
      <c r="AE41" s="1" t="n">
        <v>133.8</v>
      </c>
      <c r="AF41" s="1" t="n">
        <v>172.6</v>
      </c>
      <c r="AG41" s="1" t="n">
        <v>55.8</v>
      </c>
      <c r="AH41" s="1" t="n">
        <v>145</v>
      </c>
      <c r="AI41" s="1" t="n">
        <v>114.6</v>
      </c>
      <c r="AJ41" s="1" t="n"/>
      <c r="AK41" s="1">
        <f>G41*S41</f>
        <v/>
      </c>
      <c r="AL41" s="1" t="n">
        <v>12</v>
      </c>
      <c r="AM41" s="1">
        <f>MROUND(S41, AL41*AO41)/AL41</f>
        <v/>
      </c>
      <c r="AN41" s="1">
        <f>AM41*AL41*G41</f>
        <v/>
      </c>
      <c r="AO41" s="1" t="n">
        <v>14</v>
      </c>
      <c r="AP41" s="1" t="n">
        <v>70</v>
      </c>
      <c r="AQ41" s="1">
        <f>AM41/AP41</f>
        <v/>
      </c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</row>
    <row r="42">
      <c r="A42" s="1" t="inlineStr">
        <is>
          <t>Пекерсы с индейкой в сливочном соусе ТМ Горячая штучка 0,25 кг зам  ПОКОМ</t>
        </is>
      </c>
      <c r="B42" s="1" t="inlineStr">
        <is>
          <t>шт</t>
        </is>
      </c>
      <c r="C42" s="1" t="n">
        <v>-3</v>
      </c>
      <c r="D42" s="1" t="n">
        <v>182</v>
      </c>
      <c r="E42" s="1" t="n">
        <v>167</v>
      </c>
      <c r="F42" s="1" t="n"/>
      <c r="G42" s="1" t="n">
        <v>0.25</v>
      </c>
      <c r="H42" s="1" t="n">
        <v>180</v>
      </c>
      <c r="I42" s="1" t="inlineStr">
        <is>
          <t>P004594</t>
        </is>
      </c>
      <c r="J42" s="1" t="n"/>
      <c r="K42" s="1" t="n">
        <v>176</v>
      </c>
      <c r="L42" s="1">
        <f>E42-K42</f>
        <v/>
      </c>
      <c r="M42" s="1" t="n"/>
      <c r="N42" s="1" t="n"/>
      <c r="O42" s="1" t="n">
        <v>168</v>
      </c>
      <c r="P42" s="1" t="n">
        <v>840</v>
      </c>
      <c r="Q42" s="1" t="n"/>
      <c r="R42" s="1" t="n"/>
      <c r="S42" s="5" t="n"/>
      <c r="T42" s="5">
        <f>AL42*AM42</f>
        <v/>
      </c>
      <c r="U42" s="5" t="n"/>
      <c r="V42" s="1" t="n"/>
      <c r="W42" s="1" t="n"/>
      <c r="X42" s="1" t="n"/>
      <c r="Y42" s="1" t="n">
        <v>92.8</v>
      </c>
      <c r="Z42" s="1" t="n">
        <v>86.2</v>
      </c>
      <c r="AA42" s="1" t="n">
        <v>81.40000000000001</v>
      </c>
      <c r="AB42" s="1" t="n">
        <v>111.8</v>
      </c>
      <c r="AC42" s="1" t="n">
        <v>124.8</v>
      </c>
      <c r="AD42" s="1" t="n">
        <v>101</v>
      </c>
      <c r="AE42" s="1" t="n">
        <v>89.2</v>
      </c>
      <c r="AF42" s="1" t="n">
        <v>128.8</v>
      </c>
      <c r="AG42" s="1" t="n">
        <v>59.8</v>
      </c>
      <c r="AH42" s="1" t="n">
        <v>131</v>
      </c>
      <c r="AI42" s="1" t="n">
        <v>134</v>
      </c>
      <c r="AJ42" s="1" t="n"/>
      <c r="AK42" s="1">
        <f>G42*S42</f>
        <v/>
      </c>
      <c r="AL42" s="1" t="n">
        <v>12</v>
      </c>
      <c r="AM42" s="1">
        <f>MROUND(S42, AL42*AO42)/AL42</f>
        <v/>
      </c>
      <c r="AN42" s="1">
        <f>AM42*AL42*G42</f>
        <v/>
      </c>
      <c r="AO42" s="1" t="n">
        <v>14</v>
      </c>
      <c r="AP42" s="1" t="n">
        <v>70</v>
      </c>
      <c r="AQ42" s="1">
        <f>AM42/AP42</f>
        <v/>
      </c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</row>
    <row r="43">
      <c r="A43" s="1" t="inlineStr">
        <is>
          <t>Пельмени Grandmeni с говядиной ТМ Горячаяштучка флоу-пак сфера 0,7 кг.  Поком</t>
        </is>
      </c>
      <c r="B43" s="1" t="inlineStr">
        <is>
          <t>шт</t>
        </is>
      </c>
      <c r="C43" s="1" t="n">
        <v>133</v>
      </c>
      <c r="D43" s="1" t="n">
        <v>723</v>
      </c>
      <c r="E43" s="1" t="n">
        <v>298</v>
      </c>
      <c r="F43" s="1" t="n">
        <v>404</v>
      </c>
      <c r="G43" s="1" t="n">
        <v>0.7</v>
      </c>
      <c r="H43" s="1" t="n">
        <v>180</v>
      </c>
      <c r="I43" s="1" t="inlineStr">
        <is>
          <t>P004887</t>
        </is>
      </c>
      <c r="J43" s="1" t="n"/>
      <c r="K43" s="1" t="n">
        <v>386</v>
      </c>
      <c r="L43" s="1">
        <f>E43-K43</f>
        <v/>
      </c>
      <c r="M43" s="1" t="n"/>
      <c r="N43" s="1" t="n"/>
      <c r="O43" s="1" t="n">
        <v>576</v>
      </c>
      <c r="P43" s="1" t="n">
        <v>480</v>
      </c>
      <c r="Q43" s="1" t="n"/>
      <c r="R43" s="1" t="n"/>
      <c r="S43" s="5" t="n"/>
      <c r="T43" s="5">
        <f>AL43*AM43</f>
        <v/>
      </c>
      <c r="U43" s="5" t="n"/>
      <c r="V43" s="1" t="n"/>
      <c r="W43" s="1" t="n"/>
      <c r="X43" s="1" t="n"/>
      <c r="Y43" s="1" t="n">
        <v>83.8</v>
      </c>
      <c r="Z43" s="1" t="n">
        <v>93.59999999999999</v>
      </c>
      <c r="AA43" s="1" t="n">
        <v>71.8</v>
      </c>
      <c r="AB43" s="1" t="n">
        <v>57.2</v>
      </c>
      <c r="AC43" s="1" t="n">
        <v>85.2</v>
      </c>
      <c r="AD43" s="1" t="n">
        <v>65</v>
      </c>
      <c r="AE43" s="1" t="n">
        <v>68.2</v>
      </c>
      <c r="AF43" s="1" t="n">
        <v>69</v>
      </c>
      <c r="AG43" s="1" t="n">
        <v>33.4</v>
      </c>
      <c r="AH43" s="1" t="n">
        <v>60.6</v>
      </c>
      <c r="AI43" s="1" t="n">
        <v>58.4</v>
      </c>
      <c r="AJ43" s="1" t="n"/>
      <c r="AK43" s="1">
        <f>G43*S43</f>
        <v/>
      </c>
      <c r="AL43" s="1" t="n">
        <v>8</v>
      </c>
      <c r="AM43" s="1">
        <f>MROUND(S43, AL43*AO43)/AL43</f>
        <v/>
      </c>
      <c r="AN43" s="1">
        <f>AM43*AL43*G43</f>
        <v/>
      </c>
      <c r="AO43" s="1" t="n">
        <v>12</v>
      </c>
      <c r="AP43" s="1" t="n">
        <v>84</v>
      </c>
      <c r="AQ43" s="1">
        <f>AM43/AP43</f>
        <v/>
      </c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</row>
    <row r="44">
      <c r="A44" s="1" t="inlineStr">
        <is>
          <t>Пельмени Grandmeni с говядиной и свининой ТМ Горячаяштучка флоу-па классическая форма 0,7 кг.  Поком</t>
        </is>
      </c>
      <c r="B44" s="1" t="inlineStr">
        <is>
          <t>шт</t>
        </is>
      </c>
      <c r="C44" s="1" t="n">
        <v>441</v>
      </c>
      <c r="D44" s="1" t="n">
        <v>19</v>
      </c>
      <c r="E44" s="1" t="n">
        <v>225</v>
      </c>
      <c r="F44" s="1" t="n">
        <v>223</v>
      </c>
      <c r="G44" s="1" t="n">
        <v>0.7</v>
      </c>
      <c r="H44" s="1" t="n">
        <v>180</v>
      </c>
      <c r="I44" s="1" t="inlineStr">
        <is>
          <t>P004889</t>
        </is>
      </c>
      <c r="J44" s="1" t="n"/>
      <c r="K44" s="1" t="n">
        <v>241</v>
      </c>
      <c r="L44" s="1">
        <f>E44-K44</f>
        <v/>
      </c>
      <c r="M44" s="1" t="n"/>
      <c r="N44" s="1" t="n"/>
      <c r="O44" s="1" t="n">
        <v>0</v>
      </c>
      <c r="P44" s="1" t="n">
        <v>288</v>
      </c>
      <c r="Q44" s="1" t="n"/>
      <c r="R44" s="1" t="n"/>
      <c r="S44" s="5" t="n"/>
      <c r="T44" s="5">
        <f>AL44*AM44</f>
        <v/>
      </c>
      <c r="U44" s="5" t="n"/>
      <c r="V44" s="1" t="n"/>
      <c r="W44" s="1" t="n"/>
      <c r="X44" s="1" t="n"/>
      <c r="Y44" s="1" t="n">
        <v>47.8</v>
      </c>
      <c r="Z44" s="1" t="n">
        <v>21</v>
      </c>
      <c r="AA44" s="1" t="n">
        <v>63.6</v>
      </c>
      <c r="AB44" s="1" t="n">
        <v>21</v>
      </c>
      <c r="AC44" s="1" t="n">
        <v>35</v>
      </c>
      <c r="AD44" s="1" t="n">
        <v>30.8</v>
      </c>
      <c r="AE44" s="1" t="n">
        <v>48</v>
      </c>
      <c r="AF44" s="1" t="n">
        <v>41</v>
      </c>
      <c r="AG44" s="1" t="n">
        <v>22.2</v>
      </c>
      <c r="AH44" s="1" t="n">
        <v>21.8</v>
      </c>
      <c r="AI44" s="1" t="n">
        <v>23.4</v>
      </c>
      <c r="AJ44" s="1" t="n"/>
      <c r="AK44" s="1">
        <f>G44*S44</f>
        <v/>
      </c>
      <c r="AL44" s="1" t="n">
        <v>8</v>
      </c>
      <c r="AM44" s="1">
        <f>MROUND(S44, AL44*AO44)/AL44</f>
        <v/>
      </c>
      <c r="AN44" s="1">
        <f>AM44*AL44*G44</f>
        <v/>
      </c>
      <c r="AO44" s="1" t="n">
        <v>12</v>
      </c>
      <c r="AP44" s="1" t="n">
        <v>84</v>
      </c>
      <c r="AQ44" s="1">
        <f>AM44/AP44</f>
        <v/>
      </c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</row>
    <row r="45">
      <c r="A45" s="1" t="inlineStr">
        <is>
          <t>Пельмени Grandmeni со сливочным маслом  ТМ Горячая штучка флоу-пак сфера 0,7 кг.  Поком</t>
        </is>
      </c>
      <c r="B45" s="1" t="inlineStr">
        <is>
          <t>шт</t>
        </is>
      </c>
      <c r="C45" s="1" t="n">
        <v>2</v>
      </c>
      <c r="D45" s="1" t="n"/>
      <c r="E45" s="1" t="n"/>
      <c r="F45" s="1" t="n"/>
      <c r="G45" s="1" t="n">
        <v>0.7</v>
      </c>
      <c r="H45" s="1" t="n">
        <v>180</v>
      </c>
      <c r="I45" s="1" t="inlineStr">
        <is>
          <t>P004888</t>
        </is>
      </c>
      <c r="J45" s="1" t="n"/>
      <c r="K45" s="1" t="n">
        <v>153</v>
      </c>
      <c r="L45" s="1">
        <f>E45-K45</f>
        <v/>
      </c>
      <c r="M45" s="1" t="n"/>
      <c r="N45" s="1" t="n"/>
      <c r="O45" s="1" t="n">
        <v>0</v>
      </c>
      <c r="P45" s="1" t="n">
        <v>0</v>
      </c>
      <c r="Q45" s="1" t="n"/>
      <c r="R45" s="1" t="n"/>
      <c r="S45" s="5" t="n"/>
      <c r="T45" s="5">
        <f>AL45*AM45</f>
        <v/>
      </c>
      <c r="U45" s="5" t="n"/>
      <c r="V45" s="1" t="n"/>
      <c r="W45" s="1" t="n"/>
      <c r="X45" s="1" t="n"/>
      <c r="Y45" s="1" t="n">
        <v>0</v>
      </c>
      <c r="Z45" s="1" t="n">
        <v>-0.4</v>
      </c>
      <c r="AA45" s="1" t="n">
        <v>0</v>
      </c>
      <c r="AB45" s="1" t="n">
        <v>0.6</v>
      </c>
      <c r="AC45" s="1" t="n">
        <v>0</v>
      </c>
      <c r="AD45" s="1" t="n">
        <v>0.2</v>
      </c>
      <c r="AE45" s="1" t="n">
        <v>1</v>
      </c>
      <c r="AF45" s="1" t="n">
        <v>0</v>
      </c>
      <c r="AG45" s="1" t="n">
        <v>2.2</v>
      </c>
      <c r="AH45" s="1" t="n">
        <v>56.2</v>
      </c>
      <c r="AI45" s="1" t="n">
        <v>52.2</v>
      </c>
      <c r="AJ45" s="1" t="inlineStr">
        <is>
          <t>нет в бланке</t>
        </is>
      </c>
      <c r="AK45" s="1">
        <f>G45*S45</f>
        <v/>
      </c>
      <c r="AL45" s="1" t="n">
        <v>8</v>
      </c>
      <c r="AM45" s="1">
        <f>MROUND(S45, AL45*AO45)/AL45</f>
        <v/>
      </c>
      <c r="AN45" s="1">
        <f>AM45*AL45*G45</f>
        <v/>
      </c>
      <c r="AO45" s="1" t="n">
        <v>12</v>
      </c>
      <c r="AP45" s="1" t="n">
        <v>84</v>
      </c>
      <c r="AQ45" s="1">
        <f>AM45/AP45</f>
        <v/>
      </c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</row>
    <row r="46">
      <c r="A46" s="6" t="inlineStr">
        <is>
          <t>Пельмени «Медвежье ушко Премиум со сливочным маслом» 0,4 классическая форма ТМ «Медвежье ушко»</t>
        </is>
      </c>
      <c r="B46" s="1" t="inlineStr">
        <is>
          <t>шт</t>
        </is>
      </c>
      <c r="C46" s="1" t="n"/>
      <c r="D46" s="1" t="n"/>
      <c r="E46" s="1" t="n"/>
      <c r="F46" s="1" t="n"/>
      <c r="G46" s="1" t="n">
        <v>0.4</v>
      </c>
      <c r="H46" s="1" t="n">
        <v>180</v>
      </c>
      <c r="I46" s="1" t="inlineStr">
        <is>
          <t>P005439</t>
        </is>
      </c>
      <c r="J46" s="1" t="n"/>
      <c r="K46" s="1" t="n"/>
      <c r="L46" s="1">
        <f>E46-K46</f>
        <v/>
      </c>
      <c r="M46" s="1" t="n"/>
      <c r="N46" s="1" t="n"/>
      <c r="O46" s="1" t="n">
        <v>192</v>
      </c>
      <c r="P46" s="1" t="n">
        <v>0</v>
      </c>
      <c r="Q46" s="1" t="n"/>
      <c r="R46" s="1" t="n"/>
      <c r="S46" s="5" t="n"/>
      <c r="T46" s="5">
        <f>AL46*AM46</f>
        <v/>
      </c>
      <c r="U46" s="5" t="n"/>
      <c r="V46" s="1" t="n"/>
      <c r="W46" s="1" t="n"/>
      <c r="X46" s="1" t="n"/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inlineStr">
        <is>
          <t>новинка</t>
        </is>
      </c>
      <c r="AK46" s="1">
        <f>G46*S46</f>
        <v/>
      </c>
      <c r="AL46" s="1" t="n">
        <v>16</v>
      </c>
      <c r="AM46" s="1">
        <f>MROUND(S46, AL46*AO46)/AL46</f>
        <v/>
      </c>
      <c r="AN46" s="1">
        <f>AM46*AL46*G46</f>
        <v/>
      </c>
      <c r="AO46" s="1" t="n">
        <v>12</v>
      </c>
      <c r="AP46" s="1" t="n">
        <v>84</v>
      </c>
      <c r="AQ46" s="1">
        <f>AM46/AP46</f>
        <v/>
      </c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</row>
    <row r="47">
      <c r="A47" s="6" t="inlineStr">
        <is>
          <t>Пельмени «Медвежье ушко Премиум со сливочным маслом» 0,8 классическая форма ТМ «Медвежье ушко»</t>
        </is>
      </c>
      <c r="B47" s="1" t="inlineStr">
        <is>
          <t>шт</t>
        </is>
      </c>
      <c r="C47" s="1" t="n"/>
      <c r="D47" s="1" t="n"/>
      <c r="E47" s="1" t="n"/>
      <c r="F47" s="1" t="n"/>
      <c r="G47" s="1" t="n">
        <v>0.8</v>
      </c>
      <c r="H47" s="1" t="n">
        <v>180</v>
      </c>
      <c r="I47" s="1" t="inlineStr">
        <is>
          <t>P005438</t>
        </is>
      </c>
      <c r="J47" s="1" t="n"/>
      <c r="K47" s="1" t="n"/>
      <c r="L47" s="1">
        <f>E47-K47</f>
        <v/>
      </c>
      <c r="M47" s="1" t="n"/>
      <c r="N47" s="1" t="n"/>
      <c r="O47" s="1" t="n">
        <v>96</v>
      </c>
      <c r="P47" s="1" t="n">
        <v>0</v>
      </c>
      <c r="Q47" s="1" t="n"/>
      <c r="R47" s="1" t="n"/>
      <c r="S47" s="5" t="n"/>
      <c r="T47" s="5">
        <f>AL47*AM47</f>
        <v/>
      </c>
      <c r="U47" s="5" t="n"/>
      <c r="V47" s="1" t="n"/>
      <c r="W47" s="1" t="n"/>
      <c r="X47" s="1" t="n"/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inlineStr">
        <is>
          <t>новинка</t>
        </is>
      </c>
      <c r="AK47" s="1">
        <f>G47*S47</f>
        <v/>
      </c>
      <c r="AL47" s="1" t="n">
        <v>8</v>
      </c>
      <c r="AM47" s="1">
        <f>MROUND(S47, AL47*AO47)/AL47</f>
        <v/>
      </c>
      <c r="AN47" s="1">
        <f>AM47*AL47*G47</f>
        <v/>
      </c>
      <c r="AO47" s="1" t="n">
        <v>12</v>
      </c>
      <c r="AP47" s="1" t="n">
        <v>84</v>
      </c>
      <c r="AQ47" s="1">
        <f>AM47/AP47</f>
        <v/>
      </c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</row>
    <row r="48">
      <c r="A48" s="1" t="inlineStr">
        <is>
          <t>Пельмени Бигбули #МЕГАВКУСИЩЕ с сочной грудинкой  ТМ Горячая штучка  флоу-пак сфера 0,7 кг.  Поком</t>
        </is>
      </c>
      <c r="B48" s="1" t="inlineStr">
        <is>
          <t>шт</t>
        </is>
      </c>
      <c r="C48" s="1" t="n">
        <v>451</v>
      </c>
      <c r="D48" s="1" t="n">
        <v>807</v>
      </c>
      <c r="E48" s="1" t="n">
        <v>263</v>
      </c>
      <c r="F48" s="1" t="n">
        <v>133</v>
      </c>
      <c r="G48" s="1" t="n">
        <v>0.7</v>
      </c>
      <c r="H48" s="1" t="n">
        <v>180</v>
      </c>
      <c r="I48" s="1" t="inlineStr">
        <is>
          <t>P004486</t>
        </is>
      </c>
      <c r="J48" s="1" t="n"/>
      <c r="K48" s="1" t="n">
        <v>278</v>
      </c>
      <c r="L48" s="1">
        <f>E48-K48</f>
        <v/>
      </c>
      <c r="M48" s="1" t="n"/>
      <c r="N48" s="1" t="n"/>
      <c r="O48" s="1" t="n">
        <v>0</v>
      </c>
      <c r="P48" s="1" t="n">
        <v>480</v>
      </c>
      <c r="Q48" s="1" t="n"/>
      <c r="R48" s="1" t="n"/>
      <c r="S48" s="5" t="n"/>
      <c r="T48" s="5">
        <f>AL48*AM48</f>
        <v/>
      </c>
      <c r="U48" s="5" t="n"/>
      <c r="V48" s="1" t="n"/>
      <c r="W48" s="1" t="n"/>
      <c r="X48" s="1" t="n"/>
      <c r="Y48" s="1" t="n">
        <v>65.2</v>
      </c>
      <c r="Z48" s="1" t="n">
        <v>26.6</v>
      </c>
      <c r="AA48" s="1" t="n">
        <v>73.2</v>
      </c>
      <c r="AB48" s="1" t="n">
        <v>17.8</v>
      </c>
      <c r="AC48" s="1" t="n">
        <v>22.6</v>
      </c>
      <c r="AD48" s="1" t="n">
        <v>57</v>
      </c>
      <c r="AE48" s="1" t="n">
        <v>64.59999999999999</v>
      </c>
      <c r="AF48" s="1" t="n">
        <v>49.4</v>
      </c>
      <c r="AG48" s="1" t="n">
        <v>37.8</v>
      </c>
      <c r="AH48" s="1" t="n">
        <v>41.8</v>
      </c>
      <c r="AI48" s="1" t="n">
        <v>45.8</v>
      </c>
      <c r="AJ48" s="1" t="n"/>
      <c r="AK48" s="1">
        <f>G48*S48</f>
        <v/>
      </c>
      <c r="AL48" s="1" t="n">
        <v>10</v>
      </c>
      <c r="AM48" s="1">
        <f>MROUND(S48, AL48*AO48)/AL48</f>
        <v/>
      </c>
      <c r="AN48" s="1">
        <f>AM48*AL48*G48</f>
        <v/>
      </c>
      <c r="AO48" s="1" t="n">
        <v>12</v>
      </c>
      <c r="AP48" s="1" t="n">
        <v>84</v>
      </c>
      <c r="AQ48" s="1">
        <f>AM48/AP48</f>
        <v/>
      </c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</row>
    <row r="49">
      <c r="A49" s="1" t="inlineStr">
        <is>
          <t>Пельмени Бигбули с мясом ТМ Горячая штучка БУЛЬМЕНИ ТС Бигбули ГШ  флоу-пак сфера 0,7.   Поком</t>
        </is>
      </c>
      <c r="B49" s="1" t="inlineStr">
        <is>
          <t>шт</t>
        </is>
      </c>
      <c r="C49" s="1" t="n">
        <v>48</v>
      </c>
      <c r="D49" s="1" t="n">
        <v>1755</v>
      </c>
      <c r="E49" s="1" t="n">
        <v>178</v>
      </c>
      <c r="F49" s="1" t="n">
        <v>792</v>
      </c>
      <c r="G49" s="1" t="n">
        <v>0.7</v>
      </c>
      <c r="H49" s="1" t="n">
        <v>180</v>
      </c>
      <c r="I49" s="1" t="inlineStr">
        <is>
          <t>P004442</t>
        </is>
      </c>
      <c r="J49" s="1" t="n"/>
      <c r="K49" s="1" t="n">
        <v>298</v>
      </c>
      <c r="L49" s="1">
        <f>E49-K49</f>
        <v/>
      </c>
      <c r="M49" s="1" t="n"/>
      <c r="N49" s="1" t="n"/>
      <c r="O49" s="1" t="n">
        <v>960</v>
      </c>
      <c r="P49" s="1" t="n">
        <v>0</v>
      </c>
      <c r="Q49" s="1" t="n"/>
      <c r="R49" s="1" t="n"/>
      <c r="S49" s="5" t="n"/>
      <c r="T49" s="5">
        <f>AL49*AM49</f>
        <v/>
      </c>
      <c r="U49" s="5" t="n"/>
      <c r="V49" s="1" t="n"/>
      <c r="W49" s="1" t="n"/>
      <c r="X49" s="1" t="n"/>
      <c r="Y49" s="1" t="n">
        <v>63.8</v>
      </c>
      <c r="Z49" s="1" t="n">
        <v>110.6</v>
      </c>
      <c r="AA49" s="1" t="n">
        <v>63.8</v>
      </c>
      <c r="AB49" s="1" t="n">
        <v>72.40000000000001</v>
      </c>
      <c r="AC49" s="1" t="n">
        <v>81.2</v>
      </c>
      <c r="AD49" s="1" t="n">
        <v>38.6</v>
      </c>
      <c r="AE49" s="1" t="n">
        <v>27</v>
      </c>
      <c r="AF49" s="1" t="n">
        <v>138.6</v>
      </c>
      <c r="AG49" s="1" t="n">
        <v>47.6</v>
      </c>
      <c r="AH49" s="1" t="n">
        <v>76.8</v>
      </c>
      <c r="AI49" s="1" t="n">
        <v>52</v>
      </c>
      <c r="AJ49" s="1" t="n"/>
      <c r="AK49" s="1">
        <f>G49*S49</f>
        <v/>
      </c>
      <c r="AL49" s="1" t="n">
        <v>10</v>
      </c>
      <c r="AM49" s="1">
        <f>MROUND(S49, AL49*AO49)/AL49</f>
        <v/>
      </c>
      <c r="AN49" s="1">
        <f>AM49*AL49*G49</f>
        <v/>
      </c>
      <c r="AO49" s="1" t="n">
        <v>12</v>
      </c>
      <c r="AP49" s="1" t="n">
        <v>84</v>
      </c>
      <c r="AQ49" s="1">
        <f>AM49/AP49</f>
        <v/>
      </c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</row>
    <row r="50">
      <c r="A50" s="1" t="inlineStr">
        <is>
          <t>Пельмени Бигбули с мясом ТМ Горячая штучка. флоу-пак сфера 0,4 кг. ПОКОМ</t>
        </is>
      </c>
      <c r="B50" s="1" t="inlineStr">
        <is>
          <t>шт</t>
        </is>
      </c>
      <c r="C50" s="1" t="n">
        <v>320</v>
      </c>
      <c r="D50" s="1" t="n">
        <v>1179</v>
      </c>
      <c r="E50" s="1" t="n">
        <v>200</v>
      </c>
      <c r="F50" s="1" t="n">
        <v>415</v>
      </c>
      <c r="G50" s="1" t="n">
        <v>0.4</v>
      </c>
      <c r="H50" s="1" t="n">
        <v>180</v>
      </c>
      <c r="I50" s="1" t="inlineStr">
        <is>
          <t>P004443</t>
        </is>
      </c>
      <c r="J50" s="1" t="n"/>
      <c r="K50" s="1" t="n">
        <v>230</v>
      </c>
      <c r="L50" s="1">
        <f>E50-K50</f>
        <v/>
      </c>
      <c r="M50" s="1" t="n"/>
      <c r="N50" s="1" t="n"/>
      <c r="O50" s="1" t="n">
        <v>384</v>
      </c>
      <c r="P50" s="1" t="n">
        <v>0</v>
      </c>
      <c r="Q50" s="1" t="n"/>
      <c r="R50" s="1" t="n"/>
      <c r="S50" s="5" t="n"/>
      <c r="T50" s="5">
        <f>AL50*AM50</f>
        <v/>
      </c>
      <c r="U50" s="5" t="n"/>
      <c r="V50" s="1" t="n"/>
      <c r="W50" s="1" t="n"/>
      <c r="X50" s="1" t="n"/>
      <c r="Y50" s="1" t="n">
        <v>49</v>
      </c>
      <c r="Z50" s="1" t="n">
        <v>84.59999999999999</v>
      </c>
      <c r="AA50" s="1" t="n">
        <v>19.2</v>
      </c>
      <c r="AB50" s="1" t="n">
        <v>82</v>
      </c>
      <c r="AC50" s="1" t="n">
        <v>87.8</v>
      </c>
      <c r="AD50" s="1" t="n">
        <v>60.6</v>
      </c>
      <c r="AE50" s="1" t="n">
        <v>50.8</v>
      </c>
      <c r="AF50" s="1" t="n">
        <v>35</v>
      </c>
      <c r="AG50" s="1" t="n">
        <v>72.8</v>
      </c>
      <c r="AH50" s="1" t="n">
        <v>63.4</v>
      </c>
      <c r="AI50" s="1" t="n">
        <v>38.6</v>
      </c>
      <c r="AJ50" s="1" t="n"/>
      <c r="AK50" s="1">
        <f>G50*S50</f>
        <v/>
      </c>
      <c r="AL50" s="1" t="n">
        <v>16</v>
      </c>
      <c r="AM50" s="1">
        <f>MROUND(S50, AL50*AO50)/AL50</f>
        <v/>
      </c>
      <c r="AN50" s="1">
        <f>AM50*AL50*G50</f>
        <v/>
      </c>
      <c r="AO50" s="1" t="n">
        <v>12</v>
      </c>
      <c r="AP50" s="1" t="n">
        <v>84</v>
      </c>
      <c r="AQ50" s="1">
        <f>AM50/AP50</f>
        <v/>
      </c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</row>
    <row r="51">
      <c r="A51" s="1" t="inlineStr">
        <is>
          <t>Пельмени Бигбули со сливочным маслом  ТС Бигбули ГШ#МЕГАМАСЛИЩЕ флоу-пак сфера 0,7.  Поком</t>
        </is>
      </c>
      <c r="B51" s="1" t="inlineStr">
        <is>
          <t>шт</t>
        </is>
      </c>
      <c r="C51" s="1" t="n">
        <v>578</v>
      </c>
      <c r="D51" s="1" t="n">
        <v>1403</v>
      </c>
      <c r="E51" s="1" t="n">
        <v>439</v>
      </c>
      <c r="F51" s="1" t="n">
        <v>60</v>
      </c>
      <c r="G51" s="1" t="n">
        <v>0.7</v>
      </c>
      <c r="H51" s="1" t="n">
        <v>180</v>
      </c>
      <c r="I51" s="1" t="inlineStr">
        <is>
          <t>P004203</t>
        </is>
      </c>
      <c r="J51" s="1" t="n"/>
      <c r="K51" s="1" t="n">
        <v>481</v>
      </c>
      <c r="L51" s="1">
        <f>E51-K51</f>
        <v/>
      </c>
      <c r="M51" s="1" t="n"/>
      <c r="N51" s="1" t="n"/>
      <c r="O51" s="1" t="n">
        <v>0</v>
      </c>
      <c r="P51" s="1" t="n">
        <v>720</v>
      </c>
      <c r="Q51" s="1" t="n"/>
      <c r="R51" s="1" t="n"/>
      <c r="S51" s="5" t="n"/>
      <c r="T51" s="5">
        <f>AL51*AM51</f>
        <v/>
      </c>
      <c r="U51" s="5" t="n"/>
      <c r="V51" s="1" t="n"/>
      <c r="W51" s="1" t="n"/>
      <c r="X51" s="1" t="n"/>
      <c r="Y51" s="1" t="n">
        <v>87.2</v>
      </c>
      <c r="Z51" s="1" t="n">
        <v>83.59999999999999</v>
      </c>
      <c r="AA51" s="1" t="n">
        <v>89.59999999999999</v>
      </c>
      <c r="AB51" s="1" t="n">
        <v>84.59999999999999</v>
      </c>
      <c r="AC51" s="1" t="n">
        <v>111.4</v>
      </c>
      <c r="AD51" s="1" t="n">
        <v>97.40000000000001</v>
      </c>
      <c r="AE51" s="1" t="n">
        <v>77</v>
      </c>
      <c r="AF51" s="1" t="n">
        <v>89.40000000000001</v>
      </c>
      <c r="AG51" s="1" t="n">
        <v>39.2</v>
      </c>
      <c r="AH51" s="1" t="n">
        <v>87.40000000000001</v>
      </c>
      <c r="AI51" s="1" t="n">
        <v>89.2</v>
      </c>
      <c r="AJ51" s="1" t="n"/>
      <c r="AK51" s="1">
        <f>G51*S51</f>
        <v/>
      </c>
      <c r="AL51" s="1" t="n">
        <v>10</v>
      </c>
      <c r="AM51" s="1">
        <f>MROUND(S51, AL51*AO51)/AL51</f>
        <v/>
      </c>
      <c r="AN51" s="1">
        <f>AM51*AL51*G51</f>
        <v/>
      </c>
      <c r="AO51" s="1" t="n">
        <v>12</v>
      </c>
      <c r="AP51" s="1" t="n">
        <v>84</v>
      </c>
      <c r="AQ51" s="1">
        <f>AM51/AP51</f>
        <v/>
      </c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</row>
    <row r="52">
      <c r="A52" s="1" t="inlineStr">
        <is>
          <t>Пельмени Бульмени мини с мясом и оливковым маслом  ТС Бульмени ГШ флоу-пак сфера 0,7кг  Поком</t>
        </is>
      </c>
      <c r="B52" s="1" t="inlineStr">
        <is>
          <t>шт</t>
        </is>
      </c>
      <c r="C52" s="1" t="n">
        <v>398</v>
      </c>
      <c r="D52" s="1" t="n">
        <v>2485</v>
      </c>
      <c r="E52" s="1" t="n">
        <v>613</v>
      </c>
      <c r="F52" s="1" t="n">
        <v>295</v>
      </c>
      <c r="G52" s="1" t="n">
        <v>0.7</v>
      </c>
      <c r="H52" s="1" t="n">
        <v>180</v>
      </c>
      <c r="I52" s="1" t="inlineStr">
        <is>
          <t>P004819</t>
        </is>
      </c>
      <c r="J52" s="1" t="n"/>
      <c r="K52" s="1" t="n">
        <v>799</v>
      </c>
      <c r="L52" s="1">
        <f>E52-K52</f>
        <v/>
      </c>
      <c r="M52" s="1" t="n"/>
      <c r="N52" s="1" t="n"/>
      <c r="O52" s="1" t="n">
        <v>600</v>
      </c>
      <c r="P52" s="1" t="n">
        <v>840</v>
      </c>
      <c r="Q52" s="1" t="n">
        <v>840</v>
      </c>
      <c r="R52" s="1" t="n"/>
      <c r="S52" s="5" t="n"/>
      <c r="T52" s="5">
        <f>AL52*AM52</f>
        <v/>
      </c>
      <c r="U52" s="5" t="n"/>
      <c r="V52" s="1" t="n"/>
      <c r="W52" s="1" t="n"/>
      <c r="X52" s="1" t="n"/>
      <c r="Y52" s="1" t="n">
        <v>171.2</v>
      </c>
      <c r="Z52" s="1" t="n">
        <v>158</v>
      </c>
      <c r="AA52" s="1" t="n">
        <v>122.4</v>
      </c>
      <c r="AB52" s="1" t="n">
        <v>141.8</v>
      </c>
      <c r="AC52" s="1" t="n">
        <v>170.8</v>
      </c>
      <c r="AD52" s="1" t="n">
        <v>164.8</v>
      </c>
      <c r="AE52" s="1" t="n">
        <v>98.2</v>
      </c>
      <c r="AF52" s="1" t="n">
        <v>162.8</v>
      </c>
      <c r="AG52" s="1" t="n">
        <v>154.2</v>
      </c>
      <c r="AH52" s="1" t="n">
        <v>122.6</v>
      </c>
      <c r="AI52" s="1" t="n">
        <v>95.59999999999999</v>
      </c>
      <c r="AJ52" s="1" t="n"/>
      <c r="AK52" s="1">
        <f>G52*S52</f>
        <v/>
      </c>
      <c r="AL52" s="1" t="n">
        <v>10</v>
      </c>
      <c r="AM52" s="1">
        <f>MROUND(S52, AL52*AO52)/AL52</f>
        <v/>
      </c>
      <c r="AN52" s="1">
        <f>AM52*AL52*G52</f>
        <v/>
      </c>
      <c r="AO52" s="1" t="n">
        <v>12</v>
      </c>
      <c r="AP52" s="1" t="n">
        <v>84</v>
      </c>
      <c r="AQ52" s="1">
        <f>AM52/AP52</f>
        <v/>
      </c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</row>
    <row r="53">
      <c r="A53" s="1" t="inlineStr">
        <is>
          <t>Пельмени Бульмени с говядиной и свининой Наваристые Горячая штучка ВЕС  ПОКОМ</t>
        </is>
      </c>
      <c r="B53" s="1" t="inlineStr">
        <is>
          <t>кг</t>
        </is>
      </c>
      <c r="C53" s="1" t="n">
        <v>645</v>
      </c>
      <c r="D53" s="1" t="n">
        <v>655</v>
      </c>
      <c r="E53" s="1" t="n">
        <v>575</v>
      </c>
      <c r="F53" s="1" t="n">
        <v>505</v>
      </c>
      <c r="G53" s="1" t="n">
        <v>1</v>
      </c>
      <c r="H53" s="1" t="n">
        <v>180</v>
      </c>
      <c r="I53" s="1" t="inlineStr">
        <is>
          <t>P003697</t>
        </is>
      </c>
      <c r="J53" s="1" t="n"/>
      <c r="K53" s="1" t="n">
        <v>612</v>
      </c>
      <c r="L53" s="1">
        <f>E53-K53</f>
        <v/>
      </c>
      <c r="M53" s="1" t="n"/>
      <c r="N53" s="1" t="n"/>
      <c r="O53" s="1" t="n">
        <v>420</v>
      </c>
      <c r="P53" s="1" t="n">
        <v>420</v>
      </c>
      <c r="Q53" s="1" t="n"/>
      <c r="R53" s="1" t="n"/>
      <c r="S53" s="5" t="n"/>
      <c r="T53" s="5">
        <f>AL53*AM53</f>
        <v/>
      </c>
      <c r="U53" s="5" t="n"/>
      <c r="V53" s="1" t="n"/>
      <c r="W53" s="1" t="n"/>
      <c r="X53" s="1" t="n"/>
      <c r="Y53" s="1" t="n">
        <v>52</v>
      </c>
      <c r="Z53" s="1" t="n">
        <v>104</v>
      </c>
      <c r="AA53" s="1" t="n">
        <v>88</v>
      </c>
      <c r="AB53" s="1" t="n">
        <v>71</v>
      </c>
      <c r="AC53" s="1" t="n">
        <v>88</v>
      </c>
      <c r="AD53" s="1" t="n">
        <v>102.4</v>
      </c>
      <c r="AE53" s="1" t="n">
        <v>82</v>
      </c>
      <c r="AF53" s="1" t="n">
        <v>54</v>
      </c>
      <c r="AG53" s="1" t="n">
        <v>48</v>
      </c>
      <c r="AH53" s="1" t="n">
        <v>55</v>
      </c>
      <c r="AI53" s="1" t="n">
        <v>54</v>
      </c>
      <c r="AJ53" s="1" t="n"/>
      <c r="AK53" s="1">
        <f>G53*S53</f>
        <v/>
      </c>
      <c r="AL53" s="1" t="n">
        <v>5</v>
      </c>
      <c r="AM53" s="1">
        <f>MROUND(S53, AL53*AO53)/AL53</f>
        <v/>
      </c>
      <c r="AN53" s="1">
        <f>AM53*AL53*G53</f>
        <v/>
      </c>
      <c r="AO53" s="1" t="n">
        <v>12</v>
      </c>
      <c r="AP53" s="1" t="n">
        <v>144</v>
      </c>
      <c r="AQ53" s="1">
        <f>AM53/AP53</f>
        <v/>
      </c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</row>
    <row r="54">
      <c r="A54" s="1" t="inlineStr">
        <is>
          <t>Пельмени Бульмени с говядиной и свининой ТМ Горячая штучка  флоу-пак сфера 0,4 кг  Поком</t>
        </is>
      </c>
      <c r="B54" s="1" t="inlineStr">
        <is>
          <t>шт</t>
        </is>
      </c>
      <c r="C54" s="1" t="n">
        <v>350</v>
      </c>
      <c r="D54" s="1" t="n">
        <v>1188</v>
      </c>
      <c r="E54" s="1" t="n">
        <v>104</v>
      </c>
      <c r="F54" s="1" t="n">
        <v>484</v>
      </c>
      <c r="G54" s="1" t="n">
        <v>0.4</v>
      </c>
      <c r="H54" s="1" t="n">
        <v>180</v>
      </c>
      <c r="I54" s="1" t="inlineStr">
        <is>
          <t>P004474</t>
        </is>
      </c>
      <c r="J54" s="1" t="n"/>
      <c r="K54" s="1" t="n">
        <v>319</v>
      </c>
      <c r="L54" s="1">
        <f>E54-K54</f>
        <v/>
      </c>
      <c r="M54" s="1" t="n"/>
      <c r="N54" s="1" t="n"/>
      <c r="O54" s="1" t="n">
        <v>576</v>
      </c>
      <c r="P54" s="1" t="n">
        <v>0</v>
      </c>
      <c r="Q54" s="1" t="n"/>
      <c r="R54" s="1" t="n"/>
      <c r="S54" s="5" t="n"/>
      <c r="T54" s="5">
        <f>AL54*AM54</f>
        <v/>
      </c>
      <c r="U54" s="5" t="n"/>
      <c r="V54" s="1" t="n"/>
      <c r="W54" s="1" t="n"/>
      <c r="X54" s="1" t="n"/>
      <c r="Y54" s="1" t="n">
        <v>24.4</v>
      </c>
      <c r="Z54" s="1" t="n">
        <v>88.2</v>
      </c>
      <c r="AA54" s="1" t="n">
        <v>33.8</v>
      </c>
      <c r="AB54" s="1" t="n">
        <v>84</v>
      </c>
      <c r="AC54" s="1" t="n">
        <v>83.59999999999999</v>
      </c>
      <c r="AD54" s="1" t="n">
        <v>66.59999999999999</v>
      </c>
      <c r="AE54" s="1" t="n">
        <v>50</v>
      </c>
      <c r="AF54" s="1" t="n">
        <v>50.6</v>
      </c>
      <c r="AG54" s="1" t="n">
        <v>104</v>
      </c>
      <c r="AH54" s="1" t="n">
        <v>70.8</v>
      </c>
      <c r="AI54" s="1" t="n">
        <v>80.8</v>
      </c>
      <c r="AJ54" s="1" t="inlineStr">
        <is>
          <t>нужно увеличить продажи</t>
        </is>
      </c>
      <c r="AK54" s="1">
        <f>G54*S54</f>
        <v/>
      </c>
      <c r="AL54" s="1" t="n">
        <v>16</v>
      </c>
      <c r="AM54" s="1">
        <f>MROUND(S54, AL54*AO54)/AL54</f>
        <v/>
      </c>
      <c r="AN54" s="1">
        <f>AM54*AL54*G54</f>
        <v/>
      </c>
      <c r="AO54" s="1" t="n">
        <v>12</v>
      </c>
      <c r="AP54" s="1" t="n">
        <v>84</v>
      </c>
      <c r="AQ54" s="1">
        <f>AM54/AP54</f>
        <v/>
      </c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</row>
    <row r="55">
      <c r="A55" s="1" t="inlineStr">
        <is>
          <t>Пельмени Бульмени с говядиной и свининой ТМ Горячая штучка БУЛЬМЕНИ  флоу-пак сфера 0,7 кг.  Поком</t>
        </is>
      </c>
      <c r="B55" s="1" t="inlineStr">
        <is>
          <t>шт</t>
        </is>
      </c>
      <c r="C55" s="1" t="n">
        <v>1099</v>
      </c>
      <c r="D55" s="1" t="n">
        <v>2320</v>
      </c>
      <c r="E55" s="1" t="n">
        <v>847</v>
      </c>
      <c r="F55" s="1" t="n">
        <v>239</v>
      </c>
      <c r="G55" s="1" t="n">
        <v>0.7</v>
      </c>
      <c r="H55" s="1" t="n">
        <v>180</v>
      </c>
      <c r="I55" s="1" t="inlineStr">
        <is>
          <t>P004345</t>
        </is>
      </c>
      <c r="J55" s="1" t="n"/>
      <c r="K55" s="1" t="n">
        <v>900</v>
      </c>
      <c r="L55" s="1">
        <f>E55-K55</f>
        <v/>
      </c>
      <c r="M55" s="1" t="n"/>
      <c r="N55" s="1" t="n"/>
      <c r="O55" s="1" t="n">
        <v>0</v>
      </c>
      <c r="P55" s="1" t="n">
        <v>1200</v>
      </c>
      <c r="Q55" s="1" t="n">
        <v>840</v>
      </c>
      <c r="R55" s="1" t="n"/>
      <c r="S55" s="5" t="n"/>
      <c r="T55" s="5">
        <f>AL55*AM55</f>
        <v/>
      </c>
      <c r="U55" s="5" t="n"/>
      <c r="V55" s="1" t="n"/>
      <c r="W55" s="1" t="n"/>
      <c r="X55" s="1" t="n"/>
      <c r="Y55" s="1" t="n">
        <v>199.4</v>
      </c>
      <c r="Z55" s="1" t="n">
        <v>163.2</v>
      </c>
      <c r="AA55" s="1" t="n">
        <v>176</v>
      </c>
      <c r="AB55" s="1" t="n">
        <v>178.2</v>
      </c>
      <c r="AC55" s="1" t="n">
        <v>185.6</v>
      </c>
      <c r="AD55" s="1" t="n">
        <v>172</v>
      </c>
      <c r="AE55" s="1" t="n">
        <v>151.2</v>
      </c>
      <c r="AF55" s="1" t="n">
        <v>140.4</v>
      </c>
      <c r="AG55" s="1" t="n">
        <v>155.4</v>
      </c>
      <c r="AH55" s="1" t="n">
        <v>130.4</v>
      </c>
      <c r="AI55" s="1" t="n">
        <v>128</v>
      </c>
      <c r="AJ55" s="1" t="n"/>
      <c r="AK55" s="1">
        <f>G55*S55</f>
        <v/>
      </c>
      <c r="AL55" s="1" t="n">
        <v>10</v>
      </c>
      <c r="AM55" s="1">
        <f>MROUND(S55, AL55*AO55)/AL55</f>
        <v/>
      </c>
      <c r="AN55" s="1">
        <f>AM55*AL55*G55</f>
        <v/>
      </c>
      <c r="AO55" s="1" t="n">
        <v>12</v>
      </c>
      <c r="AP55" s="1" t="n">
        <v>84</v>
      </c>
      <c r="AQ55" s="1">
        <f>AM55/AP55</f>
        <v/>
      </c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</row>
    <row r="56">
      <c r="A56" s="1" t="inlineStr">
        <is>
          <t>Пельмени Бульмени со сливочным маслом ТМ Горячая штучка  флоу-пак сфера 0,4 кг .  Поком</t>
        </is>
      </c>
      <c r="B56" s="1" t="inlineStr">
        <is>
          <t>шт</t>
        </is>
      </c>
      <c r="C56" s="1" t="n">
        <v>1014</v>
      </c>
      <c r="D56" s="1" t="n">
        <v>968</v>
      </c>
      <c r="E56" s="1" t="n">
        <v>469</v>
      </c>
      <c r="F56" s="1" t="n">
        <v>483</v>
      </c>
      <c r="G56" s="1" t="n">
        <v>0.4</v>
      </c>
      <c r="H56" s="1" t="n">
        <v>180</v>
      </c>
      <c r="I56" s="1" t="inlineStr">
        <is>
          <t>P004444</t>
        </is>
      </c>
      <c r="J56" s="1" t="n"/>
      <c r="K56" s="1" t="n">
        <v>524</v>
      </c>
      <c r="L56" s="1">
        <f>E56-K56</f>
        <v/>
      </c>
      <c r="M56" s="1" t="n"/>
      <c r="N56" s="1" t="n"/>
      <c r="O56" s="1" t="n">
        <v>0</v>
      </c>
      <c r="P56" s="1" t="n">
        <v>192</v>
      </c>
      <c r="Q56" s="1" t="n"/>
      <c r="R56" s="1" t="n"/>
      <c r="S56" s="5" t="n"/>
      <c r="T56" s="5">
        <f>AL56*AM56</f>
        <v/>
      </c>
      <c r="U56" s="5" t="n"/>
      <c r="V56" s="1" t="n"/>
      <c r="W56" s="1" t="n"/>
      <c r="X56" s="1" t="n"/>
      <c r="Y56" s="1" t="n">
        <v>72</v>
      </c>
      <c r="Z56" s="1" t="n">
        <v>98.40000000000001</v>
      </c>
      <c r="AA56" s="1" t="n">
        <v>109.2</v>
      </c>
      <c r="AB56" s="1" t="n">
        <v>82.59999999999999</v>
      </c>
      <c r="AC56" s="1" t="n">
        <v>138.8</v>
      </c>
      <c r="AD56" s="1" t="n">
        <v>138.6</v>
      </c>
      <c r="AE56" s="1" t="n">
        <v>105.8</v>
      </c>
      <c r="AF56" s="1" t="n">
        <v>111.8</v>
      </c>
      <c r="AG56" s="1" t="n">
        <v>57.2</v>
      </c>
      <c r="AH56" s="1" t="n">
        <v>104.4</v>
      </c>
      <c r="AI56" s="1" t="n">
        <v>119</v>
      </c>
      <c r="AJ56" s="1" t="n"/>
      <c r="AK56" s="1">
        <f>G56*S56</f>
        <v/>
      </c>
      <c r="AL56" s="1" t="n">
        <v>16</v>
      </c>
      <c r="AM56" s="1">
        <f>MROUND(S56, AL56*AO56)/AL56</f>
        <v/>
      </c>
      <c r="AN56" s="1">
        <f>AM56*AL56*G56</f>
        <v/>
      </c>
      <c r="AO56" s="1" t="n">
        <v>12</v>
      </c>
      <c r="AP56" s="1" t="n">
        <v>84</v>
      </c>
      <c r="AQ56" s="1">
        <f>AM56/AP56</f>
        <v/>
      </c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</row>
    <row r="57">
      <c r="A57" s="1" t="inlineStr">
        <is>
          <t>Пельмени Бульмени со сливочным маслом ТМ Горячая штучка флоу-пак сфера 0,7 кг .  Поком</t>
        </is>
      </c>
      <c r="B57" s="1" t="inlineStr">
        <is>
          <t>шт</t>
        </is>
      </c>
      <c r="C57" s="1" t="n">
        <v>935</v>
      </c>
      <c r="D57" s="1" t="n">
        <v>1694</v>
      </c>
      <c r="E57" s="1" t="n">
        <v>830</v>
      </c>
      <c r="F57" s="1" t="n">
        <v>412</v>
      </c>
      <c r="G57" s="1" t="n">
        <v>0.7</v>
      </c>
      <c r="H57" s="1" t="n">
        <v>180</v>
      </c>
      <c r="I57" s="1" t="inlineStr">
        <is>
          <t>P004346</t>
        </is>
      </c>
      <c r="J57" s="1" t="n"/>
      <c r="K57" s="1" t="n">
        <v>883</v>
      </c>
      <c r="L57" s="1">
        <f>E57-K57</f>
        <v/>
      </c>
      <c r="M57" s="1" t="n"/>
      <c r="N57" s="1" t="n"/>
      <c r="O57" s="1" t="n">
        <v>360</v>
      </c>
      <c r="P57" s="1" t="n">
        <v>1080</v>
      </c>
      <c r="Q57" s="1" t="n">
        <v>840</v>
      </c>
      <c r="R57" s="1" t="n"/>
      <c r="S57" s="5" t="n"/>
      <c r="T57" s="5">
        <f>AL57*AM57</f>
        <v/>
      </c>
      <c r="U57" s="5" t="n"/>
      <c r="V57" s="1" t="n"/>
      <c r="W57" s="1" t="n"/>
      <c r="X57" s="1" t="n"/>
      <c r="Y57" s="1" t="n">
        <v>204.4</v>
      </c>
      <c r="Z57" s="1" t="n">
        <v>181.8</v>
      </c>
      <c r="AA57" s="1" t="n">
        <v>175.2</v>
      </c>
      <c r="AB57" s="1" t="n">
        <v>189.2</v>
      </c>
      <c r="AC57" s="1" t="n">
        <v>202.8</v>
      </c>
      <c r="AD57" s="1" t="n">
        <v>159</v>
      </c>
      <c r="AE57" s="1" t="n">
        <v>192.2</v>
      </c>
      <c r="AF57" s="1" t="n">
        <v>148.6</v>
      </c>
      <c r="AG57" s="1" t="n">
        <v>182.2</v>
      </c>
      <c r="AH57" s="1" t="n">
        <v>154</v>
      </c>
      <c r="AI57" s="1" t="n">
        <v>146.6</v>
      </c>
      <c r="AJ57" s="1" t="n"/>
      <c r="AK57" s="1">
        <f>G57*S57</f>
        <v/>
      </c>
      <c r="AL57" s="1" t="n">
        <v>10</v>
      </c>
      <c r="AM57" s="1">
        <f>MROUND(S57, AL57*AO57)/AL57</f>
        <v/>
      </c>
      <c r="AN57" s="1">
        <f>AM57*AL57*G57</f>
        <v/>
      </c>
      <c r="AO57" s="1" t="n">
        <v>12</v>
      </c>
      <c r="AP57" s="1" t="n">
        <v>84</v>
      </c>
      <c r="AQ57" s="1">
        <f>AM57/AP57</f>
        <v/>
      </c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</row>
    <row r="58">
      <c r="A58" s="1" t="inlineStr">
        <is>
          <t>Пельмени Медвежье ушко Премиум Мясные ТМ Медвежье ушко классическая форма флоу-пак 0,8 кг. ПОКОМ</t>
        </is>
      </c>
      <c r="B58" s="1" t="inlineStr">
        <is>
          <t>шт</t>
        </is>
      </c>
      <c r="C58" s="1" t="n">
        <v>740</v>
      </c>
      <c r="D58" s="1" t="n">
        <v>340</v>
      </c>
      <c r="E58" s="1" t="n">
        <v>342</v>
      </c>
      <c r="F58" s="1" t="n">
        <v>676</v>
      </c>
      <c r="G58" s="1" t="n">
        <v>0.8</v>
      </c>
      <c r="H58" s="1" t="n"/>
      <c r="I58" s="1" t="inlineStr">
        <is>
          <t>ВНИМАНИЕ / P005158</t>
        </is>
      </c>
      <c r="J58" s="1" t="n"/>
      <c r="K58" s="1" t="n">
        <v>350</v>
      </c>
      <c r="L58" s="1">
        <f>E58-K58</f>
        <v/>
      </c>
      <c r="M58" s="1" t="n"/>
      <c r="N58" s="1" t="n"/>
      <c r="O58" s="1" t="n">
        <v>288</v>
      </c>
      <c r="P58" s="1" t="n">
        <v>0</v>
      </c>
      <c r="Q58" s="1" t="n"/>
      <c r="R58" s="1" t="n"/>
      <c r="S58" s="5" t="n"/>
      <c r="T58" s="5">
        <f>AL58*AM58</f>
        <v/>
      </c>
      <c r="U58" s="5" t="n"/>
      <c r="V58" s="1" t="n"/>
      <c r="W58" s="1" t="n"/>
      <c r="X58" s="1" t="n"/>
      <c r="Y58" s="1" t="n">
        <v>61</v>
      </c>
      <c r="Z58" s="1" t="n">
        <v>63</v>
      </c>
      <c r="AA58" s="1" t="n">
        <v>42</v>
      </c>
      <c r="AB58" s="1" t="n">
        <v>56.4</v>
      </c>
      <c r="AC58" s="1" t="n">
        <v>77.8</v>
      </c>
      <c r="AD58" s="1" t="n">
        <v>74</v>
      </c>
      <c r="AE58" s="1" t="n">
        <v>40.2</v>
      </c>
      <c r="AF58" s="1" t="n">
        <v>8.199999999999999</v>
      </c>
      <c r="AG58" s="1" t="n">
        <v>12.4</v>
      </c>
      <c r="AH58" s="1" t="n">
        <v>7.2</v>
      </c>
      <c r="AI58" s="1" t="n">
        <v>6</v>
      </c>
      <c r="AJ58" s="1" t="n"/>
      <c r="AK58" s="1">
        <f>G58*S58</f>
        <v/>
      </c>
      <c r="AL58" s="1" t="n">
        <v>8</v>
      </c>
      <c r="AM58" s="1">
        <f>MROUND(S58, AL58*AO58)/AL58</f>
        <v/>
      </c>
      <c r="AN58" s="1">
        <f>AM58*AL58*G58</f>
        <v/>
      </c>
      <c r="AO58" s="1" t="n">
        <v>12</v>
      </c>
      <c r="AP58" s="1" t="n">
        <v>84</v>
      </c>
      <c r="AQ58" s="1">
        <f>AM58/AP58</f>
        <v/>
      </c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</row>
    <row r="59">
      <c r="A59" s="7" t="inlineStr">
        <is>
          <t>Пельмени Медвежье ушко Премиум со сливочным маслом 0,4 кг ТМ Медвежье ушко  ПОКОМ</t>
        </is>
      </c>
      <c r="B59" s="1" t="inlineStr">
        <is>
          <t>шт</t>
        </is>
      </c>
      <c r="C59" s="1" t="n"/>
      <c r="D59" s="1" t="n">
        <v>192</v>
      </c>
      <c r="E59" s="1" t="n">
        <v>1</v>
      </c>
      <c r="F59" s="1" t="n">
        <v>191</v>
      </c>
      <c r="G59" s="1" t="n"/>
      <c r="H59" s="1" t="n"/>
      <c r="I59" s="1" t="n"/>
      <c r="J59" s="1" t="n"/>
      <c r="K59" s="1" t="n">
        <v>1</v>
      </c>
      <c r="L59" s="1">
        <f>E59-K59</f>
        <v/>
      </c>
      <c r="M59" s="1" t="n"/>
      <c r="N59" s="1" t="n"/>
      <c r="O59" s="1" t="n"/>
      <c r="P59" s="1" t="n"/>
      <c r="Q59" s="1" t="n"/>
      <c r="R59" s="1" t="n"/>
      <c r="S59" s="5" t="n"/>
      <c r="T59" s="5" t="n"/>
      <c r="U59" s="5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</row>
    <row r="60">
      <c r="A60" s="7" t="inlineStr">
        <is>
          <t>Пельмени Медвежье ушко Премиум со сливочным маслом 0,8 кг ТМ Медвежье ушко  ПОКОМ</t>
        </is>
      </c>
      <c r="B60" s="1" t="inlineStr">
        <is>
          <t>шт</t>
        </is>
      </c>
      <c r="C60" s="1" t="n"/>
      <c r="D60" s="1" t="n">
        <v>96</v>
      </c>
      <c r="E60" s="1" t="n"/>
      <c r="F60" s="1" t="n">
        <v>96</v>
      </c>
      <c r="G60" s="1" t="n"/>
      <c r="H60" s="1" t="n"/>
      <c r="I60" s="1" t="n"/>
      <c r="J60" s="1" t="n"/>
      <c r="K60" s="1" t="n"/>
      <c r="L60" s="1">
        <f>E60-K60</f>
        <v/>
      </c>
      <c r="M60" s="1" t="n"/>
      <c r="N60" s="1" t="n"/>
      <c r="O60" s="1" t="n"/>
      <c r="P60" s="1" t="n"/>
      <c r="Q60" s="1" t="n"/>
      <c r="R60" s="1" t="n"/>
      <c r="S60" s="5" t="n"/>
      <c r="T60" s="5" t="n"/>
      <c r="U60" s="5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</row>
    <row r="61">
      <c r="A61" s="1" t="inlineStr">
        <is>
          <t>Пельмени Мясные с говядиной ТМ Стародворье сфера флоу-пак 1 кг  ПОКОМ</t>
        </is>
      </c>
      <c r="B61" s="1" t="inlineStr">
        <is>
          <t>шт</t>
        </is>
      </c>
      <c r="C61" s="1" t="n">
        <v>774</v>
      </c>
      <c r="D61" s="1" t="n">
        <v>554</v>
      </c>
      <c r="E61" s="1" t="n">
        <v>670</v>
      </c>
      <c r="F61" s="1" t="n">
        <v>3</v>
      </c>
      <c r="G61" s="1" t="n">
        <v>1</v>
      </c>
      <c r="H61" s="1" t="n">
        <v>180</v>
      </c>
      <c r="I61" s="1" t="inlineStr">
        <is>
          <t>P005048</t>
        </is>
      </c>
      <c r="J61" s="1" t="n"/>
      <c r="K61" s="1" t="n">
        <v>700</v>
      </c>
      <c r="L61" s="1">
        <f>E61-K61</f>
        <v/>
      </c>
      <c r="M61" s="1" t="n"/>
      <c r="N61" s="1" t="n"/>
      <c r="O61" s="1" t="n">
        <v>0</v>
      </c>
      <c r="P61" s="1" t="n">
        <v>900</v>
      </c>
      <c r="Q61" s="1" t="n">
        <v>780</v>
      </c>
      <c r="R61" s="1" t="n"/>
      <c r="S61" s="5" t="n"/>
      <c r="T61" s="5">
        <f>AL61*AM61</f>
        <v/>
      </c>
      <c r="U61" s="5" t="n"/>
      <c r="V61" s="1" t="n"/>
      <c r="W61" s="1" t="n"/>
      <c r="X61" s="1" t="n"/>
      <c r="Y61" s="1" t="n">
        <v>153.2</v>
      </c>
      <c r="Z61" s="1" t="n">
        <v>47.6</v>
      </c>
      <c r="AA61" s="1" t="n">
        <v>149</v>
      </c>
      <c r="AB61" s="1" t="n">
        <v>70</v>
      </c>
      <c r="AC61" s="1" t="n">
        <v>64</v>
      </c>
      <c r="AD61" s="1" t="n">
        <v>134</v>
      </c>
      <c r="AE61" s="1" t="n">
        <v>128.4</v>
      </c>
      <c r="AF61" s="1" t="n">
        <v>105.2</v>
      </c>
      <c r="AG61" s="1" t="n">
        <v>97</v>
      </c>
      <c r="AH61" s="1" t="n">
        <v>118.4</v>
      </c>
      <c r="AI61" s="1" t="n">
        <v>97.40000000000001</v>
      </c>
      <c r="AJ61" s="1" t="n"/>
      <c r="AK61" s="1">
        <f>G61*S61</f>
        <v/>
      </c>
      <c r="AL61" s="1" t="n">
        <v>5</v>
      </c>
      <c r="AM61" s="1">
        <f>MROUND(S61, AL61*AO61)/AL61</f>
        <v/>
      </c>
      <c r="AN61" s="1">
        <f>AM61*AL61*G61</f>
        <v/>
      </c>
      <c r="AO61" s="1" t="n">
        <v>12</v>
      </c>
      <c r="AP61" s="1" t="n">
        <v>84</v>
      </c>
      <c r="AQ61" s="1">
        <f>AM61/AP61</f>
        <v/>
      </c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</row>
    <row r="62">
      <c r="A62" s="1" t="inlineStr">
        <is>
          <t>Пельмени Отборные из свинины и говядины 0,9 кг ТМ Стародворье ТС Медвежье ушко  ПОКОМ</t>
        </is>
      </c>
      <c r="B62" s="1" t="inlineStr">
        <is>
          <t>шт</t>
        </is>
      </c>
      <c r="C62" s="1" t="n">
        <v>110</v>
      </c>
      <c r="D62" s="1" t="n">
        <v>10</v>
      </c>
      <c r="E62" s="1" t="n">
        <v>74</v>
      </c>
      <c r="F62" s="1" t="n">
        <v>18</v>
      </c>
      <c r="G62" s="1" t="n">
        <v>0.9</v>
      </c>
      <c r="H62" s="1" t="n">
        <v>180</v>
      </c>
      <c r="I62" s="1" t="inlineStr">
        <is>
          <t>P005107</t>
        </is>
      </c>
      <c r="J62" s="1" t="n"/>
      <c r="K62" s="1" t="n">
        <v>75</v>
      </c>
      <c r="L62" s="1">
        <f>E62-K62</f>
        <v/>
      </c>
      <c r="M62" s="1" t="n"/>
      <c r="N62" s="1" t="n"/>
      <c r="O62" s="1" t="n">
        <v>0</v>
      </c>
      <c r="P62" s="1" t="n">
        <v>96</v>
      </c>
      <c r="Q62" s="1" t="n"/>
      <c r="R62" s="1" t="n"/>
      <c r="S62" s="5" t="n"/>
      <c r="T62" s="5">
        <f>AL62*AM62</f>
        <v/>
      </c>
      <c r="U62" s="5" t="n"/>
      <c r="V62" s="1" t="n"/>
      <c r="W62" s="1" t="n"/>
      <c r="X62" s="1" t="n"/>
      <c r="Y62" s="1" t="n">
        <v>17.6</v>
      </c>
      <c r="Z62" s="1" t="n">
        <v>15.4</v>
      </c>
      <c r="AA62" s="1" t="n">
        <v>17.6</v>
      </c>
      <c r="AB62" s="1" t="n">
        <v>17</v>
      </c>
      <c r="AC62" s="1" t="n">
        <v>21</v>
      </c>
      <c r="AD62" s="1" t="n">
        <v>25.2</v>
      </c>
      <c r="AE62" s="1" t="n">
        <v>28</v>
      </c>
      <c r="AF62" s="1" t="n">
        <v>25.4</v>
      </c>
      <c r="AG62" s="1" t="n">
        <v>20.4</v>
      </c>
      <c r="AH62" s="1" t="n">
        <v>28.2</v>
      </c>
      <c r="AI62" s="1" t="n">
        <v>24.8</v>
      </c>
      <c r="AJ62" s="1" t="n"/>
      <c r="AK62" s="1">
        <f>G62*S62</f>
        <v/>
      </c>
      <c r="AL62" s="1" t="n">
        <v>8</v>
      </c>
      <c r="AM62" s="1">
        <f>MROUND(S62, AL62*AO62)/AL62</f>
        <v/>
      </c>
      <c r="AN62" s="1">
        <f>AM62*AL62*G62</f>
        <v/>
      </c>
      <c r="AO62" s="1" t="n">
        <v>12</v>
      </c>
      <c r="AP62" s="1" t="n">
        <v>84</v>
      </c>
      <c r="AQ62" s="1">
        <f>AM62/AP62</f>
        <v/>
      </c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</row>
    <row r="63">
      <c r="A63" s="1" t="inlineStr">
        <is>
          <t>Пельмени С говядиной и свининой, ВЕС, ТМ Славница сфера пуговки  ПОКОМ</t>
        </is>
      </c>
      <c r="B63" s="1" t="inlineStr">
        <is>
          <t>кг</t>
        </is>
      </c>
      <c r="C63" s="1" t="n">
        <v>65</v>
      </c>
      <c r="D63" s="1" t="n">
        <v>45</v>
      </c>
      <c r="E63" s="1" t="n"/>
      <c r="F63" s="1" t="n"/>
      <c r="G63" s="1" t="n">
        <v>1</v>
      </c>
      <c r="H63" s="1" t="n">
        <v>180</v>
      </c>
      <c r="I63" s="1" t="inlineStr">
        <is>
          <t>P004472</t>
        </is>
      </c>
      <c r="J63" s="1" t="n"/>
      <c r="K63" s="1" t="n">
        <v>50</v>
      </c>
      <c r="L63" s="1">
        <f>E63-K63</f>
        <v/>
      </c>
      <c r="M63" s="1" t="n"/>
      <c r="N63" s="1" t="n"/>
      <c r="O63" s="1" t="n">
        <v>0</v>
      </c>
      <c r="P63" s="1" t="n">
        <v>240</v>
      </c>
      <c r="Q63" s="1" t="n"/>
      <c r="R63" s="1" t="n"/>
      <c r="S63" s="5" t="n"/>
      <c r="T63" s="5">
        <f>AL63*AM63</f>
        <v/>
      </c>
      <c r="U63" s="5" t="n"/>
      <c r="V63" s="1" t="n"/>
      <c r="W63" s="1" t="n"/>
      <c r="X63" s="1" t="n"/>
      <c r="Y63" s="1" t="n">
        <v>27</v>
      </c>
      <c r="Z63" s="1" t="n">
        <v>15</v>
      </c>
      <c r="AA63" s="1" t="n">
        <v>21</v>
      </c>
      <c r="AB63" s="1" t="n">
        <v>19</v>
      </c>
      <c r="AC63" s="1" t="n">
        <v>4</v>
      </c>
      <c r="AD63" s="1" t="n">
        <v>16</v>
      </c>
      <c r="AE63" s="1" t="n">
        <v>34</v>
      </c>
      <c r="AF63" s="1" t="n">
        <v>27.612</v>
      </c>
      <c r="AG63" s="1" t="n">
        <v>29</v>
      </c>
      <c r="AH63" s="1" t="n">
        <v>39</v>
      </c>
      <c r="AI63" s="1" t="n">
        <v>38</v>
      </c>
      <c r="AJ63" s="1" t="n"/>
      <c r="AK63" s="1">
        <f>G63*S63</f>
        <v/>
      </c>
      <c r="AL63" s="1" t="n">
        <v>5</v>
      </c>
      <c r="AM63" s="1">
        <f>MROUND(S63, AL63*AO63)/AL63</f>
        <v/>
      </c>
      <c r="AN63" s="1">
        <f>AM63*AL63*G63</f>
        <v/>
      </c>
      <c r="AO63" s="1" t="n">
        <v>12</v>
      </c>
      <c r="AP63" s="1" t="n">
        <v>144</v>
      </c>
      <c r="AQ63" s="1">
        <f>AM63/AP63</f>
        <v/>
      </c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</row>
    <row r="64">
      <c r="A64" s="6" t="inlineStr">
        <is>
          <t>Пельмени Со свининой и говядиной ТМ Особый рецепт Любимая ложка 1,0 кг  ПОКОМ</t>
        </is>
      </c>
      <c r="B64" s="1" t="inlineStr">
        <is>
          <t>шт</t>
        </is>
      </c>
      <c r="C64" s="1" t="n"/>
      <c r="D64" s="1" t="n"/>
      <c r="E64" s="1" t="n"/>
      <c r="F64" s="1" t="n"/>
      <c r="G64" s="1" t="n">
        <v>1</v>
      </c>
      <c r="H64" s="1" t="n">
        <v>180</v>
      </c>
      <c r="I64" s="1" t="inlineStr">
        <is>
          <t>ВНИМАНИЕ / P004081</t>
        </is>
      </c>
      <c r="J64" s="1" t="n"/>
      <c r="K64" s="1" t="n"/>
      <c r="L64" s="1">
        <f>E64-K64</f>
        <v/>
      </c>
      <c r="M64" s="1" t="n"/>
      <c r="N64" s="1" t="n"/>
      <c r="O64" s="1" t="n">
        <v>0</v>
      </c>
      <c r="P64" s="1" t="n">
        <v>0</v>
      </c>
      <c r="Q64" s="1" t="n"/>
      <c r="R64" s="1" t="n"/>
      <c r="S64" s="5" t="n"/>
      <c r="T64" s="5">
        <f>AL64*AM64</f>
        <v/>
      </c>
      <c r="U64" s="5" t="n"/>
      <c r="V64" s="1" t="n"/>
      <c r="W64" s="1" t="n"/>
      <c r="X64" s="1" t="n"/>
      <c r="Y64" s="1" t="n">
        <v>57</v>
      </c>
      <c r="Z64" s="1" t="n">
        <v>49.8</v>
      </c>
      <c r="AA64" s="1" t="n">
        <v>12.2</v>
      </c>
      <c r="AB64" s="1" t="n">
        <v>69.2</v>
      </c>
      <c r="AC64" s="1" t="n">
        <v>62</v>
      </c>
      <c r="AD64" s="1" t="n">
        <v>26.8</v>
      </c>
      <c r="AE64" s="1" t="n">
        <v>11.4</v>
      </c>
      <c r="AF64" s="1" t="n">
        <v>1.6</v>
      </c>
      <c r="AG64" s="1" t="n">
        <v>1.4</v>
      </c>
      <c r="AH64" s="1" t="n">
        <v>2.2</v>
      </c>
      <c r="AI64" s="1" t="n">
        <v>1.4</v>
      </c>
      <c r="AJ64" s="1" t="inlineStr">
        <is>
          <t>нужно увеличить продажи</t>
        </is>
      </c>
      <c r="AK64" s="1">
        <f>G64*S64</f>
        <v/>
      </c>
      <c r="AL64" s="1" t="n">
        <v>5</v>
      </c>
      <c r="AM64" s="1">
        <f>MROUND(S64, AL64*AO64)/AL64</f>
        <v/>
      </c>
      <c r="AN64" s="1">
        <f>AM64*AL64*G64</f>
        <v/>
      </c>
      <c r="AO64" s="1" t="n">
        <v>12</v>
      </c>
      <c r="AP64" s="1" t="n">
        <v>84</v>
      </c>
      <c r="AQ64" s="1">
        <f>AM64/AP64</f>
        <v/>
      </c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</row>
    <row r="65">
      <c r="A65" s="1" t="inlineStr">
        <is>
          <t>Пельмени Со свининой и говядиной ТС Любимая ложка сфера флоу-пак 1 кг  ПОКОМ</t>
        </is>
      </c>
      <c r="B65" s="1" t="inlineStr">
        <is>
          <t>шт</t>
        </is>
      </c>
      <c r="C65" s="1" t="n">
        <v>1012</v>
      </c>
      <c r="D65" s="1" t="n">
        <v>42</v>
      </c>
      <c r="E65" s="1" t="n">
        <v>289</v>
      </c>
      <c r="F65" s="1" t="n">
        <v>758</v>
      </c>
      <c r="G65" s="1" t="n">
        <v>0</v>
      </c>
      <c r="H65" s="1" t="n">
        <v>180</v>
      </c>
      <c r="I65" s="1" t="inlineStr">
        <is>
          <t>дубль</t>
        </is>
      </c>
      <c r="J65" s="1" t="inlineStr">
        <is>
          <t>Пельмени Со свининой и говядиной ТМ Особый рецепт Любимая ложка 1,0 кг  ПОКОМ</t>
        </is>
      </c>
      <c r="K65" s="1" t="n">
        <v>296</v>
      </c>
      <c r="L65" s="1">
        <f>E65-K65</f>
        <v/>
      </c>
      <c r="M65" s="1" t="n"/>
      <c r="N65" s="1" t="n"/>
      <c r="O65" s="1" t="n"/>
      <c r="P65" s="1" t="n"/>
      <c r="Q65" s="1" t="n"/>
      <c r="R65" s="1" t="n"/>
      <c r="S65" s="5" t="n"/>
      <c r="T65" s="5" t="n"/>
      <c r="U65" s="5" t="n"/>
      <c r="V65" s="1" t="n"/>
      <c r="W65" s="1" t="n"/>
      <c r="X65" s="1" t="n"/>
      <c r="Y65" s="1" t="n">
        <v>57</v>
      </c>
      <c r="Z65" s="1" t="n">
        <v>49.8</v>
      </c>
      <c r="AA65" s="1" t="n">
        <v>7</v>
      </c>
      <c r="AB65" s="1" t="n">
        <v>5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</row>
    <row r="66">
      <c r="A66" s="1" t="inlineStr">
        <is>
          <t>Пирожки с мясом 3,7кг ВЕС ТМ Зареченские  ПОКОМ</t>
        </is>
      </c>
      <c r="B66" s="1" t="inlineStr">
        <is>
          <t>кг</t>
        </is>
      </c>
      <c r="C66" s="1" t="n">
        <v>95.90000000000001</v>
      </c>
      <c r="D66" s="1" t="n">
        <v>33.6</v>
      </c>
      <c r="E66" s="1" t="n">
        <v>88.8</v>
      </c>
      <c r="F66" s="1" t="n"/>
      <c r="G66" s="1" t="n">
        <v>1</v>
      </c>
      <c r="H66" s="1" t="n">
        <v>180</v>
      </c>
      <c r="I66" s="1" t="inlineStr">
        <is>
          <t>P004359</t>
        </is>
      </c>
      <c r="J66" s="1" t="n"/>
      <c r="K66" s="1" t="n">
        <v>88.8</v>
      </c>
      <c r="L66" s="1">
        <f>E66-K66</f>
        <v/>
      </c>
      <c r="M66" s="1" t="n"/>
      <c r="N66" s="1" t="n"/>
      <c r="O66" s="1" t="n">
        <v>51.8</v>
      </c>
      <c r="P66" s="1" t="n">
        <v>207.2</v>
      </c>
      <c r="Q66" s="1" t="n"/>
      <c r="R66" s="1" t="n"/>
      <c r="S66" s="5" t="n"/>
      <c r="T66" s="5">
        <f>AL66*AM66</f>
        <v/>
      </c>
      <c r="U66" s="5" t="n"/>
      <c r="V66" s="1" t="n"/>
      <c r="W66" s="1" t="n"/>
      <c r="X66" s="1" t="n"/>
      <c r="Y66" s="1" t="n">
        <v>25.14</v>
      </c>
      <c r="Z66" s="1" t="n">
        <v>23.68</v>
      </c>
      <c r="AA66" s="1" t="n">
        <v>12.58</v>
      </c>
      <c r="AB66" s="1" t="n">
        <v>31.08</v>
      </c>
      <c r="AC66" s="1" t="n">
        <v>28.12</v>
      </c>
      <c r="AD66" s="1" t="n">
        <v>16.28</v>
      </c>
      <c r="AE66" s="1" t="n">
        <v>29.6</v>
      </c>
      <c r="AF66" s="1" t="n">
        <v>25.92</v>
      </c>
      <c r="AG66" s="1" t="n">
        <v>22.2</v>
      </c>
      <c r="AH66" s="1" t="n">
        <v>19.98</v>
      </c>
      <c r="AI66" s="1" t="n">
        <v>17.02</v>
      </c>
      <c r="AJ66" s="1" t="n"/>
      <c r="AK66" s="1">
        <f>G66*S66</f>
        <v/>
      </c>
      <c r="AL66" s="1" t="n">
        <v>3.7</v>
      </c>
      <c r="AM66" s="1">
        <f>MROUND(S66, AL66*AO66)/AL66</f>
        <v/>
      </c>
      <c r="AN66" s="1">
        <f>AM66*AL66*G66</f>
        <v/>
      </c>
      <c r="AO66" s="1" t="n">
        <v>14</v>
      </c>
      <c r="AP66" s="1" t="n">
        <v>126</v>
      </c>
      <c r="AQ66" s="1">
        <f>AM66/AP66</f>
        <v/>
      </c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</row>
    <row r="67">
      <c r="A67" s="7" t="inlineStr">
        <is>
          <t>Пирожки с мясом НД  ВЕС  ПОКОМ</t>
        </is>
      </c>
      <c r="B67" s="1" t="inlineStr">
        <is>
          <t>кг</t>
        </is>
      </c>
      <c r="C67" s="1" t="n"/>
      <c r="D67" s="1" t="n">
        <v>51.8</v>
      </c>
      <c r="E67" s="1" t="n">
        <v>40.7</v>
      </c>
      <c r="F67" s="1" t="n">
        <v>10.3</v>
      </c>
      <c r="G67" s="1" t="n"/>
      <c r="H67" s="1" t="n"/>
      <c r="I67" s="1" t="n"/>
      <c r="J67" s="1" t="n"/>
      <c r="K67" s="1" t="n">
        <v>43.3</v>
      </c>
      <c r="L67" s="1">
        <f>E67-K67</f>
        <v/>
      </c>
      <c r="M67" s="1" t="n"/>
      <c r="N67" s="1" t="n"/>
      <c r="O67" s="1" t="n"/>
      <c r="P67" s="1" t="n"/>
      <c r="Q67" s="1" t="n"/>
      <c r="R67" s="1" t="n"/>
      <c r="S67" s="5" t="n"/>
      <c r="T67" s="5" t="n"/>
      <c r="U67" s="5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</row>
    <row r="68">
      <c r="A68" s="1" t="inlineStr">
        <is>
          <t>ХБИ Готовые бельмеши сочные с мясом НД1 ТМ Горячая штучка 0,3кг зам  ПОКОМ</t>
        </is>
      </c>
      <c r="B68" s="1" t="inlineStr">
        <is>
          <t>шт</t>
        </is>
      </c>
      <c r="C68" s="1" t="n">
        <v>166</v>
      </c>
      <c r="D68" s="1" t="n">
        <v>5</v>
      </c>
      <c r="E68" s="1" t="n">
        <v>50</v>
      </c>
      <c r="F68" s="1" t="n">
        <v>-2</v>
      </c>
      <c r="G68" s="1" t="n">
        <v>0</v>
      </c>
      <c r="H68" s="1" t="n">
        <v>180</v>
      </c>
      <c r="I68" s="1" t="inlineStr">
        <is>
          <t>дубль</t>
        </is>
      </c>
      <c r="J68" s="1" t="inlineStr">
        <is>
          <t>Готовые бельмеши сочные с мясом ТМ Горячая штучка 0,3кг зам  ПОКОМ</t>
        </is>
      </c>
      <c r="K68" s="1" t="n">
        <v>55</v>
      </c>
      <c r="L68" s="1">
        <f>E68-K68</f>
        <v/>
      </c>
      <c r="M68" s="1" t="n"/>
      <c r="N68" s="1" t="n"/>
      <c r="O68" s="1" t="n"/>
      <c r="P68" s="1" t="n"/>
      <c r="Q68" s="1" t="n"/>
      <c r="R68" s="1" t="n"/>
      <c r="S68" s="5" t="n"/>
      <c r="T68" s="5" t="n"/>
      <c r="U68" s="5" t="n"/>
      <c r="V68" s="1" t="n"/>
      <c r="W68" s="1" t="n"/>
      <c r="X68" s="1" t="n"/>
      <c r="Y68" s="1" t="n">
        <v>0.4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</row>
    <row r="69">
      <c r="A69" s="1" t="inlineStr">
        <is>
          <t>ХБИ Готовые чебуманы с говядиной 0,28кг ТМ Горячая штучка  ПОКОМ</t>
        </is>
      </c>
      <c r="B69" s="1" t="inlineStr">
        <is>
          <t>шт</t>
        </is>
      </c>
      <c r="C69" s="1" t="n">
        <v>496</v>
      </c>
      <c r="D69" s="1" t="n">
        <v>490</v>
      </c>
      <c r="E69" s="1" t="n">
        <v>197</v>
      </c>
      <c r="F69" s="1" t="n">
        <v>270</v>
      </c>
      <c r="G69" s="1" t="n">
        <v>0</v>
      </c>
      <c r="H69" s="1" t="n">
        <v>180</v>
      </c>
      <c r="I69" s="1" t="inlineStr">
        <is>
          <t>дубль</t>
        </is>
      </c>
      <c r="J69" s="1" t="inlineStr">
        <is>
          <t>Готовые чебуманы с говядиной ТМ горячая штучка 0,28 кг.  Поком</t>
        </is>
      </c>
      <c r="K69" s="1" t="n">
        <v>224</v>
      </c>
      <c r="L69" s="1">
        <f>E69-K69</f>
        <v/>
      </c>
      <c r="M69" s="1" t="n"/>
      <c r="N69" s="1" t="n"/>
      <c r="O69" s="1" t="n"/>
      <c r="P69" s="1" t="n"/>
      <c r="Q69" s="1" t="n"/>
      <c r="R69" s="1" t="n"/>
      <c r="S69" s="5" t="n"/>
      <c r="T69" s="5" t="n"/>
      <c r="U69" s="5" t="n"/>
      <c r="V69" s="1" t="n"/>
      <c r="W69" s="1" t="n"/>
      <c r="X69" s="1" t="n"/>
      <c r="Y69" s="1" t="n">
        <v>1.6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</row>
    <row r="70">
      <c r="A70" s="1" t="inlineStr">
        <is>
          <t>ХБИ Готовые чебупели с курицей ТМ Горячая штучка (курочка гриль) флоу-пак 0,3 кг  ПОКОМ</t>
        </is>
      </c>
      <c r="B70" s="1" t="inlineStr">
        <is>
          <t>шт</t>
        </is>
      </c>
      <c r="C70" s="1" t="n">
        <v>979</v>
      </c>
      <c r="D70" s="1" t="n">
        <v>68</v>
      </c>
      <c r="E70" s="1" t="n">
        <v>236</v>
      </c>
      <c r="F70" s="1" t="n">
        <v>537</v>
      </c>
      <c r="G70" s="1" t="n">
        <v>0</v>
      </c>
      <c r="H70" s="1" t="n">
        <v>180</v>
      </c>
      <c r="I70" s="1" t="inlineStr">
        <is>
          <t>дубль</t>
        </is>
      </c>
      <c r="J70" s="1" t="inlineStr">
        <is>
          <t>Чебупели Курочка гриль Базовый ассортимент Фикс.вес 0,3 Пакет Горячая штучка  Поком</t>
        </is>
      </c>
      <c r="K70" s="1" t="n">
        <v>258</v>
      </c>
      <c r="L70" s="1">
        <f>E70-K70</f>
        <v/>
      </c>
      <c r="M70" s="1" t="n"/>
      <c r="N70" s="1" t="n"/>
      <c r="O70" s="1" t="n"/>
      <c r="P70" s="1" t="n"/>
      <c r="Q70" s="1" t="n"/>
      <c r="R70" s="1" t="n"/>
      <c r="S70" s="5" t="n"/>
      <c r="T70" s="5" t="n"/>
      <c r="U70" s="5" t="n"/>
      <c r="V70" s="1" t="n"/>
      <c r="W70" s="1" t="n"/>
      <c r="X70" s="1" t="n"/>
      <c r="Y70" s="1" t="n">
        <v>4.6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</row>
    <row r="71">
      <c r="A71" s="1" t="inlineStr">
        <is>
          <t>ХБИ Мини-шарики с курочкой и сыром ТМ Зареченские продукты ВЕС  ПОКОМ</t>
        </is>
      </c>
      <c r="B71" s="1" t="inlineStr">
        <is>
          <t>кг</t>
        </is>
      </c>
      <c r="C71" s="1" t="n">
        <v>62.9</v>
      </c>
      <c r="D71" s="1" t="n">
        <v>318.1</v>
      </c>
      <c r="E71" s="1" t="n">
        <v>72</v>
      </c>
      <c r="F71" s="1" t="n">
        <v>255</v>
      </c>
      <c r="G71" s="1" t="n">
        <v>0</v>
      </c>
      <c r="H71" s="1" t="n">
        <v>180</v>
      </c>
      <c r="I71" s="1" t="inlineStr">
        <is>
          <t>дубль</t>
        </is>
      </c>
      <c r="J71" s="1" t="inlineStr">
        <is>
          <t>Мини-шарики с курочкой и сыром ТМ Зареченские ВЕС ПОКОМ</t>
        </is>
      </c>
      <c r="K71" s="1" t="n">
        <v>78.40000000000001</v>
      </c>
      <c r="L71" s="1">
        <f>E71-K71</f>
        <v/>
      </c>
      <c r="M71" s="1" t="n"/>
      <c r="N71" s="1" t="n"/>
      <c r="O71" s="1" t="n"/>
      <c r="P71" s="1" t="n"/>
      <c r="Q71" s="1" t="n"/>
      <c r="R71" s="1" t="n"/>
      <c r="S71" s="5" t="n"/>
      <c r="T71" s="5" t="n"/>
      <c r="U71" s="5" t="n"/>
      <c r="V71" s="1" t="n"/>
      <c r="W71" s="1" t="n"/>
      <c r="X71" s="1" t="n"/>
      <c r="Y71" s="1" t="n">
        <v>4.2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</row>
    <row r="72">
      <c r="A72" s="7" t="inlineStr">
        <is>
          <t>ХБИ Снеки «Готовые круггетсы с сырным соусом» Фикс.вес 0,2 ТМ «Горячая штучка» ПОКОМ</t>
        </is>
      </c>
      <c r="B72" s="1" t="inlineStr">
        <is>
          <t>шт</t>
        </is>
      </c>
      <c r="C72" s="1" t="n"/>
      <c r="D72" s="1" t="n">
        <v>1182</v>
      </c>
      <c r="E72" s="1" t="n">
        <v>186</v>
      </c>
      <c r="F72" s="1" t="n">
        <v>818</v>
      </c>
      <c r="G72" s="1" t="n"/>
      <c r="H72" s="1" t="n"/>
      <c r="I72" s="1" t="n"/>
      <c r="J72" s="1" t="n"/>
      <c r="K72" s="1" t="n">
        <v>192</v>
      </c>
      <c r="L72" s="1">
        <f>E72-K72</f>
        <v/>
      </c>
      <c r="M72" s="1" t="n"/>
      <c r="N72" s="1" t="n"/>
      <c r="O72" s="1" t="n"/>
      <c r="P72" s="1" t="n"/>
      <c r="Q72" s="1" t="n"/>
      <c r="R72" s="1" t="n"/>
      <c r="S72" s="5" t="n"/>
      <c r="T72" s="5" t="n"/>
      <c r="U72" s="5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</row>
    <row r="73">
      <c r="A73" s="1" t="inlineStr">
        <is>
          <t>Хотстеры Васаби-чили ТМ Горячая штучка ТС Хотстеры 0,23кг жареные ПОКОМ</t>
        </is>
      </c>
      <c r="B73" s="1" t="inlineStr">
        <is>
          <t>шт</t>
        </is>
      </c>
      <c r="C73" s="1" t="n">
        <v>237</v>
      </c>
      <c r="D73" s="1" t="n">
        <v>987</v>
      </c>
      <c r="E73" s="1" t="n">
        <v>272</v>
      </c>
      <c r="F73" s="1" t="n">
        <v>179</v>
      </c>
      <c r="G73" s="1" t="n">
        <v>0.23</v>
      </c>
      <c r="H73" s="1" t="n">
        <v>180</v>
      </c>
      <c r="I73" s="1" t="inlineStr">
        <is>
          <t>P005182</t>
        </is>
      </c>
      <c r="J73" s="1" t="n"/>
      <c r="K73" s="1" t="n">
        <v>298</v>
      </c>
      <c r="L73" s="1">
        <f>E73-K73</f>
        <v/>
      </c>
      <c r="M73" s="1" t="n"/>
      <c r="N73" s="1" t="n"/>
      <c r="O73" s="1" t="n">
        <v>252</v>
      </c>
      <c r="P73" s="1" t="n">
        <v>336</v>
      </c>
      <c r="Q73" s="1" t="n"/>
      <c r="R73" s="1" t="n"/>
      <c r="S73" s="5" t="n"/>
      <c r="T73" s="5">
        <f>AL73*AM73</f>
        <v/>
      </c>
      <c r="U73" s="5" t="n"/>
      <c r="V73" s="1" t="n"/>
      <c r="W73" s="1" t="n"/>
      <c r="X73" s="1" t="n"/>
      <c r="Y73" s="1" t="n">
        <v>55.6</v>
      </c>
      <c r="Z73" s="1" t="n">
        <v>63.4</v>
      </c>
      <c r="AA73" s="1" t="n">
        <v>56</v>
      </c>
      <c r="AB73" s="1" t="n">
        <v>59.6</v>
      </c>
      <c r="AC73" s="1" t="n">
        <v>75.40000000000001</v>
      </c>
      <c r="AD73" s="1" t="n">
        <v>71.2</v>
      </c>
      <c r="AE73" s="1" t="n">
        <v>53.4</v>
      </c>
      <c r="AF73" s="1" t="n">
        <v>112.6</v>
      </c>
      <c r="AG73" s="1" t="n">
        <v>101.4</v>
      </c>
      <c r="AH73" s="1" t="n">
        <v>87.40000000000001</v>
      </c>
      <c r="AI73" s="1" t="n">
        <v>84.40000000000001</v>
      </c>
      <c r="AJ73" s="1" t="n"/>
      <c r="AK73" s="1">
        <f>G73*S73</f>
        <v/>
      </c>
      <c r="AL73" s="1" t="n">
        <v>6</v>
      </c>
      <c r="AM73" s="1">
        <f>MROUND(S73, AL73*AO73)/AL73</f>
        <v/>
      </c>
      <c r="AN73" s="1">
        <f>AM73*AL73*G73</f>
        <v/>
      </c>
      <c r="AO73" s="1" t="n">
        <v>14</v>
      </c>
      <c r="AP73" s="1" t="n">
        <v>140</v>
      </c>
      <c r="AQ73" s="1">
        <f>AM73/AP73</f>
        <v/>
      </c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</row>
    <row r="74">
      <c r="A74" s="1" t="inlineStr">
        <is>
          <t>Хотстеры ТМ Горячая штучка ТС Хотстеры 0,25 кг зам  ПОКОМ</t>
        </is>
      </c>
      <c r="B74" s="1" t="inlineStr">
        <is>
          <t>шт</t>
        </is>
      </c>
      <c r="C74" s="1" t="n">
        <v>-30</v>
      </c>
      <c r="D74" s="1" t="n">
        <v>344</v>
      </c>
      <c r="E74" s="1" t="n">
        <v>304</v>
      </c>
      <c r="F74" s="1" t="n"/>
      <c r="G74" s="1" t="n">
        <v>0.25</v>
      </c>
      <c r="H74" s="1" t="n">
        <v>180</v>
      </c>
      <c r="I74" s="1" t="inlineStr">
        <is>
          <t>P004489</t>
        </is>
      </c>
      <c r="J74" s="1" t="n"/>
      <c r="K74" s="1" t="n">
        <v>314</v>
      </c>
      <c r="L74" s="1">
        <f>E74-K74</f>
        <v/>
      </c>
      <c r="M74" s="1" t="n"/>
      <c r="N74" s="1" t="n"/>
      <c r="O74" s="1" t="n">
        <v>0</v>
      </c>
      <c r="P74" s="1" t="n">
        <v>0</v>
      </c>
      <c r="Q74" s="1" t="n"/>
      <c r="R74" s="1" t="n"/>
      <c r="S74" s="5" t="n"/>
      <c r="T74" s="5">
        <f>AL74*AM74</f>
        <v/>
      </c>
      <c r="U74" s="5" t="n"/>
      <c r="V74" s="1" t="n"/>
      <c r="W74" s="1" t="n"/>
      <c r="X74" s="1" t="n"/>
      <c r="Y74" s="1" t="n">
        <v>103</v>
      </c>
      <c r="Z74" s="1" t="n">
        <v>166.8</v>
      </c>
      <c r="AA74" s="1" t="n">
        <v>182.4</v>
      </c>
      <c r="AB74" s="1" t="n">
        <v>128.8</v>
      </c>
      <c r="AC74" s="1" t="n">
        <v>121.6</v>
      </c>
      <c r="AD74" s="1" t="n">
        <v>97.59999999999999</v>
      </c>
      <c r="AE74" s="1" t="n">
        <v>155.2</v>
      </c>
      <c r="AF74" s="1" t="n">
        <v>274</v>
      </c>
      <c r="AG74" s="1" t="n">
        <v>194.8</v>
      </c>
      <c r="AH74" s="1" t="n">
        <v>199.4</v>
      </c>
      <c r="AI74" s="1" t="n">
        <v>191</v>
      </c>
      <c r="AJ74" s="1" t="n"/>
      <c r="AK74" s="1">
        <f>G74*S74</f>
        <v/>
      </c>
      <c r="AL74" s="1" t="n">
        <v>12</v>
      </c>
      <c r="AM74" s="1">
        <f>MROUND(S74, AL74*AO74)/AL74</f>
        <v/>
      </c>
      <c r="AN74" s="1">
        <f>AM74*AL74*G74</f>
        <v/>
      </c>
      <c r="AO74" s="1" t="n">
        <v>14</v>
      </c>
      <c r="AP74" s="1" t="n">
        <v>70</v>
      </c>
      <c r="AQ74" s="1">
        <f>AM74/AP74</f>
        <v/>
      </c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</row>
    <row r="75">
      <c r="A75" s="1" t="inlineStr">
        <is>
          <t>Хотстеры с сыром ТМ Горячая штучка ТС Хотстеры 0,25кг.  Поком</t>
        </is>
      </c>
      <c r="B75" s="1" t="inlineStr">
        <is>
          <t>шт</t>
        </is>
      </c>
      <c r="C75" s="1" t="n">
        <v>-6</v>
      </c>
      <c r="D75" s="1" t="n">
        <v>217</v>
      </c>
      <c r="E75" s="1" t="n">
        <v>195</v>
      </c>
      <c r="F75" s="1" t="n"/>
      <c r="G75" s="1" t="n">
        <v>0.25</v>
      </c>
      <c r="H75" s="1" t="n">
        <v>180</v>
      </c>
      <c r="I75" s="1" t="inlineStr">
        <is>
          <t>P005058</t>
        </is>
      </c>
      <c r="J75" s="1" t="n"/>
      <c r="K75" s="1" t="n">
        <v>203</v>
      </c>
      <c r="L75" s="1">
        <f>E75-K75</f>
        <v/>
      </c>
      <c r="M75" s="1" t="n"/>
      <c r="N75" s="1" t="n"/>
      <c r="O75" s="1" t="n">
        <v>0</v>
      </c>
      <c r="P75" s="1" t="n">
        <v>1008</v>
      </c>
      <c r="Q75" s="1" t="n"/>
      <c r="R75" s="1" t="n"/>
      <c r="S75" s="5" t="n"/>
      <c r="T75" s="5">
        <f>AL75*AM75</f>
        <v/>
      </c>
      <c r="U75" s="5" t="n"/>
      <c r="V75" s="1" t="n"/>
      <c r="W75" s="1" t="n"/>
      <c r="X75" s="1" t="n"/>
      <c r="Y75" s="1" t="n">
        <v>125.2</v>
      </c>
      <c r="Z75" s="1" t="n">
        <v>47</v>
      </c>
      <c r="AA75" s="1" t="n">
        <v>104</v>
      </c>
      <c r="AB75" s="1" t="n">
        <v>104.6</v>
      </c>
      <c r="AC75" s="1" t="n">
        <v>125.6</v>
      </c>
      <c r="AD75" s="1" t="n">
        <v>93.2</v>
      </c>
      <c r="AE75" s="1" t="n">
        <v>111.4</v>
      </c>
      <c r="AF75" s="1" t="n">
        <v>196.6</v>
      </c>
      <c r="AG75" s="1" t="n">
        <v>144.4</v>
      </c>
      <c r="AH75" s="1" t="n">
        <v>139</v>
      </c>
      <c r="AI75" s="1" t="n">
        <v>131.6</v>
      </c>
      <c r="AJ75" s="1" t="n"/>
      <c r="AK75" s="1">
        <f>G75*S75</f>
        <v/>
      </c>
      <c r="AL75" s="1" t="n">
        <v>12</v>
      </c>
      <c r="AM75" s="1">
        <f>MROUND(S75, AL75*AO75)/AL75</f>
        <v/>
      </c>
      <c r="AN75" s="1">
        <f>AM75*AL75*G75</f>
        <v/>
      </c>
      <c r="AO75" s="1" t="n">
        <v>14</v>
      </c>
      <c r="AP75" s="1" t="n">
        <v>70</v>
      </c>
      <c r="AQ75" s="1">
        <f>AM75/AP75</f>
        <v/>
      </c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</row>
    <row r="76">
      <c r="A76" s="1" t="inlineStr">
        <is>
          <t>Хрустипай апельсин имбирь ТМ Горячая штучка 0,18 кг  ПОКОМ</t>
        </is>
      </c>
      <c r="B76" s="1" t="inlineStr">
        <is>
          <t>шт</t>
        </is>
      </c>
      <c r="C76" s="1" t="n">
        <v>4</v>
      </c>
      <c r="D76" s="1" t="n">
        <v>166</v>
      </c>
      <c r="E76" s="1" t="n">
        <v>49</v>
      </c>
      <c r="F76" s="1" t="n">
        <v>102</v>
      </c>
      <c r="G76" s="1" t="n">
        <v>0</v>
      </c>
      <c r="H76" s="1" t="n">
        <v>180</v>
      </c>
      <c r="I76" s="1" t="inlineStr">
        <is>
          <t>вывод</t>
        </is>
      </c>
      <c r="J76" s="1" t="n"/>
      <c r="K76" s="1" t="n">
        <v>67</v>
      </c>
      <c r="L76" s="1">
        <f>E76-K76</f>
        <v/>
      </c>
      <c r="M76" s="1" t="n"/>
      <c r="N76" s="1" t="n"/>
      <c r="O76" s="1" t="n">
        <v>84</v>
      </c>
      <c r="P76" s="1" t="n"/>
      <c r="Q76" s="1" t="n"/>
      <c r="R76" s="1" t="n"/>
      <c r="S76" s="5" t="n"/>
      <c r="T76" s="5" t="n"/>
      <c r="U76" s="5" t="n"/>
      <c r="V76" s="1" t="n"/>
      <c r="W76" s="1" t="n"/>
      <c r="X76" s="1" t="n"/>
      <c r="Y76" s="1" t="n">
        <v>12.2</v>
      </c>
      <c r="Z76" s="1" t="n">
        <v>14.8</v>
      </c>
      <c r="AA76" s="1" t="n">
        <v>8.199999999999999</v>
      </c>
      <c r="AB76" s="1" t="n">
        <v>8</v>
      </c>
      <c r="AC76" s="1" t="n">
        <v>14.8</v>
      </c>
      <c r="AD76" s="1" t="n">
        <v>18.4</v>
      </c>
      <c r="AE76" s="1" t="n">
        <v>6.2</v>
      </c>
      <c r="AF76" s="1" t="n">
        <v>22.4</v>
      </c>
      <c r="AG76" s="1" t="n">
        <v>18.2</v>
      </c>
      <c r="AH76" s="1" t="n">
        <v>16.4</v>
      </c>
      <c r="AI76" s="1" t="n">
        <v>16.6</v>
      </c>
      <c r="AJ76" s="1" t="n"/>
      <c r="AK76" s="1" t="n"/>
      <c r="AL76" s="1" t="n">
        <v>6</v>
      </c>
      <c r="AM76" s="1" t="n"/>
      <c r="AN76" s="1" t="n"/>
      <c r="AO76" s="1" t="n">
        <v>14</v>
      </c>
      <c r="AP76" s="1" t="n">
        <v>140</v>
      </c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</row>
    <row r="77">
      <c r="A77" s="1" t="inlineStr">
        <is>
          <t>Хрустипай манго маракуйя ТМ Горячая штучка 0,18 кг  ПОКОМ</t>
        </is>
      </c>
      <c r="B77" s="1" t="inlineStr">
        <is>
          <t>шт</t>
        </is>
      </c>
      <c r="C77" s="1" t="n">
        <v>72</v>
      </c>
      <c r="D77" s="1" t="n">
        <v>1078</v>
      </c>
      <c r="E77" s="1" t="n">
        <v>57</v>
      </c>
      <c r="F77" s="1" t="n">
        <v>1083</v>
      </c>
      <c r="G77" s="1" t="n">
        <v>0.18</v>
      </c>
      <c r="H77" s="1" t="n">
        <v>180</v>
      </c>
      <c r="I77" s="1" t="inlineStr">
        <is>
          <t>P005199</t>
        </is>
      </c>
      <c r="J77" s="1" t="n"/>
      <c r="K77" s="1" t="n">
        <v>67</v>
      </c>
      <c r="L77" s="1">
        <f>E77-K77</f>
        <v/>
      </c>
      <c r="M77" s="1" t="n"/>
      <c r="N77" s="1" t="n"/>
      <c r="O77" s="1" t="n">
        <v>84</v>
      </c>
      <c r="P77" s="1" t="n">
        <v>84</v>
      </c>
      <c r="Q77" s="1" t="n"/>
      <c r="R77" s="1" t="n"/>
      <c r="S77" s="5" t="n"/>
      <c r="T77" s="5">
        <f>AL77*AM77</f>
        <v/>
      </c>
      <c r="U77" s="5" t="n"/>
      <c r="V77" s="1" t="n"/>
      <c r="W77" s="1" t="n"/>
      <c r="X77" s="1" t="n"/>
      <c r="Y77" s="1" t="n">
        <v>19.2</v>
      </c>
      <c r="Z77" s="1" t="n">
        <v>17.6</v>
      </c>
      <c r="AA77" s="1" t="n">
        <v>14.8</v>
      </c>
      <c r="AB77" s="1" t="n">
        <v>7.4</v>
      </c>
      <c r="AC77" s="1" t="n">
        <v>9.4</v>
      </c>
      <c r="AD77" s="1" t="n">
        <v>18</v>
      </c>
      <c r="AE77" s="1" t="n">
        <v>15.8</v>
      </c>
      <c r="AF77" s="1" t="n">
        <v>41.2</v>
      </c>
      <c r="AG77" s="1" t="n">
        <v>77.2</v>
      </c>
      <c r="AH77" s="1" t="n">
        <v>47</v>
      </c>
      <c r="AI77" s="1" t="n">
        <v>30</v>
      </c>
      <c r="AJ77" s="1" t="inlineStr">
        <is>
          <t>639 списано (19,09,26)</t>
        </is>
      </c>
      <c r="AK77" s="1">
        <f>G77*S77</f>
        <v/>
      </c>
      <c r="AL77" s="1" t="n">
        <v>6</v>
      </c>
      <c r="AM77" s="1">
        <f>MROUND(S77, AL77*AO77)/AL77</f>
        <v/>
      </c>
      <c r="AN77" s="1">
        <f>AM77*AL77*G77</f>
        <v/>
      </c>
      <c r="AO77" s="1" t="n">
        <v>14</v>
      </c>
      <c r="AP77" s="1" t="n">
        <v>140</v>
      </c>
      <c r="AQ77" s="1">
        <f>AM77/AP77</f>
        <v/>
      </c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</row>
    <row r="78">
      <c r="A78" s="1" t="inlineStr">
        <is>
          <t>Хрустипай манго чили ТМ Горячая штучка 0,18кг с начинкой ПОКОМ</t>
        </is>
      </c>
      <c r="B78" s="1" t="inlineStr">
        <is>
          <t>шт</t>
        </is>
      </c>
      <c r="C78" s="1" t="n">
        <v>27</v>
      </c>
      <c r="D78" s="1" t="n"/>
      <c r="E78" s="1" t="n">
        <v>1</v>
      </c>
      <c r="F78" s="1" t="n">
        <v>23</v>
      </c>
      <c r="G78" s="1" t="n">
        <v>0</v>
      </c>
      <c r="H78" s="1" t="n">
        <v>180</v>
      </c>
      <c r="I78" s="1" t="inlineStr">
        <is>
          <t>вывод</t>
        </is>
      </c>
      <c r="J78" s="1" t="n"/>
      <c r="K78" s="1" t="n">
        <v>1</v>
      </c>
      <c r="L78" s="1">
        <f>E78-K78</f>
        <v/>
      </c>
      <c r="M78" s="1" t="n"/>
      <c r="N78" s="1" t="n"/>
      <c r="O78" s="1" t="n">
        <v>0</v>
      </c>
      <c r="P78" s="1" t="n"/>
      <c r="Q78" s="1" t="n"/>
      <c r="R78" s="1" t="n"/>
      <c r="S78" s="5" t="n"/>
      <c r="T78" s="5" t="n"/>
      <c r="U78" s="5" t="n"/>
      <c r="V78" s="1" t="n"/>
      <c r="W78" s="1" t="n"/>
      <c r="X78" s="1" t="n"/>
      <c r="Y78" s="1" t="n">
        <v>0.2</v>
      </c>
      <c r="Z78" s="1" t="n">
        <v>0.8</v>
      </c>
      <c r="AA78" s="1" t="n">
        <v>0.8</v>
      </c>
      <c r="AB78" s="1" t="n">
        <v>0.6</v>
      </c>
      <c r="AC78" s="1" t="n">
        <v>0.6</v>
      </c>
      <c r="AD78" s="1" t="n">
        <v>1.2</v>
      </c>
      <c r="AE78" s="1" t="n">
        <v>0.8</v>
      </c>
      <c r="AF78" s="1" t="n">
        <v>1.6</v>
      </c>
      <c r="AG78" s="1" t="n">
        <v>1</v>
      </c>
      <c r="AH78" s="1" t="n">
        <v>0.6</v>
      </c>
      <c r="AI78" s="1" t="n">
        <v>0.6</v>
      </c>
      <c r="AJ78" s="1" t="inlineStr">
        <is>
          <t>нужно увеличить продажи!!!</t>
        </is>
      </c>
      <c r="AK78" s="1" t="n"/>
      <c r="AL78" s="1" t="n">
        <v>6</v>
      </c>
      <c r="AM78" s="1" t="n"/>
      <c r="AN78" s="1" t="n"/>
      <c r="AO78" s="1" t="n">
        <v>14</v>
      </c>
      <c r="AP78" s="1" t="n">
        <v>140</v>
      </c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</row>
    <row r="79">
      <c r="A79" s="1" t="inlineStr">
        <is>
          <t>Хрустящие крылышки ТМ Горячая штучка 0,3 кг зам  ПОКОМ</t>
        </is>
      </c>
      <c r="B79" s="1" t="inlineStr">
        <is>
          <t>шт</t>
        </is>
      </c>
      <c r="C79" s="1" t="n">
        <v>926</v>
      </c>
      <c r="D79" s="1" t="n">
        <v>1426</v>
      </c>
      <c r="E79" s="1" t="n">
        <v>870</v>
      </c>
      <c r="F79" s="1" t="n">
        <v>394</v>
      </c>
      <c r="G79" s="1" t="n">
        <v>0.3</v>
      </c>
      <c r="H79" s="1" t="n">
        <v>180</v>
      </c>
      <c r="I79" s="1" t="inlineStr">
        <is>
          <t>P004588</t>
        </is>
      </c>
      <c r="J79" s="1" t="n"/>
      <c r="K79" s="1" t="n">
        <v>926</v>
      </c>
      <c r="L79" s="1">
        <f>E79-K79</f>
        <v/>
      </c>
      <c r="M79" s="1" t="n"/>
      <c r="N79" s="1" t="n"/>
      <c r="O79" s="1" t="n">
        <v>336</v>
      </c>
      <c r="P79" s="1" t="n">
        <v>1680</v>
      </c>
      <c r="Q79" s="1" t="n"/>
      <c r="R79" s="1" t="n"/>
      <c r="S79" s="5" t="n"/>
      <c r="T79" s="5">
        <f>AL79*AM79</f>
        <v/>
      </c>
      <c r="U79" s="5" t="n"/>
      <c r="V79" s="1" t="n"/>
      <c r="W79" s="1" t="n"/>
      <c r="X79" s="1" t="n"/>
      <c r="Y79" s="1" t="n">
        <v>184.6</v>
      </c>
      <c r="Z79" s="1" t="n">
        <v>183.6</v>
      </c>
      <c r="AA79" s="1" t="n">
        <v>166.8</v>
      </c>
      <c r="AB79" s="1" t="n">
        <v>194</v>
      </c>
      <c r="AC79" s="1" t="n">
        <v>197.4</v>
      </c>
      <c r="AD79" s="1" t="n">
        <v>146.6</v>
      </c>
      <c r="AE79" s="1" t="n">
        <v>166.6</v>
      </c>
      <c r="AF79" s="1" t="n">
        <v>185.6</v>
      </c>
      <c r="AG79" s="1" t="n">
        <v>233</v>
      </c>
      <c r="AH79" s="1" t="n">
        <v>187</v>
      </c>
      <c r="AI79" s="1" t="n">
        <v>158</v>
      </c>
      <c r="AJ79" s="1" t="n"/>
      <c r="AK79" s="1">
        <f>G79*S79</f>
        <v/>
      </c>
      <c r="AL79" s="1" t="n">
        <v>12</v>
      </c>
      <c r="AM79" s="1">
        <f>MROUND(S79, AL79*AO79)/AL79</f>
        <v/>
      </c>
      <c r="AN79" s="1">
        <f>AM79*AL79*G79</f>
        <v/>
      </c>
      <c r="AO79" s="1" t="n">
        <v>14</v>
      </c>
      <c r="AP79" s="1" t="n">
        <v>70</v>
      </c>
      <c r="AQ79" s="1">
        <f>AM79/AP79</f>
        <v/>
      </c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</row>
    <row r="80">
      <c r="A80" s="1" t="inlineStr">
        <is>
          <t>Хрустящие крылышки острые к пиву ТМ Горячая штучка 0,3кг зам  ПОКОМ</t>
        </is>
      </c>
      <c r="B80" s="1" t="inlineStr">
        <is>
          <t>шт</t>
        </is>
      </c>
      <c r="C80" s="1" t="n">
        <v>243</v>
      </c>
      <c r="D80" s="1" t="n">
        <v>842</v>
      </c>
      <c r="E80" s="1" t="n">
        <v>444</v>
      </c>
      <c r="F80" s="1" t="n">
        <v>146</v>
      </c>
      <c r="G80" s="1" t="n">
        <v>0.3</v>
      </c>
      <c r="H80" s="1" t="n">
        <v>180</v>
      </c>
      <c r="I80" s="1" t="inlineStr">
        <is>
          <t>P004589</t>
        </is>
      </c>
      <c r="J80" s="1" t="n"/>
      <c r="K80" s="1" t="n">
        <v>484</v>
      </c>
      <c r="L80" s="1">
        <f>E80-K80</f>
        <v/>
      </c>
      <c r="M80" s="1" t="n"/>
      <c r="N80" s="1" t="n"/>
      <c r="O80" s="1" t="n">
        <v>336</v>
      </c>
      <c r="P80" s="1" t="n">
        <v>840</v>
      </c>
      <c r="Q80" s="1" t="n"/>
      <c r="R80" s="1" t="n"/>
      <c r="S80" s="5" t="n"/>
      <c r="T80" s="5">
        <f>AL80*AM80</f>
        <v/>
      </c>
      <c r="U80" s="5" t="n"/>
      <c r="V80" s="1" t="n"/>
      <c r="W80" s="1" t="n"/>
      <c r="X80" s="1" t="n"/>
      <c r="Y80" s="1" t="n">
        <v>98</v>
      </c>
      <c r="Z80" s="1" t="n">
        <v>86.8</v>
      </c>
      <c r="AA80" s="1" t="n">
        <v>78.40000000000001</v>
      </c>
      <c r="AB80" s="1" t="n">
        <v>105.2</v>
      </c>
      <c r="AC80" s="1" t="n">
        <v>107.6</v>
      </c>
      <c r="AD80" s="1" t="n">
        <v>75.59999999999999</v>
      </c>
      <c r="AE80" s="1" t="n">
        <v>87.40000000000001</v>
      </c>
      <c r="AF80" s="1" t="n">
        <v>115.2</v>
      </c>
      <c r="AG80" s="1" t="n">
        <v>51</v>
      </c>
      <c r="AH80" s="1" t="n">
        <v>118.8</v>
      </c>
      <c r="AI80" s="1" t="n">
        <v>108</v>
      </c>
      <c r="AJ80" s="1" t="n"/>
      <c r="AK80" s="1">
        <f>G80*S80</f>
        <v/>
      </c>
      <c r="AL80" s="1" t="n">
        <v>12</v>
      </c>
      <c r="AM80" s="1">
        <f>MROUND(S80, AL80*AO80)/AL80</f>
        <v/>
      </c>
      <c r="AN80" s="1">
        <f>AM80*AL80*G80</f>
        <v/>
      </c>
      <c r="AO80" s="1" t="n">
        <v>14</v>
      </c>
      <c r="AP80" s="1" t="n">
        <v>70</v>
      </c>
      <c r="AQ80" s="1">
        <f>AM80/AP80</f>
        <v/>
      </c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</row>
    <row r="81">
      <c r="A81" s="1" t="inlineStr">
        <is>
          <t>Чебупели Курочка гриль Базовый ассортимент Фикс.вес 0,3 Пакет Горячая штучка  Поком</t>
        </is>
      </c>
      <c r="B81" s="1" t="inlineStr">
        <is>
          <t>шт</t>
        </is>
      </c>
      <c r="C81" s="1" t="n">
        <v>-14</v>
      </c>
      <c r="D81" s="1" t="n">
        <v>332</v>
      </c>
      <c r="E81" s="1" t="n">
        <v>232</v>
      </c>
      <c r="F81" s="1" t="n"/>
      <c r="G81" s="1" t="n">
        <v>0.3</v>
      </c>
      <c r="H81" s="1" t="n">
        <v>180</v>
      </c>
      <c r="I81" s="1" t="inlineStr">
        <is>
          <t>P004113</t>
        </is>
      </c>
      <c r="J81" s="1" t="n"/>
      <c r="K81" s="1" t="n">
        <v>288</v>
      </c>
      <c r="L81" s="1">
        <f>E81-K81</f>
        <v/>
      </c>
      <c r="M81" s="1" t="n"/>
      <c r="N81" s="1" t="n"/>
      <c r="O81" s="1" t="n">
        <v>0</v>
      </c>
      <c r="P81" s="1" t="n">
        <v>0</v>
      </c>
      <c r="Q81" s="1" t="n"/>
      <c r="R81" s="1" t="n"/>
      <c r="S81" s="5" t="n"/>
      <c r="T81" s="5">
        <f>AL81*AM81</f>
        <v/>
      </c>
      <c r="U81" s="5" t="n"/>
      <c r="V81" s="1" t="n"/>
      <c r="W81" s="1" t="n"/>
      <c r="X81" s="1" t="n"/>
      <c r="Y81" s="1" t="n">
        <v>38.6</v>
      </c>
      <c r="Z81" s="1" t="n">
        <v>34.2</v>
      </c>
      <c r="AA81" s="1" t="n">
        <v>118.2</v>
      </c>
      <c r="AB81" s="1" t="n">
        <v>19.4</v>
      </c>
      <c r="AC81" s="1" t="n">
        <v>29.4</v>
      </c>
      <c r="AD81" s="1" t="n">
        <v>72.2</v>
      </c>
      <c r="AE81" s="1" t="n">
        <v>90.2</v>
      </c>
      <c r="AF81" s="1" t="n">
        <v>17.6</v>
      </c>
      <c r="AG81" s="1" t="n">
        <v>47.2</v>
      </c>
      <c r="AH81" s="1" t="n">
        <v>88.59999999999999</v>
      </c>
      <c r="AI81" s="1" t="n">
        <v>57.8</v>
      </c>
      <c r="AJ81" s="1" t="n"/>
      <c r="AK81" s="1">
        <f>G81*S81</f>
        <v/>
      </c>
      <c r="AL81" s="1" t="n">
        <v>14</v>
      </c>
      <c r="AM81" s="1">
        <f>MROUND(S81, AL81*AO81)/AL81</f>
        <v/>
      </c>
      <c r="AN81" s="1">
        <f>AM81*AL81*G81</f>
        <v/>
      </c>
      <c r="AO81" s="1" t="n">
        <v>14</v>
      </c>
      <c r="AP81" s="1" t="n">
        <v>70</v>
      </c>
      <c r="AQ81" s="1">
        <f>AM81/AP81</f>
        <v/>
      </c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</row>
    <row r="82">
      <c r="A82" s="1" t="inlineStr">
        <is>
          <t>Чебупели со вкусом Фо бо ТМ Горячая штучка 0,22 кг  ПОКОМ</t>
        </is>
      </c>
      <c r="B82" s="1" t="inlineStr">
        <is>
          <t>шт</t>
        </is>
      </c>
      <c r="C82" s="1" t="n">
        <v>98</v>
      </c>
      <c r="D82" s="1" t="n">
        <v>10</v>
      </c>
      <c r="E82" s="1" t="n">
        <v>91</v>
      </c>
      <c r="F82" s="1" t="n"/>
      <c r="G82" s="1" t="n">
        <v>0.22</v>
      </c>
      <c r="H82" s="1" t="n"/>
      <c r="I82" s="1" t="inlineStr">
        <is>
          <t>матрица</t>
        </is>
      </c>
      <c r="J82" s="1" t="n"/>
      <c r="K82" s="1" t="n">
        <v>98</v>
      </c>
      <c r="L82" s="1">
        <f>E82-K82</f>
        <v/>
      </c>
      <c r="M82" s="1" t="n"/>
      <c r="N82" s="1" t="n"/>
      <c r="O82" s="1" t="n">
        <v>0</v>
      </c>
      <c r="P82" s="1" t="n">
        <v>168</v>
      </c>
      <c r="Q82" s="1" t="n"/>
      <c r="R82" s="1" t="n"/>
      <c r="S82" s="5" t="n"/>
      <c r="T82" s="5">
        <f>AL82*AM82</f>
        <v/>
      </c>
      <c r="U82" s="5" t="n"/>
      <c r="V82" s="1" t="n"/>
      <c r="W82" s="1" t="n"/>
      <c r="X82" s="1" t="n"/>
      <c r="Y82" s="1" t="n">
        <v>16</v>
      </c>
      <c r="Z82" s="1" t="n">
        <v>15.8</v>
      </c>
      <c r="AA82" s="1" t="n">
        <v>13.6</v>
      </c>
      <c r="AB82" s="1" t="n">
        <v>21.2</v>
      </c>
      <c r="AC82" s="1" t="n">
        <v>21.8</v>
      </c>
      <c r="AD82" s="1" t="n">
        <v>15.8</v>
      </c>
      <c r="AE82" s="1" t="n">
        <v>23.4</v>
      </c>
      <c r="AF82" s="1" t="n">
        <v>13</v>
      </c>
      <c r="AG82" s="1" t="n">
        <v>5.6</v>
      </c>
      <c r="AH82" s="1" t="n">
        <v>0</v>
      </c>
      <c r="AI82" s="1" t="n">
        <v>0</v>
      </c>
      <c r="AJ82" s="1" t="n"/>
      <c r="AK82" s="1">
        <f>G82*S82</f>
        <v/>
      </c>
      <c r="AL82" s="1" t="n">
        <v>6</v>
      </c>
      <c r="AM82" s="1">
        <f>MROUND(S82, AL82*AO82)/AL82</f>
        <v/>
      </c>
      <c r="AN82" s="1">
        <f>AM82*AL82*G82</f>
        <v/>
      </c>
      <c r="AO82" s="1" t="n">
        <v>14</v>
      </c>
      <c r="AP82" s="1" t="n">
        <v>140</v>
      </c>
      <c r="AQ82" s="1">
        <f>AM82/AP82</f>
        <v/>
      </c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</row>
    <row r="83">
      <c r="A83" s="1" t="inlineStr">
        <is>
          <t>Чебупицца Пепперони ТМ Горячая штучка ТС Чебупицца 0.25кг зам  ПОКОМ</t>
        </is>
      </c>
      <c r="B83" s="1" t="inlineStr">
        <is>
          <t>шт</t>
        </is>
      </c>
      <c r="C83" s="1" t="n">
        <v>1226</v>
      </c>
      <c r="D83" s="1" t="n">
        <v>4801</v>
      </c>
      <c r="E83" s="1" t="n">
        <v>2092</v>
      </c>
      <c r="F83" s="1" t="n">
        <v>1165</v>
      </c>
      <c r="G83" s="1" t="n">
        <v>0.25</v>
      </c>
      <c r="H83" s="1" t="n">
        <v>180</v>
      </c>
      <c r="I83" s="1" t="inlineStr">
        <is>
          <t>P004486</t>
        </is>
      </c>
      <c r="J83" s="1" t="n"/>
      <c r="K83" s="1" t="n">
        <v>2248</v>
      </c>
      <c r="L83" s="1">
        <f>E83-K83</f>
        <v/>
      </c>
      <c r="M83" s="1" t="n"/>
      <c r="N83" s="1" t="n"/>
      <c r="O83" s="1" t="n">
        <v>2016</v>
      </c>
      <c r="P83" s="1" t="n">
        <v>2184</v>
      </c>
      <c r="Q83" s="1" t="n"/>
      <c r="R83" s="1" t="n"/>
      <c r="S83" s="5" t="n"/>
      <c r="T83" s="5">
        <f>AL83*AM83</f>
        <v/>
      </c>
      <c r="U83" s="5" t="n"/>
      <c r="V83" s="1" t="n"/>
      <c r="W83" s="1" t="n"/>
      <c r="X83" s="1" t="n"/>
      <c r="Y83" s="1" t="n">
        <v>344.2</v>
      </c>
      <c r="Z83" s="1" t="n">
        <v>406</v>
      </c>
      <c r="AA83" s="1" t="n">
        <v>296.8</v>
      </c>
      <c r="AB83" s="1" t="n">
        <v>394.4</v>
      </c>
      <c r="AC83" s="1" t="n">
        <v>410.2</v>
      </c>
      <c r="AD83" s="1" t="n">
        <v>272.4</v>
      </c>
      <c r="AE83" s="1" t="n">
        <v>376.4</v>
      </c>
      <c r="AF83" s="1" t="n">
        <v>523.4</v>
      </c>
      <c r="AG83" s="1" t="n">
        <v>215.2</v>
      </c>
      <c r="AH83" s="1" t="n">
        <v>414.6</v>
      </c>
      <c r="AI83" s="1" t="n">
        <v>386</v>
      </c>
      <c r="AJ83" s="1" t="n"/>
      <c r="AK83" s="1">
        <f>G83*S83</f>
        <v/>
      </c>
      <c r="AL83" s="1" t="n">
        <v>12</v>
      </c>
      <c r="AM83" s="1">
        <f>MROUND(S83, AL83*AO83)/AL83</f>
        <v/>
      </c>
      <c r="AN83" s="1">
        <f>AM83*AL83*G83</f>
        <v/>
      </c>
      <c r="AO83" s="1" t="n">
        <v>14</v>
      </c>
      <c r="AP83" s="1" t="n">
        <v>70</v>
      </c>
      <c r="AQ83" s="1">
        <f>AM83/AP83</f>
        <v/>
      </c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</row>
    <row r="84">
      <c r="A84" s="1" t="inlineStr">
        <is>
          <t>Чебупицца курочка по-итальянски Горячая штучка 0,25 кг зам  ПОКОМ</t>
        </is>
      </c>
      <c r="B84" s="1" t="inlineStr">
        <is>
          <t>шт</t>
        </is>
      </c>
      <c r="C84" s="1" t="n">
        <v>6</v>
      </c>
      <c r="D84" s="1" t="n">
        <v>3345</v>
      </c>
      <c r="E84" s="1" t="n">
        <v>640</v>
      </c>
      <c r="F84" s="1" t="n"/>
      <c r="G84" s="1" t="n">
        <v>0.25</v>
      </c>
      <c r="H84" s="1" t="n">
        <v>180</v>
      </c>
      <c r="I84" s="1" t="inlineStr">
        <is>
          <t>P004484</t>
        </is>
      </c>
      <c r="J84" s="1" t="n"/>
      <c r="K84" s="1" t="n">
        <v>686</v>
      </c>
      <c r="L84" s="1">
        <f>E84-K84</f>
        <v/>
      </c>
      <c r="M84" s="1" t="n"/>
      <c r="N84" s="1" t="n"/>
      <c r="O84" s="1" t="n">
        <v>2184</v>
      </c>
      <c r="P84" s="1" t="n">
        <v>2016</v>
      </c>
      <c r="Q84" s="1" t="n"/>
      <c r="R84" s="1" t="n"/>
      <c r="S84" s="5" t="n"/>
      <c r="T84" s="5">
        <f>AL84*AM84</f>
        <v/>
      </c>
      <c r="U84" s="5" t="n"/>
      <c r="V84" s="1" t="n"/>
      <c r="W84" s="1" t="n"/>
      <c r="X84" s="1" t="n"/>
      <c r="Y84" s="1" t="n">
        <v>300.4</v>
      </c>
      <c r="Z84" s="1" t="n">
        <v>341.2</v>
      </c>
      <c r="AA84" s="1" t="n">
        <v>227.2</v>
      </c>
      <c r="AB84" s="1" t="n">
        <v>319.8</v>
      </c>
      <c r="AC84" s="1" t="n">
        <v>367</v>
      </c>
      <c r="AD84" s="1" t="n">
        <v>282</v>
      </c>
      <c r="AE84" s="1" t="n">
        <v>349.2</v>
      </c>
      <c r="AF84" s="1" t="n">
        <v>458.2</v>
      </c>
      <c r="AG84" s="1" t="n">
        <v>353.8</v>
      </c>
      <c r="AH84" s="1" t="n">
        <v>395.6</v>
      </c>
      <c r="AI84" s="1" t="n">
        <v>293.8</v>
      </c>
      <c r="AJ84" s="1" t="n"/>
      <c r="AK84" s="1">
        <f>G84*S84</f>
        <v/>
      </c>
      <c r="AL84" s="1" t="n">
        <v>12</v>
      </c>
      <c r="AM84" s="1">
        <f>MROUND(S84, AL84*AO84)/AL84</f>
        <v/>
      </c>
      <c r="AN84" s="1">
        <f>AM84*AL84*G84</f>
        <v/>
      </c>
      <c r="AO84" s="1" t="n">
        <v>14</v>
      </c>
      <c r="AP84" s="1" t="n">
        <v>70</v>
      </c>
      <c r="AQ84" s="1">
        <f>AM84/AP84</f>
        <v/>
      </c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</row>
    <row r="85">
      <c r="A85" s="1" t="inlineStr">
        <is>
          <t>Чебупицца со вкусом 4 сыра 0,2кг ТМ Горячая штучка ТС Foodgital  ПОКОМ</t>
        </is>
      </c>
      <c r="B85" s="1" t="inlineStr">
        <is>
          <t>шт</t>
        </is>
      </c>
      <c r="C85" s="1" t="n">
        <v>153</v>
      </c>
      <c r="D85" s="1" t="n">
        <v>996</v>
      </c>
      <c r="E85" s="1" t="n">
        <v>353</v>
      </c>
      <c r="F85" s="1" t="n">
        <v>230</v>
      </c>
      <c r="G85" s="1" t="n">
        <v>0.2</v>
      </c>
      <c r="H85" s="1" t="n">
        <v>365</v>
      </c>
      <c r="I85" s="1" t="inlineStr">
        <is>
          <t>P004818</t>
        </is>
      </c>
      <c r="J85" s="1" t="n"/>
      <c r="K85" s="1" t="n">
        <v>419</v>
      </c>
      <c r="L85" s="1">
        <f>E85-K85</f>
        <v/>
      </c>
      <c r="M85" s="1" t="n"/>
      <c r="N85" s="1" t="n"/>
      <c r="O85" s="1" t="n">
        <v>420</v>
      </c>
      <c r="P85" s="1" t="n">
        <v>588</v>
      </c>
      <c r="Q85" s="1" t="n"/>
      <c r="R85" s="1" t="n"/>
      <c r="S85" s="5" t="n"/>
      <c r="T85" s="5">
        <f>AL85*AM85</f>
        <v/>
      </c>
      <c r="U85" s="5" t="n"/>
      <c r="V85" s="1" t="n"/>
      <c r="W85" s="1" t="n"/>
      <c r="X85" s="1" t="n"/>
      <c r="Y85" s="1" t="n">
        <v>82.59999999999999</v>
      </c>
      <c r="Z85" s="1" t="n">
        <v>78.8</v>
      </c>
      <c r="AA85" s="1" t="n">
        <v>44.8</v>
      </c>
      <c r="AB85" s="1" t="n">
        <v>97.40000000000001</v>
      </c>
      <c r="AC85" s="1" t="n">
        <v>104.2</v>
      </c>
      <c r="AD85" s="1" t="n">
        <v>67.2</v>
      </c>
      <c r="AE85" s="1" t="n">
        <v>60.6</v>
      </c>
      <c r="AF85" s="1" t="n">
        <v>111.4</v>
      </c>
      <c r="AG85" s="1" t="n">
        <v>49.8</v>
      </c>
      <c r="AH85" s="1" t="n">
        <v>72</v>
      </c>
      <c r="AI85" s="1" t="n">
        <v>84.8</v>
      </c>
      <c r="AJ85" s="1" t="n"/>
      <c r="AK85" s="1">
        <f>G85*S85</f>
        <v/>
      </c>
      <c r="AL85" s="1" t="n">
        <v>6</v>
      </c>
      <c r="AM85" s="1">
        <f>MROUND(S85, AL85*AO85)/AL85</f>
        <v/>
      </c>
      <c r="AN85" s="1">
        <f>AM85*AL85*G85</f>
        <v/>
      </c>
      <c r="AO85" s="1" t="n">
        <v>14</v>
      </c>
      <c r="AP85" s="1" t="n">
        <v>140</v>
      </c>
      <c r="AQ85" s="1">
        <f>AM85/AP85</f>
        <v/>
      </c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</row>
    <row r="86">
      <c r="A86" s="1" t="inlineStr">
        <is>
          <t>Чебупицца со вкусом Том ям ТМ Горячая штучка ТС Чебупицца 0,23кг жареные ПОКОМ</t>
        </is>
      </c>
      <c r="B86" s="1" t="inlineStr">
        <is>
          <t>шт</t>
        </is>
      </c>
      <c r="C86" s="1" t="n">
        <v>320</v>
      </c>
      <c r="D86" s="1" t="n">
        <v>2436</v>
      </c>
      <c r="E86" s="1" t="n">
        <v>625</v>
      </c>
      <c r="F86" s="1" t="n">
        <v>669</v>
      </c>
      <c r="G86" s="1" t="n">
        <v>0.23</v>
      </c>
      <c r="H86" s="1" t="n">
        <v>180</v>
      </c>
      <c r="I86" s="1" t="inlineStr">
        <is>
          <t>P005180</t>
        </is>
      </c>
      <c r="J86" s="1" t="n"/>
      <c r="K86" s="1" t="n">
        <v>691</v>
      </c>
      <c r="L86" s="1">
        <f>E86-K86</f>
        <v/>
      </c>
      <c r="M86" s="1" t="n"/>
      <c r="N86" s="1" t="n"/>
      <c r="O86" s="1" t="n">
        <v>924</v>
      </c>
      <c r="P86" s="1" t="n">
        <v>840</v>
      </c>
      <c r="Q86" s="1" t="n"/>
      <c r="R86" s="1" t="n"/>
      <c r="S86" s="5" t="n"/>
      <c r="T86" s="5">
        <f>AL86*AM86</f>
        <v/>
      </c>
      <c r="U86" s="5" t="n"/>
      <c r="V86" s="1" t="n"/>
      <c r="W86" s="1" t="n"/>
      <c r="X86" s="1" t="n"/>
      <c r="Y86" s="1" t="n">
        <v>130.8</v>
      </c>
      <c r="Z86" s="1" t="n">
        <v>157.4</v>
      </c>
      <c r="AA86" s="1" t="n">
        <v>110.4</v>
      </c>
      <c r="AB86" s="1" t="n">
        <v>140.2</v>
      </c>
      <c r="AC86" s="1" t="n">
        <v>165.2</v>
      </c>
      <c r="AD86" s="1" t="n">
        <v>130.2</v>
      </c>
      <c r="AE86" s="1" t="n">
        <v>58.4</v>
      </c>
      <c r="AF86" s="1" t="n">
        <v>141.8</v>
      </c>
      <c r="AG86" s="1" t="n">
        <v>152</v>
      </c>
      <c r="AH86" s="1" t="n">
        <v>103.2</v>
      </c>
      <c r="AI86" s="1" t="n">
        <v>106.6</v>
      </c>
      <c r="AJ86" s="1" t="n"/>
      <c r="AK86" s="1">
        <f>G86*S86</f>
        <v/>
      </c>
      <c r="AL86" s="1" t="n">
        <v>6</v>
      </c>
      <c r="AM86" s="1">
        <f>MROUND(S86, AL86*AO86)/AL86</f>
        <v/>
      </c>
      <c r="AN86" s="1">
        <f>AM86*AL86*G86</f>
        <v/>
      </c>
      <c r="AO86" s="1" t="n">
        <v>14</v>
      </c>
      <c r="AP86" s="1" t="n">
        <v>140</v>
      </c>
      <c r="AQ86" s="1">
        <f>AM86/AP86</f>
        <v/>
      </c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</row>
    <row r="87">
      <c r="A87" s="1" t="inlineStr">
        <is>
          <t>Чебупицца со вкусом Утка по-пекински ТМ Горячая штучка ТС Чебупицца 0,23 кг.  ПОКОМ</t>
        </is>
      </c>
      <c r="B87" s="1" t="inlineStr">
        <is>
          <t>шт</t>
        </is>
      </c>
      <c r="C87" s="1" t="n">
        <v>228</v>
      </c>
      <c r="D87" s="1" t="n">
        <v>166</v>
      </c>
      <c r="E87" s="1" t="n">
        <v>182</v>
      </c>
      <c r="F87" s="1" t="n">
        <v>204</v>
      </c>
      <c r="G87" s="1" t="n">
        <v>0.23</v>
      </c>
      <c r="H87" s="1" t="n"/>
      <c r="I87" s="1" t="inlineStr">
        <is>
          <t>матрица</t>
        </is>
      </c>
      <c r="J87" s="1" t="n"/>
      <c r="K87" s="1" t="n">
        <v>186</v>
      </c>
      <c r="L87" s="1">
        <f>E87-K87</f>
        <v/>
      </c>
      <c r="M87" s="1" t="n"/>
      <c r="N87" s="1" t="n"/>
      <c r="O87" s="1" t="n">
        <v>84</v>
      </c>
      <c r="P87" s="1" t="n">
        <v>168</v>
      </c>
      <c r="Q87" s="1" t="n"/>
      <c r="R87" s="1" t="n"/>
      <c r="S87" s="5" t="n"/>
      <c r="T87" s="5">
        <f>AL87*AM87</f>
        <v/>
      </c>
      <c r="U87" s="5" t="n"/>
      <c r="V87" s="1" t="n"/>
      <c r="W87" s="1" t="n"/>
      <c r="X87" s="1" t="n"/>
      <c r="Y87" s="1" t="n">
        <v>34.2</v>
      </c>
      <c r="Z87" s="1" t="n">
        <v>35.8</v>
      </c>
      <c r="AA87" s="1" t="n">
        <v>39.4</v>
      </c>
      <c r="AB87" s="1" t="n">
        <v>36</v>
      </c>
      <c r="AC87" s="1" t="n">
        <v>44.4</v>
      </c>
      <c r="AD87" s="1" t="n">
        <v>41.4</v>
      </c>
      <c r="AE87" s="1" t="n">
        <v>48.4</v>
      </c>
      <c r="AF87" s="1" t="n">
        <v>34.6</v>
      </c>
      <c r="AG87" s="1" t="n">
        <v>12.4</v>
      </c>
      <c r="AH87" s="1" t="n">
        <v>0</v>
      </c>
      <c r="AI87" s="1" t="n">
        <v>0</v>
      </c>
      <c r="AJ87" s="1" t="n"/>
      <c r="AK87" s="1">
        <f>G87*S87</f>
        <v/>
      </c>
      <c r="AL87" s="1" t="n">
        <v>6</v>
      </c>
      <c r="AM87" s="1">
        <f>MROUND(S87, AL87*AO87)/AL87</f>
        <v/>
      </c>
      <c r="AN87" s="1">
        <f>AM87*AL87*G87</f>
        <v/>
      </c>
      <c r="AO87" s="1" t="n">
        <v>14</v>
      </c>
      <c r="AP87" s="1" t="n">
        <v>140</v>
      </c>
      <c r="AQ87" s="1">
        <f>AM87/AP87</f>
        <v/>
      </c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</row>
    <row r="88">
      <c r="A88" s="1" t="inlineStr">
        <is>
          <t>Чебуреки Мясные вес 2,7 кг ТМ Зареченские ТС Зареченские продукты   Поком</t>
        </is>
      </c>
      <c r="B88" s="1" t="inlineStr">
        <is>
          <t>кг</t>
        </is>
      </c>
      <c r="C88" s="1" t="n">
        <v>32.4</v>
      </c>
      <c r="D88" s="1" t="n">
        <v>2.7</v>
      </c>
      <c r="E88" s="1" t="n">
        <v>27</v>
      </c>
      <c r="F88" s="1" t="n">
        <v>2.7</v>
      </c>
      <c r="G88" s="1" t="n">
        <v>1</v>
      </c>
      <c r="H88" s="1" t="n">
        <v>180</v>
      </c>
      <c r="I88" s="1" t="inlineStr">
        <is>
          <t>P003478</t>
        </is>
      </c>
      <c r="J88" s="1" t="n"/>
      <c r="K88" s="1" t="n">
        <v>29.7</v>
      </c>
      <c r="L88" s="1">
        <f>E88-K88</f>
        <v/>
      </c>
      <c r="M88" s="1" t="n"/>
      <c r="N88" s="1" t="n"/>
      <c r="O88" s="1" t="n">
        <v>0</v>
      </c>
      <c r="P88" s="1" t="n">
        <v>75.60000000000001</v>
      </c>
      <c r="Q88" s="1" t="n"/>
      <c r="R88" s="1" t="n"/>
      <c r="S88" s="5" t="n"/>
      <c r="T88" s="5">
        <f>AL88*AM88</f>
        <v/>
      </c>
      <c r="U88" s="5" t="n"/>
      <c r="V88" s="1" t="n"/>
      <c r="W88" s="1" t="n"/>
      <c r="X88" s="1" t="n"/>
      <c r="Y88" s="1" t="n">
        <v>7.56</v>
      </c>
      <c r="Z88" s="1" t="n">
        <v>1.62</v>
      </c>
      <c r="AA88" s="1" t="n">
        <v>4.32</v>
      </c>
      <c r="AB88" s="1" t="n">
        <v>1.62</v>
      </c>
      <c r="AC88" s="1" t="n">
        <v>1.62</v>
      </c>
      <c r="AD88" s="1" t="n">
        <v>4.32</v>
      </c>
      <c r="AE88" s="1" t="n">
        <v>3.24</v>
      </c>
      <c r="AF88" s="1" t="n">
        <v>2.7</v>
      </c>
      <c r="AG88" s="1" t="n">
        <v>4.86</v>
      </c>
      <c r="AH88" s="1" t="n">
        <v>4.86</v>
      </c>
      <c r="AI88" s="1" t="n">
        <v>4.86</v>
      </c>
      <c r="AJ88" s="1" t="n"/>
      <c r="AK88" s="1">
        <f>G88*S88</f>
        <v/>
      </c>
      <c r="AL88" s="1" t="n">
        <v>2.7</v>
      </c>
      <c r="AM88" s="1">
        <f>MROUND(S88, AL88*AO88)/AL88</f>
        <v/>
      </c>
      <c r="AN88" s="1">
        <f>AM88*AL88*G88</f>
        <v/>
      </c>
      <c r="AO88" s="1" t="n">
        <v>14</v>
      </c>
      <c r="AP88" s="1" t="n">
        <v>126</v>
      </c>
      <c r="AQ88" s="1">
        <f>AM88/AP88</f>
        <v/>
      </c>
      <c r="AR88" s="1" t="n"/>
      <c r="AS88" s="1" t="n"/>
      <c r="AT88" s="1" t="n"/>
      <c r="AU88" s="1" t="n"/>
      <c r="AV88" s="1" t="n"/>
      <c r="AW88" s="1" t="n"/>
      <c r="AX88" s="1" t="n"/>
      <c r="AY88" s="1" t="n"/>
      <c r="AZ88" s="1" t="n"/>
    </row>
    <row r="89">
      <c r="A89" s="1" t="inlineStr">
        <is>
          <t>Чебуреки сочные ТМ Зареченские ТС Зареченские продукты.  Поком</t>
        </is>
      </c>
      <c r="B89" s="1" t="inlineStr">
        <is>
          <t>кг</t>
        </is>
      </c>
      <c r="C89" s="1" t="n">
        <v>-5</v>
      </c>
      <c r="D89" s="1" t="n">
        <v>1025</v>
      </c>
      <c r="E89" s="1" t="n">
        <v>410</v>
      </c>
      <c r="F89" s="1" t="n">
        <v>605</v>
      </c>
      <c r="G89" s="1" t="n">
        <v>1</v>
      </c>
      <c r="H89" s="1" t="n">
        <v>180</v>
      </c>
      <c r="I89" s="1" t="inlineStr">
        <is>
          <t>P003476</t>
        </is>
      </c>
      <c r="J89" s="1" t="n"/>
      <c r="K89" s="1" t="n">
        <v>435</v>
      </c>
      <c r="L89" s="1">
        <f>E89-K89</f>
        <v/>
      </c>
      <c r="M89" s="1" t="n"/>
      <c r="N89" s="1" t="n"/>
      <c r="O89" s="1" t="n">
        <v>1020</v>
      </c>
      <c r="P89" s="1" t="n">
        <v>120</v>
      </c>
      <c r="Q89" s="1" t="n"/>
      <c r="R89" s="1" t="n"/>
      <c r="S89" s="5" t="n"/>
      <c r="T89" s="5">
        <f>AL89*AM89</f>
        <v/>
      </c>
      <c r="U89" s="5" t="n"/>
      <c r="V89" s="1" t="n"/>
      <c r="W89" s="1" t="n"/>
      <c r="X89" s="1" t="n"/>
      <c r="Y89" s="1" t="n">
        <v>83</v>
      </c>
      <c r="Z89" s="1" t="n">
        <v>114</v>
      </c>
      <c r="AA89" s="1" t="n">
        <v>70</v>
      </c>
      <c r="AB89" s="1" t="n">
        <v>99</v>
      </c>
      <c r="AC89" s="1" t="n">
        <v>94</v>
      </c>
      <c r="AD89" s="1" t="n">
        <v>94</v>
      </c>
      <c r="AE89" s="1" t="n">
        <v>77</v>
      </c>
      <c r="AF89" s="1" t="n">
        <v>56</v>
      </c>
      <c r="AG89" s="1" t="n">
        <v>77</v>
      </c>
      <c r="AH89" s="1" t="n">
        <v>62</v>
      </c>
      <c r="AI89" s="1" t="n">
        <v>54</v>
      </c>
      <c r="AJ89" s="1" t="n"/>
      <c r="AK89" s="1">
        <f>G89*S89</f>
        <v/>
      </c>
      <c r="AL89" s="1" t="n">
        <v>5</v>
      </c>
      <c r="AM89" s="1">
        <f>MROUND(S89, AL89*AO89)/AL89</f>
        <v/>
      </c>
      <c r="AN89" s="1">
        <f>AM89*AL89*G89</f>
        <v/>
      </c>
      <c r="AO89" s="1" t="n">
        <v>12</v>
      </c>
      <c r="AP89" s="1" t="n">
        <v>84</v>
      </c>
      <c r="AQ89" s="1">
        <f>AM89/AP89</f>
        <v/>
      </c>
      <c r="AR89" s="1" t="n"/>
      <c r="AS89" s="1" t="n"/>
      <c r="AT89" s="1" t="n"/>
      <c r="AU89" s="1" t="n"/>
      <c r="AV89" s="1" t="n"/>
      <c r="AW89" s="1" t="n"/>
      <c r="AX89" s="1" t="n"/>
      <c r="AY89" s="1" t="n"/>
      <c r="AZ89" s="1" t="n"/>
    </row>
    <row r="90">
      <c r="A90" s="1" t="inlineStr">
        <is>
          <t>Чебуреки сочные, ВЕС, куриные жарен. зам  ПОКОМ</t>
        </is>
      </c>
      <c r="B90" s="1" t="inlineStr">
        <is>
          <t>кг</t>
        </is>
      </c>
      <c r="C90" s="1" t="n">
        <v>20</v>
      </c>
      <c r="D90" s="1" t="n">
        <v>10</v>
      </c>
      <c r="E90" s="1" t="n">
        <v>10</v>
      </c>
      <c r="F90" s="1" t="n"/>
      <c r="G90" s="1" t="n">
        <v>0</v>
      </c>
      <c r="H90" s="1" t="n"/>
      <c r="I90" s="1" t="inlineStr">
        <is>
          <t>дубль</t>
        </is>
      </c>
      <c r="J90" s="1" t="inlineStr">
        <is>
          <t>Чебуреки сочные ТМ Зареченские ТС Зареченские продукты.  Поком</t>
        </is>
      </c>
      <c r="K90" s="1" t="n">
        <v>80</v>
      </c>
      <c r="L90" s="1">
        <f>E90-K90</f>
        <v/>
      </c>
      <c r="M90" s="1" t="n"/>
      <c r="N90" s="1" t="n"/>
      <c r="O90" s="1" t="n"/>
      <c r="P90" s="1" t="n"/>
      <c r="Q90" s="1" t="n"/>
      <c r="R90" s="1" t="n"/>
      <c r="S90" s="5" t="n"/>
      <c r="T90" s="5" t="n"/>
      <c r="U90" s="5" t="n"/>
      <c r="V90" s="1" t="n"/>
      <c r="W90" s="1" t="n"/>
      <c r="X90" s="1" t="n"/>
      <c r="Y90" s="1" t="n">
        <v>42</v>
      </c>
      <c r="Z90" s="1" t="n">
        <v>3</v>
      </c>
      <c r="AA90" s="1" t="n">
        <v>0</v>
      </c>
      <c r="AB90" s="1" t="n">
        <v>6</v>
      </c>
      <c r="AC90" s="1" t="n">
        <v>7</v>
      </c>
      <c r="AD90" s="1" t="n">
        <v>2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  <c r="A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  <c r="A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  <c r="A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  <c r="A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  <c r="A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  <c r="A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  <c r="A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  <c r="A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  <c r="A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  <c r="A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  <c r="A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  <c r="A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  <c r="A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  <c r="A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  <c r="A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  <c r="A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  <c r="A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  <c r="A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  <c r="A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  <c r="A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  <c r="A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  <c r="A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  <c r="A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  <c r="A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  <c r="A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  <c r="A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  <c r="A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  <c r="A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  <c r="A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  <c r="A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  <c r="A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  <c r="A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  <c r="A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  <c r="A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  <c r="A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  <c r="A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  <c r="A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  <c r="A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  <c r="A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  <c r="A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  <c r="A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  <c r="A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  <c r="A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  <c r="A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  <c r="A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  <c r="A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  <c r="A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  <c r="A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  <c r="A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  <c r="A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  <c r="A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  <c r="A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  <c r="A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  <c r="A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  <c r="A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  <c r="A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  <c r="A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  <c r="A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  <c r="A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  <c r="A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  <c r="A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  <c r="A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  <c r="A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  <c r="A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  <c r="A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  <c r="A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  <c r="A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  <c r="A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  <c r="A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  <c r="A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  <c r="A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  <c r="A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  <c r="A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  <c r="A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  <c r="A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  <c r="A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  <c r="A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  <c r="A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  <c r="A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  <c r="A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  <c r="A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  <c r="A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  <c r="A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  <c r="A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  <c r="A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  <c r="A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  <c r="A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  <c r="A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  <c r="A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  <c r="A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  <c r="A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  <c r="A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  <c r="A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  <c r="A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  <c r="A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  <c r="A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  <c r="A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  <c r="A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  <c r="A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  <c r="A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  <c r="A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  <c r="A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  <c r="A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  <c r="A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  <c r="A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  <c r="A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  <c r="A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  <c r="A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  <c r="A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  <c r="A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  <c r="A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  <c r="A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  <c r="A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  <c r="A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  <c r="A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  <c r="A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  <c r="A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  <c r="A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  <c r="A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  <c r="A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  <c r="A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  <c r="A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  <c r="A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  <c r="A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  <c r="A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  <c r="A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  <c r="A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  <c r="A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  <c r="A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  <c r="A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  <c r="A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  <c r="A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  <c r="A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  <c r="A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  <c r="A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  <c r="A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  <c r="A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  <c r="A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  <c r="A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  <c r="A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  <c r="A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  <c r="A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  <c r="A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  <c r="A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  <c r="A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  <c r="A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  <c r="A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  <c r="A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  <c r="A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  <c r="A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  <c r="A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  <c r="A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  <c r="A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  <c r="A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  <c r="A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  <c r="A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  <c r="A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  <c r="A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  <c r="A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  <c r="A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  <c r="A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  <c r="A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  <c r="A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  <c r="A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  <c r="A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  <c r="A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  <c r="A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  <c r="A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  <c r="A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  <c r="A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  <c r="A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  <c r="A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  <c r="A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  <c r="A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  <c r="A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  <c r="A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  <c r="A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  <c r="A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  <c r="A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  <c r="A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  <c r="A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  <c r="A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  <c r="A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  <c r="A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  <c r="A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  <c r="A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  <c r="A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  <c r="A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  <c r="A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  <c r="A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  <c r="A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  <c r="A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  <c r="A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  <c r="A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  <c r="A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  <c r="A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  <c r="A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  <c r="A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  <c r="A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  <c r="A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  <c r="A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  <c r="A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  <c r="A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  <c r="A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  <c r="A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  <c r="A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  <c r="A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  <c r="A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  <c r="A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  <c r="A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  <c r="A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  <c r="A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  <c r="A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  <c r="A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  <c r="A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  <c r="A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  <c r="A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  <c r="A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  <c r="A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  <c r="A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  <c r="A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  <c r="A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  <c r="A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  <c r="A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  <c r="A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  <c r="A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  <c r="A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  <c r="A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  <c r="A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  <c r="A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  <c r="A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  <c r="A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  <c r="A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  <c r="A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  <c r="A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  <c r="A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  <c r="A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  <c r="A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  <c r="A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  <c r="A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  <c r="A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  <c r="A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  <c r="A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  <c r="A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  <c r="A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  <c r="A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  <c r="A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  <c r="A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  <c r="A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  <c r="A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  <c r="A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  <c r="A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  <c r="A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  <c r="A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  <c r="A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  <c r="A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  <c r="A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  <c r="A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  <c r="A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  <c r="A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  <c r="A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  <c r="A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  <c r="A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  <c r="A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  <c r="A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  <c r="A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  <c r="A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  <c r="A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  <c r="A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  <c r="A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  <c r="A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  <c r="A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  <c r="A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  <c r="A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  <c r="A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  <c r="A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  <c r="A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  <c r="A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  <c r="A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  <c r="A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  <c r="A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  <c r="A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  <c r="A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  <c r="A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  <c r="A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  <c r="A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  <c r="A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  <c r="A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  <c r="A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  <c r="A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  <c r="A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  <c r="A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  <c r="A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  <c r="A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  <c r="A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  <c r="A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  <c r="A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  <c r="A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  <c r="A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  <c r="A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  <c r="A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  <c r="A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  <c r="A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  <c r="A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  <c r="A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  <c r="A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  <c r="A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  <c r="A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  <c r="A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  <c r="A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  <c r="A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  <c r="A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  <c r="A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  <c r="A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  <c r="A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  <c r="A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  <c r="A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  <c r="A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  <c r="A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  <c r="A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  <c r="A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  <c r="A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  <c r="A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  <c r="A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  <c r="A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  <c r="A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  <c r="A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  <c r="A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  <c r="A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  <c r="A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  <c r="A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  <c r="A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  <c r="A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  <c r="A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  <c r="A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  <c r="A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  <c r="A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  <c r="A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  <c r="A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  <c r="A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  <c r="A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  <c r="A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  <c r="A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  <c r="A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  <c r="A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  <c r="A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  <c r="A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  <c r="A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  <c r="A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  <c r="A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  <c r="A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  <c r="A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  <c r="A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  <c r="A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  <c r="A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  <c r="A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  <c r="A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  <c r="A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  <c r="A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  <c r="A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  <c r="A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  <c r="A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  <c r="A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  <c r="A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  <c r="A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  <c r="A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  <c r="A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  <c r="A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  <c r="A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  <c r="A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  <c r="A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  <c r="A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  <c r="A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  <c r="A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  <c r="A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  <c r="A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  <c r="A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  <c r="A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  <c r="A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  <c r="A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  <c r="A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  <c r="A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  <c r="A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  <c r="A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  <c r="A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  <c r="A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  <c r="A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  <c r="A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  <c r="A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  <c r="A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  <c r="A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  <c r="A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  <c r="A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  <c r="A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  <c r="AZ49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2026-10-22T10:12:34Z</dcterms:created>
  <dcterms:modified xsi:type="dcterms:W3CDTF">2026-10-22T10:14:42Z</dcterms:modified>
  <cp:lastModifiedBy>Uaer4</cp:lastModifiedBy>
</cp:coreProperties>
</file>