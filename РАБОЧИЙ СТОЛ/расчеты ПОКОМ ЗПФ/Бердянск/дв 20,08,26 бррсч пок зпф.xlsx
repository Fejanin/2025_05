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0,08,26 ПОКОМ ЗПФ\"/>
    </mc:Choice>
  </mc:AlternateContent>
  <xr:revisionPtr revIDLastSave="0" documentId="13_ncr:1_{BC9D7325-D63B-4857-BF3F-F0F88E51CD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5" i="1" l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6" i="1"/>
  <c r="P42" i="1" l="1"/>
  <c r="T42" i="1" s="1"/>
  <c r="AF68" i="1"/>
  <c r="AF60" i="1"/>
  <c r="AH30" i="1"/>
  <c r="P69" i="1"/>
  <c r="L69" i="1"/>
  <c r="AH68" i="1"/>
  <c r="AI68" i="1" s="1"/>
  <c r="P68" i="1"/>
  <c r="T68" i="1" s="1"/>
  <c r="L68" i="1"/>
  <c r="P67" i="1"/>
  <c r="T67" i="1" s="1"/>
  <c r="L67" i="1"/>
  <c r="P66" i="1"/>
  <c r="T66" i="1" s="1"/>
  <c r="L66" i="1"/>
  <c r="P65" i="1"/>
  <c r="T65" i="1" s="1"/>
  <c r="L65" i="1"/>
  <c r="P64" i="1"/>
  <c r="T64" i="1" s="1"/>
  <c r="L64" i="1"/>
  <c r="P63" i="1"/>
  <c r="T63" i="1" s="1"/>
  <c r="L63" i="1"/>
  <c r="P62" i="1"/>
  <c r="T62" i="1" s="1"/>
  <c r="L62" i="1"/>
  <c r="P61" i="1"/>
  <c r="L61" i="1"/>
  <c r="AH60" i="1"/>
  <c r="AI60" i="1" s="1"/>
  <c r="P60" i="1"/>
  <c r="T60" i="1" s="1"/>
  <c r="L60" i="1"/>
  <c r="P59" i="1"/>
  <c r="T59" i="1" s="1"/>
  <c r="L59" i="1"/>
  <c r="P58" i="1"/>
  <c r="T58" i="1" s="1"/>
  <c r="L58" i="1"/>
  <c r="P57" i="1"/>
  <c r="L57" i="1"/>
  <c r="P56" i="1"/>
  <c r="T56" i="1" s="1"/>
  <c r="L56" i="1"/>
  <c r="P55" i="1"/>
  <c r="L55" i="1"/>
  <c r="P54" i="1"/>
  <c r="L54" i="1"/>
  <c r="F54" i="1"/>
  <c r="T54" i="1" s="1"/>
  <c r="P53" i="1"/>
  <c r="Q53" i="1" s="1"/>
  <c r="L53" i="1"/>
  <c r="P52" i="1"/>
  <c r="T52" i="1" s="1"/>
  <c r="L52" i="1"/>
  <c r="P51" i="1"/>
  <c r="L51" i="1"/>
  <c r="P50" i="1"/>
  <c r="T50" i="1" s="1"/>
  <c r="L50" i="1"/>
  <c r="P49" i="1"/>
  <c r="T49" i="1" s="1"/>
  <c r="L49" i="1"/>
  <c r="P48" i="1"/>
  <c r="T48" i="1" s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L42" i="1"/>
  <c r="P41" i="1"/>
  <c r="L41" i="1"/>
  <c r="P40" i="1"/>
  <c r="L40" i="1"/>
  <c r="P39" i="1"/>
  <c r="T39" i="1" s="1"/>
  <c r="L39" i="1"/>
  <c r="P38" i="1"/>
  <c r="T38" i="1" s="1"/>
  <c r="L38" i="1"/>
  <c r="P37" i="1"/>
  <c r="L37" i="1"/>
  <c r="P36" i="1"/>
  <c r="L36" i="1"/>
  <c r="P35" i="1"/>
  <c r="L35" i="1"/>
  <c r="P34" i="1"/>
  <c r="T34" i="1" s="1"/>
  <c r="L34" i="1"/>
  <c r="P33" i="1"/>
  <c r="T33" i="1" s="1"/>
  <c r="L33" i="1"/>
  <c r="P32" i="1"/>
  <c r="T32" i="1" s="1"/>
  <c r="L32" i="1"/>
  <c r="P31" i="1"/>
  <c r="L31" i="1"/>
  <c r="AF30" i="1"/>
  <c r="P30" i="1"/>
  <c r="T30" i="1" s="1"/>
  <c r="L30" i="1"/>
  <c r="P29" i="1"/>
  <c r="T29" i="1" s="1"/>
  <c r="L29" i="1"/>
  <c r="P28" i="1"/>
  <c r="L28" i="1"/>
  <c r="P27" i="1"/>
  <c r="L27" i="1"/>
  <c r="P26" i="1"/>
  <c r="T26" i="1" s="1"/>
  <c r="L26" i="1"/>
  <c r="P25" i="1"/>
  <c r="T25" i="1" s="1"/>
  <c r="L25" i="1"/>
  <c r="P24" i="1"/>
  <c r="T24" i="1" s="1"/>
  <c r="L24" i="1"/>
  <c r="P23" i="1"/>
  <c r="L23" i="1"/>
  <c r="F23" i="1"/>
  <c r="T23" i="1" s="1"/>
  <c r="P22" i="1"/>
  <c r="L22" i="1"/>
  <c r="P21" i="1"/>
  <c r="T21" i="1" s="1"/>
  <c r="L21" i="1"/>
  <c r="P20" i="1"/>
  <c r="S20" i="1" s="1"/>
  <c r="L20" i="1"/>
  <c r="P19" i="1"/>
  <c r="Q19" i="1" s="1"/>
  <c r="L19" i="1"/>
  <c r="P18" i="1"/>
  <c r="T18" i="1" s="1"/>
  <c r="L18" i="1"/>
  <c r="P17" i="1"/>
  <c r="Q17" i="1" s="1"/>
  <c r="L17" i="1"/>
  <c r="F16" i="1"/>
  <c r="E16" i="1"/>
  <c r="L16" i="1" s="1"/>
  <c r="P15" i="1"/>
  <c r="L15" i="1"/>
  <c r="P14" i="1"/>
  <c r="T14" i="1" s="1"/>
  <c r="L14" i="1"/>
  <c r="P13" i="1"/>
  <c r="L13" i="1"/>
  <c r="P12" i="1"/>
  <c r="T12" i="1" s="1"/>
  <c r="L12" i="1"/>
  <c r="P11" i="1"/>
  <c r="L11" i="1"/>
  <c r="P10" i="1"/>
  <c r="T10" i="1" s="1"/>
  <c r="L10" i="1"/>
  <c r="P9" i="1"/>
  <c r="S9" i="1" s="1"/>
  <c r="L9" i="1"/>
  <c r="P8" i="1"/>
  <c r="S8" i="1" s="1"/>
  <c r="L8" i="1"/>
  <c r="AH7" i="1"/>
  <c r="AI7" i="1" s="1"/>
  <c r="AF7" i="1"/>
  <c r="P7" i="1"/>
  <c r="T7" i="1" s="1"/>
  <c r="L7" i="1"/>
  <c r="AH6" i="1"/>
  <c r="AL6" i="1" s="1"/>
  <c r="AF6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40" i="1" l="1"/>
  <c r="Q40" i="1"/>
  <c r="R6" i="1"/>
  <c r="S6" i="1" s="1"/>
  <c r="T36" i="1"/>
  <c r="Q36" i="1"/>
  <c r="T57" i="1"/>
  <c r="Q57" i="1"/>
  <c r="T28" i="1"/>
  <c r="Q28" i="1"/>
  <c r="AF28" i="1" s="1"/>
  <c r="T55" i="1"/>
  <c r="Q55" i="1"/>
  <c r="Q63" i="1"/>
  <c r="Q50" i="1"/>
  <c r="E5" i="1"/>
  <c r="AI6" i="1"/>
  <c r="Q12" i="1"/>
  <c r="AF12" i="1" s="1"/>
  <c r="Q34" i="1"/>
  <c r="AF42" i="1"/>
  <c r="Q46" i="1"/>
  <c r="AH46" i="1" s="1"/>
  <c r="R46" i="1" s="1"/>
  <c r="S46" i="1" s="1"/>
  <c r="Q62" i="1"/>
  <c r="AF62" i="1" s="1"/>
  <c r="Q24" i="1"/>
  <c r="AF24" i="1" s="1"/>
  <c r="Q44" i="1"/>
  <c r="AF44" i="1" s="1"/>
  <c r="T19" i="1"/>
  <c r="Q23" i="1"/>
  <c r="T31" i="1"/>
  <c r="Q31" i="1"/>
  <c r="T35" i="1"/>
  <c r="Q35" i="1"/>
  <c r="T37" i="1"/>
  <c r="T41" i="1"/>
  <c r="Q41" i="1"/>
  <c r="T61" i="1"/>
  <c r="Q61" i="1"/>
  <c r="Q38" i="1"/>
  <c r="AH42" i="1"/>
  <c r="AI42" i="1" s="1"/>
  <c r="AF54" i="1"/>
  <c r="AH54" i="1"/>
  <c r="AL54" i="1" s="1"/>
  <c r="AH58" i="1"/>
  <c r="AI58" i="1" s="1"/>
  <c r="AF58" i="1"/>
  <c r="AH62" i="1"/>
  <c r="AL62" i="1" s="1"/>
  <c r="F5" i="1"/>
  <c r="T11" i="1"/>
  <c r="Q11" i="1"/>
  <c r="AH12" i="1"/>
  <c r="AI12" i="1" s="1"/>
  <c r="T13" i="1"/>
  <c r="Q13" i="1"/>
  <c r="T15" i="1"/>
  <c r="Q15" i="1"/>
  <c r="T17" i="1"/>
  <c r="T22" i="1"/>
  <c r="S22" i="1"/>
  <c r="T27" i="1"/>
  <c r="Q27" i="1"/>
  <c r="T47" i="1"/>
  <c r="Q47" i="1"/>
  <c r="T51" i="1"/>
  <c r="T53" i="1"/>
  <c r="T69" i="1"/>
  <c r="Q69" i="1"/>
  <c r="Q10" i="1"/>
  <c r="Q14" i="1"/>
  <c r="Q18" i="1"/>
  <c r="Q32" i="1"/>
  <c r="Q52" i="1"/>
  <c r="Q56" i="1"/>
  <c r="Q64" i="1"/>
  <c r="Q33" i="1"/>
  <c r="Q39" i="1"/>
  <c r="Q45" i="1"/>
  <c r="Q49" i="1"/>
  <c r="Q65" i="1"/>
  <c r="AL30" i="1"/>
  <c r="R30" i="1"/>
  <c r="S30" i="1" s="1"/>
  <c r="AI30" i="1"/>
  <c r="AI46" i="1"/>
  <c r="R58" i="1"/>
  <c r="S58" i="1" s="1"/>
  <c r="R7" i="1"/>
  <c r="L5" i="1"/>
  <c r="P16" i="1"/>
  <c r="R60" i="1"/>
  <c r="S60" i="1" s="1"/>
  <c r="AL60" i="1"/>
  <c r="R68" i="1"/>
  <c r="S68" i="1" s="1"/>
  <c r="AL68" i="1"/>
  <c r="AL7" i="1"/>
  <c r="T8" i="1"/>
  <c r="T9" i="1"/>
  <c r="T20" i="1"/>
  <c r="AH44" i="1" l="1"/>
  <c r="AI44" i="1" s="1"/>
  <c r="AH28" i="1"/>
  <c r="AI28" i="1" s="1"/>
  <c r="AL46" i="1"/>
  <c r="AF46" i="1"/>
  <c r="AH24" i="1"/>
  <c r="AL24" i="1" s="1"/>
  <c r="AL58" i="1"/>
  <c r="AF34" i="1"/>
  <c r="AH34" i="1"/>
  <c r="AH40" i="1"/>
  <c r="AF40" i="1"/>
  <c r="P5" i="1"/>
  <c r="Q16" i="1"/>
  <c r="Q5" i="1" s="1"/>
  <c r="AF65" i="1"/>
  <c r="AH65" i="1"/>
  <c r="AF59" i="1"/>
  <c r="AH59" i="1"/>
  <c r="AF55" i="1"/>
  <c r="AH55" i="1"/>
  <c r="AF45" i="1"/>
  <c r="AH45" i="1"/>
  <c r="AH39" i="1"/>
  <c r="AF39" i="1"/>
  <c r="AF29" i="1"/>
  <c r="AH29" i="1"/>
  <c r="AH64" i="1"/>
  <c r="AF64" i="1"/>
  <c r="AF52" i="1"/>
  <c r="AH52" i="1"/>
  <c r="AL44" i="1"/>
  <c r="AF36" i="1"/>
  <c r="AH36" i="1"/>
  <c r="AL28" i="1"/>
  <c r="R28" i="1"/>
  <c r="S28" i="1" s="1"/>
  <c r="AI24" i="1"/>
  <c r="AF18" i="1"/>
  <c r="AH18" i="1"/>
  <c r="AF10" i="1"/>
  <c r="AH10" i="1"/>
  <c r="AH27" i="1"/>
  <c r="AF27" i="1"/>
  <c r="AF17" i="1"/>
  <c r="AH17" i="1"/>
  <c r="AH15" i="1"/>
  <c r="AF15" i="1"/>
  <c r="AH13" i="1"/>
  <c r="AF13" i="1"/>
  <c r="AL12" i="1"/>
  <c r="R12" i="1"/>
  <c r="S12" i="1" s="1"/>
  <c r="AH66" i="1"/>
  <c r="AF66" i="1"/>
  <c r="AL42" i="1"/>
  <c r="R42" i="1"/>
  <c r="S42" i="1" s="1"/>
  <c r="AH38" i="1"/>
  <c r="AF38" i="1"/>
  <c r="AF21" i="1"/>
  <c r="AH21" i="1"/>
  <c r="AF19" i="1"/>
  <c r="AH19" i="1"/>
  <c r="AF67" i="1"/>
  <c r="AH67" i="1"/>
  <c r="AF63" i="1"/>
  <c r="AH63" i="1"/>
  <c r="AF57" i="1"/>
  <c r="AH57" i="1"/>
  <c r="AF49" i="1"/>
  <c r="AH49" i="1"/>
  <c r="AH43" i="1"/>
  <c r="AF43" i="1"/>
  <c r="AF33" i="1"/>
  <c r="AH33" i="1"/>
  <c r="AF25" i="1"/>
  <c r="AH25" i="1"/>
  <c r="AH56" i="1"/>
  <c r="AF56" i="1"/>
  <c r="AH48" i="1"/>
  <c r="AF48" i="1"/>
  <c r="AH32" i="1"/>
  <c r="AF32" i="1"/>
  <c r="AF14" i="1"/>
  <c r="AH14" i="1"/>
  <c r="AH69" i="1"/>
  <c r="AF69" i="1"/>
  <c r="AH53" i="1"/>
  <c r="AF53" i="1"/>
  <c r="AF51" i="1"/>
  <c r="AH51" i="1"/>
  <c r="AF47" i="1"/>
  <c r="AH47" i="1"/>
  <c r="AH11" i="1"/>
  <c r="AF11" i="1"/>
  <c r="AI62" i="1"/>
  <c r="R62" i="1"/>
  <c r="S62" i="1" s="1"/>
  <c r="AI54" i="1"/>
  <c r="R54" i="1"/>
  <c r="S54" i="1" s="1"/>
  <c r="AF50" i="1"/>
  <c r="AH50" i="1"/>
  <c r="AF26" i="1"/>
  <c r="AH26" i="1"/>
  <c r="AH61" i="1"/>
  <c r="AF61" i="1"/>
  <c r="AH41" i="1"/>
  <c r="AF41" i="1"/>
  <c r="AH37" i="1"/>
  <c r="AF37" i="1"/>
  <c r="AF35" i="1"/>
  <c r="AH35" i="1"/>
  <c r="AF31" i="1"/>
  <c r="AH31" i="1"/>
  <c r="AH23" i="1"/>
  <c r="AF23" i="1"/>
  <c r="S7" i="1"/>
  <c r="T16" i="1"/>
  <c r="R44" i="1" l="1"/>
  <c r="S44" i="1" s="1"/>
  <c r="R24" i="1"/>
  <c r="S24" i="1" s="1"/>
  <c r="R34" i="1"/>
  <c r="S34" i="1" s="1"/>
  <c r="AL34" i="1"/>
  <c r="AI34" i="1"/>
  <c r="AL40" i="1"/>
  <c r="AI40" i="1"/>
  <c r="R40" i="1"/>
  <c r="S40" i="1" s="1"/>
  <c r="AI31" i="1"/>
  <c r="AL31" i="1"/>
  <c r="R31" i="1"/>
  <c r="S31" i="1" s="1"/>
  <c r="AI35" i="1"/>
  <c r="R35" i="1"/>
  <c r="S35" i="1" s="1"/>
  <c r="AL35" i="1"/>
  <c r="AL50" i="1"/>
  <c r="R50" i="1"/>
  <c r="S50" i="1" s="1"/>
  <c r="AI50" i="1"/>
  <c r="AI47" i="1"/>
  <c r="AL47" i="1"/>
  <c r="R47" i="1"/>
  <c r="S47" i="1" s="1"/>
  <c r="AI51" i="1"/>
  <c r="R51" i="1"/>
  <c r="S51" i="1" s="1"/>
  <c r="AL51" i="1"/>
  <c r="AL14" i="1"/>
  <c r="R14" i="1"/>
  <c r="S14" i="1" s="1"/>
  <c r="AI14" i="1"/>
  <c r="AL25" i="1"/>
  <c r="R25" i="1"/>
  <c r="S25" i="1" s="1"/>
  <c r="AI25" i="1"/>
  <c r="AI33" i="1"/>
  <c r="R33" i="1"/>
  <c r="S33" i="1" s="1"/>
  <c r="AL33" i="1"/>
  <c r="AI49" i="1"/>
  <c r="R49" i="1"/>
  <c r="S49" i="1" s="1"/>
  <c r="AL49" i="1"/>
  <c r="AL57" i="1"/>
  <c r="R57" i="1"/>
  <c r="S57" i="1" s="1"/>
  <c r="AI57" i="1"/>
  <c r="AL63" i="1"/>
  <c r="R63" i="1"/>
  <c r="S63" i="1" s="1"/>
  <c r="AI63" i="1"/>
  <c r="AL67" i="1"/>
  <c r="AI67" i="1"/>
  <c r="R67" i="1"/>
  <c r="S67" i="1" s="1"/>
  <c r="AI19" i="1"/>
  <c r="R19" i="1"/>
  <c r="S19" i="1" s="1"/>
  <c r="AL19" i="1"/>
  <c r="AL21" i="1"/>
  <c r="R21" i="1"/>
  <c r="S21" i="1" s="1"/>
  <c r="AI21" i="1"/>
  <c r="AI17" i="1"/>
  <c r="R17" i="1"/>
  <c r="S17" i="1" s="1"/>
  <c r="AL17" i="1"/>
  <c r="AL23" i="1"/>
  <c r="R23" i="1"/>
  <c r="S23" i="1" s="1"/>
  <c r="AI23" i="1"/>
  <c r="AI37" i="1"/>
  <c r="R37" i="1"/>
  <c r="S37" i="1" s="1"/>
  <c r="AL37" i="1"/>
  <c r="AI41" i="1"/>
  <c r="R41" i="1"/>
  <c r="S41" i="1" s="1"/>
  <c r="AL41" i="1"/>
  <c r="AL61" i="1"/>
  <c r="R61" i="1"/>
  <c r="S61" i="1" s="1"/>
  <c r="AI61" i="1"/>
  <c r="AI11" i="1"/>
  <c r="AL11" i="1"/>
  <c r="R11" i="1"/>
  <c r="S11" i="1" s="1"/>
  <c r="AI53" i="1"/>
  <c r="R53" i="1"/>
  <c r="S53" i="1" s="1"/>
  <c r="AL53" i="1"/>
  <c r="AL69" i="1"/>
  <c r="R69" i="1"/>
  <c r="S69" i="1" s="1"/>
  <c r="AI69" i="1"/>
  <c r="AL32" i="1"/>
  <c r="R32" i="1"/>
  <c r="S32" i="1" s="1"/>
  <c r="AI32" i="1"/>
  <c r="AL48" i="1"/>
  <c r="R48" i="1"/>
  <c r="S48" i="1" s="1"/>
  <c r="AI48" i="1"/>
  <c r="AI56" i="1"/>
  <c r="AL56" i="1"/>
  <c r="R56" i="1"/>
  <c r="S56" i="1" s="1"/>
  <c r="AI43" i="1"/>
  <c r="R43" i="1"/>
  <c r="S43" i="1" s="1"/>
  <c r="AL43" i="1"/>
  <c r="AL38" i="1"/>
  <c r="AI38" i="1"/>
  <c r="R38" i="1"/>
  <c r="S38" i="1" s="1"/>
  <c r="R66" i="1"/>
  <c r="S66" i="1" s="1"/>
  <c r="AI66" i="1"/>
  <c r="AL66" i="1"/>
  <c r="AI13" i="1"/>
  <c r="AL13" i="1"/>
  <c r="R13" i="1"/>
  <c r="S13" i="1" s="1"/>
  <c r="AI15" i="1"/>
  <c r="AL15" i="1"/>
  <c r="R15" i="1"/>
  <c r="S15" i="1" s="1"/>
  <c r="AI27" i="1"/>
  <c r="R27" i="1"/>
  <c r="S27" i="1" s="1"/>
  <c r="AL27" i="1"/>
  <c r="AL10" i="1"/>
  <c r="R10" i="1"/>
  <c r="AI10" i="1"/>
  <c r="AL18" i="1"/>
  <c r="R18" i="1"/>
  <c r="S18" i="1" s="1"/>
  <c r="AI18" i="1"/>
  <c r="AL36" i="1"/>
  <c r="R36" i="1"/>
  <c r="S36" i="1" s="1"/>
  <c r="AI36" i="1"/>
  <c r="AL52" i="1"/>
  <c r="R52" i="1"/>
  <c r="S52" i="1" s="1"/>
  <c r="AI52" i="1"/>
  <c r="AI29" i="1"/>
  <c r="AL29" i="1"/>
  <c r="R29" i="1"/>
  <c r="S29" i="1" s="1"/>
  <c r="AI45" i="1"/>
  <c r="AL45" i="1"/>
  <c r="R45" i="1"/>
  <c r="S45" i="1" s="1"/>
  <c r="AL55" i="1"/>
  <c r="R55" i="1"/>
  <c r="S55" i="1" s="1"/>
  <c r="AI55" i="1"/>
  <c r="AL59" i="1"/>
  <c r="AI59" i="1"/>
  <c r="R59" i="1"/>
  <c r="S59" i="1" s="1"/>
  <c r="AL65" i="1"/>
  <c r="R65" i="1"/>
  <c r="S65" i="1" s="1"/>
  <c r="AI65" i="1"/>
  <c r="AF16" i="1"/>
  <c r="AF5" i="1" s="1"/>
  <c r="AH16" i="1"/>
  <c r="AI26" i="1"/>
  <c r="R26" i="1"/>
  <c r="S26" i="1" s="1"/>
  <c r="AL26" i="1"/>
  <c r="AI64" i="1"/>
  <c r="AL64" i="1"/>
  <c r="R64" i="1"/>
  <c r="S64" i="1" s="1"/>
  <c r="AI39" i="1"/>
  <c r="AL39" i="1"/>
  <c r="R39" i="1"/>
  <c r="S39" i="1" s="1"/>
  <c r="AL16" i="1" l="1"/>
  <c r="R16" i="1"/>
  <c r="S16" i="1" s="1"/>
  <c r="AI16" i="1"/>
  <c r="AI5" i="1" s="1"/>
  <c r="AH5" i="1"/>
  <c r="S10" i="1"/>
  <c r="R5" i="1"/>
  <c r="AL5" i="1"/>
</calcChain>
</file>

<file path=xl/sharedStrings.xml><?xml version="1.0" encoding="utf-8"?>
<sst xmlns="http://schemas.openxmlformats.org/spreadsheetml/2006/main" count="262" uniqueCount="177">
  <si>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</si>
  <si>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</si>
  <si>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</si>
  <si>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</si>
  <si>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</si>
  <si>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</si>
  <si>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</si>
  <si>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</si>
  <si>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</si>
  <si>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</si>
  <si>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</si>
  <si>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</si>
  <si>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</si>
  <si>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</si>
  <si>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</si>
  <si>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</si>
  <si>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</si>
  <si>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</si>
  <si>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</si>
  <si>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</si>
  <si>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</si>
  <si>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</si>
  <si>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</si>
  <si>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</si>
  <si>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</si>
  <si>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</si>
  <si>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</si>
  <si>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</si>
  <si>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</si>
  <si>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</si>
  <si>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</si>
  <si>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</si>
  <si>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</si>
  <si>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</si>
  <si>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</si>
  <si>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</si>
  <si>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</si>
  <si>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</si>
  <si>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</si>
  <si>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</si>
  <si>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</si>
  <si>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</si>
  <si>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</si>
  <si>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</si>
  <si>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</si>
  <si>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</si>
  <si>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</si>
  <si>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</si>
  <si>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</si>
  <si>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</si>
  <si>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</si>
  <si>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</si>
  <si>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</si>
  <si>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</si>
  <si>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</si>
  <si>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</si>
  <si>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</si>
  <si>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</si>
  <si>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</si>
  <si>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</si>
  <si>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</si>
  <si>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</si>
  <si>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</si>
  <si>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</si>
  <si>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</si>
  <si>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</si>
  <si>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</si>
  <si>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</si>
  <si>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</si>
  <si>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</si>
  <si>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</si>
  <si>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</si>
  <si>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</si>
  <si>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</si>
  <si>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</si>
  <si>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</si>
  <si>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нужно увеличить продажи!!!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</si>
  <si>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</si>
  <si>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</si>
  <si>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</si>
  <si>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</si>
  <si>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</si>
  <si>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</si>
  <si>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</si>
  <si>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</si>
  <si>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</si>
  <si>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</si>
  <si>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</si>
  <si>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</si>
  <si>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</si>
  <si>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</si>
  <si>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</si>
  <si>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</si>
  <si>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</si>
  <si>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</si>
  <si>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</si>
  <si>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</si>
  <si>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</si>
  <si>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</si>
  <si>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</si>
  <si>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</si>
  <si>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</si>
  <si>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</si>
  <si>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</si>
  <si>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</si>
  <si>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</si>
  <si>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</si>
  <si>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</si>
  <si>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</si>
  <si>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</si>
  <si>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</si>
  <si>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</si>
  <si>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</si>
  <si>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</si>
  <si>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</si>
  <si>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</si>
  <si>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</si>
  <si>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</si>
  <si>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</si>
  <si>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</si>
  <si>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</si>
  <si>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</si>
  <si>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</si>
  <si>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</si>
  <si>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</si>
  <si>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</si>
  <si>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</si>
  <si>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</si>
  <si>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</si>
  <si>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</si>
  <si>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</si>
  <si>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</si>
  <si>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</si>
  <si>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</si>
  <si>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</si>
  <si>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</si>
  <si>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</si>
  <si>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</si>
  <si>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</si>
  <si>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</si>
  <si>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</si>
  <si>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</si>
  <si>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</si>
  <si>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</si>
  <si>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</si>
  <si>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</si>
  <si>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</si>
  <si>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</si>
  <si>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</si>
  <si>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</si>
  <si>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</si>
  <si>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</si>
  <si>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</si>
  <si>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</si>
  <si>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</si>
  <si>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</si>
  <si>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</si>
  <si>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</si>
  <si>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</si>
  <si>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</si>
  <si>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</si>
  <si>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</si>
  <si>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</si>
  <si>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</si>
  <si>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</si>
  <si>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</si>
  <si>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</si>
  <si>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</si>
  <si>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</si>
  <si>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</si>
  <si>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</si>
  <si>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</si>
  <si>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</si>
  <si>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</si>
  <si>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</si>
  <si>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</si>
  <si>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t>24,08,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</si>
</sst>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  <xf numFmtId="164" fontId="6" fillId="5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4" sqref="AM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8" width="7" customWidth="1"/>
    <col min="19" max="20" width="5" customWidth="1"/>
    <col min="21" max="30" width="6" customWidth="1"/>
    <col min="31" max="31" width="41.7109375" customWidth="1"/>
    <col min="32" max="32" width="6" customWidth="1"/>
    <col min="33" max="33" width="6" style="5" customWidth="1"/>
    <col min="34" max="34" width="7" style="11" customWidth="1"/>
    <col min="35" max="35" width="6" customWidth="1"/>
    <col min="36" max="37" width="5" customWidth="1"/>
    <col min="38" max="38" width="6" style="11" customWidth="1"/>
    <col min="39" max="39" width="7.5703125" customWidth="1"/>
    <col min="40" max="48" width="3" customWidth="1"/>
  </cols>
  <sheetData>
    <row r="1" spans="1:48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6"/>
      <c r="AH1" s="8"/>
      <c r="AI1" s="12"/>
      <c r="AJ1" s="12"/>
      <c r="AK1" s="12"/>
      <c r="AL1" s="8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6"/>
      <c r="AH2" s="8"/>
      <c r="AI2" s="12"/>
      <c r="AJ2" s="12"/>
      <c r="AK2" s="12"/>
      <c r="AL2" s="8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/>
      <c r="U4" s="12" t="s">
        <v>31</v>
      </c>
      <c r="V4" s="12" t="s">
        <v>32</v>
      </c>
      <c r="W4" s="12" t="s">
        <v>33</v>
      </c>
      <c r="X4" s="12" t="s">
        <v>34</v>
      </c>
      <c r="Y4" s="12" t="s">
        <v>35</v>
      </c>
      <c r="Z4" s="12" t="s">
        <v>36</v>
      </c>
      <c r="AA4" s="12" t="s">
        <v>37</v>
      </c>
      <c r="AB4" s="12" t="s">
        <v>38</v>
      </c>
      <c r="AC4" s="12" t="s">
        <v>39</v>
      </c>
      <c r="AD4" s="12" t="s">
        <v>40</v>
      </c>
      <c r="AE4" s="12"/>
      <c r="AF4" s="12"/>
      <c r="AG4" s="6"/>
      <c r="AH4" s="8" t="s">
        <v>176</v>
      </c>
      <c r="AI4" s="12"/>
      <c r="AJ4" s="12"/>
      <c r="AK4" s="12"/>
      <c r="AL4" s="8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x14ac:dyDescent="0.25">
      <c r="A5" s="12"/>
      <c r="B5" s="12"/>
      <c r="C5" s="12"/>
      <c r="D5" s="12"/>
      <c r="E5" s="3">
        <f>SUM(E6:E500)</f>
        <v>14553.3</v>
      </c>
      <c r="F5" s="3">
        <f>SUM(F6:F500)</f>
        <v>22145.599999999999</v>
      </c>
      <c r="G5" s="6"/>
      <c r="H5" s="12"/>
      <c r="I5" s="12"/>
      <c r="J5" s="12"/>
      <c r="K5" s="3">
        <f t="shared" ref="K5:R5" si="0">SUM(K6:K500)</f>
        <v>15555.4</v>
      </c>
      <c r="L5" s="3">
        <f t="shared" si="0"/>
        <v>-1002.1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2910.6599999999994</v>
      </c>
      <c r="Q5" s="3">
        <f t="shared" si="0"/>
        <v>20059.400000000001</v>
      </c>
      <c r="R5" s="3">
        <f t="shared" si="0"/>
        <v>20416</v>
      </c>
      <c r="S5" s="12"/>
      <c r="T5" s="12"/>
      <c r="U5" s="3">
        <f t="shared" ref="U5:AD5" si="1">SUM(U6:U500)</f>
        <v>2291.9799999999996</v>
      </c>
      <c r="V5" s="3">
        <f t="shared" si="1"/>
        <v>2000.2999999999995</v>
      </c>
      <c r="W5" s="3">
        <f t="shared" si="1"/>
        <v>2045.2400000000002</v>
      </c>
      <c r="X5" s="3">
        <f t="shared" si="1"/>
        <v>3263.2599999999998</v>
      </c>
      <c r="Y5" s="3">
        <f t="shared" si="1"/>
        <v>2657.86</v>
      </c>
      <c r="Z5" s="3">
        <f t="shared" si="1"/>
        <v>3306.6200000000003</v>
      </c>
      <c r="AA5" s="3">
        <f t="shared" si="1"/>
        <v>3193.8599999999992</v>
      </c>
      <c r="AB5" s="3">
        <f t="shared" si="1"/>
        <v>2485.46</v>
      </c>
      <c r="AC5" s="3">
        <f t="shared" si="1"/>
        <v>2230.9800000000005</v>
      </c>
      <c r="AD5" s="3">
        <f t="shared" si="1"/>
        <v>2363.4399999999996</v>
      </c>
      <c r="AE5" s="12"/>
      <c r="AF5" s="3">
        <f>SUM(AF6:AF500)</f>
        <v>8902.4739999999965</v>
      </c>
      <c r="AG5" s="6"/>
      <c r="AH5" s="10">
        <f>SUM(AH6:AH500)</f>
        <v>2262</v>
      </c>
      <c r="AI5" s="3">
        <f>SUM(AI6:AI500)</f>
        <v>8996.880000000001</v>
      </c>
      <c r="AJ5" s="12"/>
      <c r="AK5" s="12"/>
      <c r="AL5" s="10">
        <f>SUM(AL6:AL500)</f>
        <v>25.170634920634917</v>
      </c>
      <c r="AM5" s="3">
        <f>SUM(AM6:AM500)</f>
        <v>1303.202</v>
      </c>
      <c r="AN5" s="12"/>
      <c r="AO5" s="12"/>
      <c r="AP5" s="12"/>
      <c r="AQ5" s="12"/>
      <c r="AR5" s="12"/>
      <c r="AS5" s="12"/>
      <c r="AT5" s="12"/>
      <c r="AU5" s="12"/>
      <c r="AV5" s="12"/>
    </row>
    <row r="6" spans="1:48" x14ac:dyDescent="0.25">
      <c r="A6" s="12" t="s">
        <v>41</v>
      </c>
      <c r="B6" s="12" t="s">
        <v>42</v>
      </c>
      <c r="C6" s="12"/>
      <c r="D6" s="12"/>
      <c r="E6" s="12"/>
      <c r="F6" s="12"/>
      <c r="G6" s="6">
        <v>0.23</v>
      </c>
      <c r="H6" s="12"/>
      <c r="I6" s="12" t="s">
        <v>43</v>
      </c>
      <c r="J6" s="12"/>
      <c r="K6" s="12"/>
      <c r="L6" s="12">
        <f t="shared" ref="L6:L37" si="2">E6-K6</f>
        <v>0</v>
      </c>
      <c r="M6" s="12"/>
      <c r="N6" s="12"/>
      <c r="O6" s="12"/>
      <c r="P6" s="12">
        <f t="shared" ref="P6:P37" si="3">E6/5</f>
        <v>0</v>
      </c>
      <c r="Q6" s="4">
        <v>500</v>
      </c>
      <c r="R6" s="4">
        <f>AG6*AH6</f>
        <v>504</v>
      </c>
      <c r="S6" s="12" t="e">
        <f t="shared" ref="S6:S37" si="4">(F6+R6)/P6</f>
        <v>#DIV/0!</v>
      </c>
      <c r="T6" s="12" t="e">
        <f t="shared" ref="T6:T37" si="5">F6/P6</f>
        <v>#DIV/0!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 t="s">
        <v>44</v>
      </c>
      <c r="AF6" s="12">
        <f>G6*Q6</f>
        <v>115</v>
      </c>
      <c r="AG6" s="6">
        <v>6</v>
      </c>
      <c r="AH6" s="8">
        <f>MROUND(Q6, AG6*AJ6)/AG6</f>
        <v>84</v>
      </c>
      <c r="AI6" s="12">
        <f>AH6*AG6*G6</f>
        <v>115.92</v>
      </c>
      <c r="AJ6" s="12">
        <v>14</v>
      </c>
      <c r="AK6" s="12">
        <v>140</v>
      </c>
      <c r="AL6" s="8">
        <f>AH6/AK6</f>
        <v>0.6</v>
      </c>
      <c r="AM6" s="12">
        <f>P6*G6</f>
        <v>0</v>
      </c>
      <c r="AN6" s="12"/>
      <c r="AO6" s="12"/>
      <c r="AP6" s="12"/>
      <c r="AQ6" s="12"/>
      <c r="AR6" s="12"/>
      <c r="AS6" s="12"/>
      <c r="AT6" s="12"/>
      <c r="AU6" s="12"/>
      <c r="AV6" s="12"/>
    </row>
    <row r="7" spans="1:48" x14ac:dyDescent="0.25">
      <c r="A7" s="12" t="s">
        <v>45</v>
      </c>
      <c r="B7" s="12" t="s">
        <v>42</v>
      </c>
      <c r="C7" s="12"/>
      <c r="D7" s="12"/>
      <c r="E7" s="12"/>
      <c r="F7" s="12"/>
      <c r="G7" s="6">
        <v>0.22</v>
      </c>
      <c r="H7" s="12"/>
      <c r="I7" s="12" t="s">
        <v>43</v>
      </c>
      <c r="J7" s="12"/>
      <c r="K7" s="12"/>
      <c r="L7" s="12">
        <f t="shared" si="2"/>
        <v>0</v>
      </c>
      <c r="M7" s="12"/>
      <c r="N7" s="12"/>
      <c r="O7" s="12"/>
      <c r="P7" s="12">
        <f t="shared" si="3"/>
        <v>0</v>
      </c>
      <c r="Q7" s="4">
        <v>250</v>
      </c>
      <c r="R7" s="4">
        <f>AG7*AH7</f>
        <v>252</v>
      </c>
      <c r="S7" s="12" t="e">
        <f t="shared" si="4"/>
        <v>#DIV/0!</v>
      </c>
      <c r="T7" s="12" t="e">
        <f t="shared" si="5"/>
        <v>#DIV/0!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 t="s">
        <v>44</v>
      </c>
      <c r="AF7" s="12">
        <f>G7*Q7</f>
        <v>55</v>
      </c>
      <c r="AG7" s="6">
        <v>6</v>
      </c>
      <c r="AH7" s="8">
        <f>MROUND(Q7, AG7*AJ7)/AG7</f>
        <v>42</v>
      </c>
      <c r="AI7" s="12">
        <f>AH7*AG7*G7</f>
        <v>55.44</v>
      </c>
      <c r="AJ7" s="12">
        <v>14</v>
      </c>
      <c r="AK7" s="12">
        <v>140</v>
      </c>
      <c r="AL7" s="8">
        <f>AH7/AK7</f>
        <v>0.3</v>
      </c>
      <c r="AM7" s="12">
        <f t="shared" ref="AM7:AM69" si="6">P7*G7</f>
        <v>0</v>
      </c>
      <c r="AN7" s="12"/>
      <c r="AO7" s="12"/>
      <c r="AP7" s="12"/>
      <c r="AQ7" s="12"/>
      <c r="AR7" s="12"/>
      <c r="AS7" s="12"/>
      <c r="AT7" s="12"/>
      <c r="AU7" s="12"/>
      <c r="AV7" s="12"/>
    </row>
    <row r="8" spans="1:48" x14ac:dyDescent="0.25">
      <c r="A8" s="13" t="s">
        <v>46</v>
      </c>
      <c r="B8" s="13" t="s">
        <v>42</v>
      </c>
      <c r="C8" s="13">
        <v>-5</v>
      </c>
      <c r="D8" s="13"/>
      <c r="E8" s="18">
        <v>22</v>
      </c>
      <c r="F8" s="18">
        <v>-27</v>
      </c>
      <c r="G8" s="14">
        <v>0</v>
      </c>
      <c r="H8" s="13"/>
      <c r="I8" s="13" t="s">
        <v>47</v>
      </c>
      <c r="J8" s="13" t="s">
        <v>48</v>
      </c>
      <c r="K8" s="13">
        <v>22</v>
      </c>
      <c r="L8" s="13">
        <f t="shared" si="2"/>
        <v>0</v>
      </c>
      <c r="M8" s="13"/>
      <c r="N8" s="13"/>
      <c r="O8" s="13"/>
      <c r="P8" s="13">
        <f t="shared" si="3"/>
        <v>4.4000000000000004</v>
      </c>
      <c r="Q8" s="15"/>
      <c r="R8" s="15"/>
      <c r="S8" s="13">
        <f t="shared" si="4"/>
        <v>-6.1363636363636358</v>
      </c>
      <c r="T8" s="13">
        <f t="shared" si="5"/>
        <v>-6.1363636363636358</v>
      </c>
      <c r="U8" s="13">
        <v>3.8</v>
      </c>
      <c r="V8" s="13">
        <v>2.8</v>
      </c>
      <c r="W8" s="13">
        <v>7.8</v>
      </c>
      <c r="X8" s="13">
        <v>10.199999999999999</v>
      </c>
      <c r="Y8" s="13">
        <v>16.399999999999999</v>
      </c>
      <c r="Z8" s="13">
        <v>16.600000000000001</v>
      </c>
      <c r="AA8" s="13">
        <v>14.4</v>
      </c>
      <c r="AB8" s="13">
        <v>9.1999999999999993</v>
      </c>
      <c r="AC8" s="13">
        <v>4.2</v>
      </c>
      <c r="AD8" s="13">
        <v>9</v>
      </c>
      <c r="AE8" s="13"/>
      <c r="AF8" s="13"/>
      <c r="AG8" s="14"/>
      <c r="AH8" s="16"/>
      <c r="AI8" s="13"/>
      <c r="AJ8" s="13"/>
      <c r="AK8" s="13"/>
      <c r="AL8" s="16"/>
      <c r="AM8" s="12">
        <f t="shared" si="6"/>
        <v>0</v>
      </c>
      <c r="AN8" s="12"/>
      <c r="AO8" s="12"/>
      <c r="AP8" s="12"/>
      <c r="AQ8" s="12"/>
      <c r="AR8" s="12"/>
      <c r="AS8" s="12"/>
      <c r="AT8" s="12"/>
      <c r="AU8" s="12"/>
      <c r="AV8" s="12"/>
    </row>
    <row r="9" spans="1:48" x14ac:dyDescent="0.25">
      <c r="A9" s="13" t="s">
        <v>49</v>
      </c>
      <c r="B9" s="13" t="s">
        <v>50</v>
      </c>
      <c r="C9" s="13">
        <v>7.4</v>
      </c>
      <c r="D9" s="13"/>
      <c r="E9" s="13"/>
      <c r="F9" s="18">
        <v>7.4</v>
      </c>
      <c r="G9" s="14">
        <v>0</v>
      </c>
      <c r="H9" s="13"/>
      <c r="I9" s="13" t="s">
        <v>47</v>
      </c>
      <c r="J9" s="13" t="s">
        <v>51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3" t="e">
        <f t="shared" si="4"/>
        <v>#DIV/0!</v>
      </c>
      <c r="T9" s="13" t="e">
        <f t="shared" si="5"/>
        <v>#DIV/0!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/>
      <c r="AF9" s="13"/>
      <c r="AG9" s="14"/>
      <c r="AH9" s="16"/>
      <c r="AI9" s="13"/>
      <c r="AJ9" s="13"/>
      <c r="AK9" s="13"/>
      <c r="AL9" s="16"/>
      <c r="AM9" s="12">
        <f t="shared" si="6"/>
        <v>0</v>
      </c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25">
      <c r="A10" s="12" t="s">
        <v>52</v>
      </c>
      <c r="B10" s="12" t="s">
        <v>42</v>
      </c>
      <c r="C10" s="12">
        <v>133</v>
      </c>
      <c r="D10" s="12"/>
      <c r="E10" s="12">
        <v>58</v>
      </c>
      <c r="F10" s="12">
        <v>69</v>
      </c>
      <c r="G10" s="6">
        <v>0.22</v>
      </c>
      <c r="H10" s="12">
        <v>180</v>
      </c>
      <c r="I10" s="12" t="s">
        <v>53</v>
      </c>
      <c r="J10" s="12"/>
      <c r="K10" s="12">
        <v>58</v>
      </c>
      <c r="L10" s="12">
        <f t="shared" si="2"/>
        <v>0</v>
      </c>
      <c r="M10" s="12"/>
      <c r="N10" s="12"/>
      <c r="O10" s="12"/>
      <c r="P10" s="12">
        <f t="shared" si="3"/>
        <v>11.6</v>
      </c>
      <c r="Q10" s="4">
        <f>14*P10-F10</f>
        <v>93.4</v>
      </c>
      <c r="R10" s="4">
        <f t="shared" ref="R10:R19" si="7">AG10*AH10</f>
        <v>168</v>
      </c>
      <c r="S10" s="12">
        <f t="shared" si="4"/>
        <v>20.431034482758623</v>
      </c>
      <c r="T10" s="12">
        <f t="shared" si="5"/>
        <v>5.9482758620689653</v>
      </c>
      <c r="U10" s="12">
        <v>12.4</v>
      </c>
      <c r="V10" s="12">
        <v>4</v>
      </c>
      <c r="W10" s="12">
        <v>4.2</v>
      </c>
      <c r="X10" s="12">
        <v>7</v>
      </c>
      <c r="Y10" s="12">
        <v>9.4</v>
      </c>
      <c r="Z10" s="12">
        <v>13.6</v>
      </c>
      <c r="AA10" s="12">
        <v>13.6</v>
      </c>
      <c r="AB10" s="12">
        <v>6</v>
      </c>
      <c r="AC10" s="12">
        <v>5.2</v>
      </c>
      <c r="AD10" s="12">
        <v>11</v>
      </c>
      <c r="AE10" s="12"/>
      <c r="AF10" s="12">
        <f t="shared" ref="AF10:AF19" si="8">G10*Q10</f>
        <v>20.548000000000002</v>
      </c>
      <c r="AG10" s="6">
        <v>12</v>
      </c>
      <c r="AH10" s="8">
        <f t="shared" ref="AH10:AH19" si="9">MROUND(Q10, AG10*AJ10)/AG10</f>
        <v>14</v>
      </c>
      <c r="AI10" s="12">
        <f t="shared" ref="AI10:AI19" si="10">AH10*AG10*G10</f>
        <v>36.96</v>
      </c>
      <c r="AJ10" s="12">
        <v>14</v>
      </c>
      <c r="AK10" s="12">
        <v>70</v>
      </c>
      <c r="AL10" s="8">
        <f t="shared" ref="AL10:AL19" si="11">AH10/AK10</f>
        <v>0.2</v>
      </c>
      <c r="AM10" s="12">
        <f t="shared" si="6"/>
        <v>2.552</v>
      </c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25">
      <c r="A11" s="12" t="s">
        <v>54</v>
      </c>
      <c r="B11" s="12" t="s">
        <v>42</v>
      </c>
      <c r="C11" s="12">
        <v>250</v>
      </c>
      <c r="D11" s="12"/>
      <c r="E11" s="12">
        <v>88</v>
      </c>
      <c r="F11" s="12">
        <v>162</v>
      </c>
      <c r="G11" s="6">
        <v>0.3</v>
      </c>
      <c r="H11" s="12">
        <v>180</v>
      </c>
      <c r="I11" s="12" t="s">
        <v>55</v>
      </c>
      <c r="J11" s="12"/>
      <c r="K11" s="12">
        <v>97</v>
      </c>
      <c r="L11" s="12">
        <f t="shared" si="2"/>
        <v>-9</v>
      </c>
      <c r="M11" s="12"/>
      <c r="N11" s="12"/>
      <c r="O11" s="12"/>
      <c r="P11" s="12">
        <f t="shared" si="3"/>
        <v>17.600000000000001</v>
      </c>
      <c r="Q11" s="4">
        <f t="shared" ref="Q11:Q18" si="12">14*P11-F11</f>
        <v>84.400000000000034</v>
      </c>
      <c r="R11" s="4">
        <f t="shared" si="7"/>
        <v>168</v>
      </c>
      <c r="S11" s="12">
        <f t="shared" si="4"/>
        <v>18.75</v>
      </c>
      <c r="T11" s="12">
        <f t="shared" si="5"/>
        <v>9.2045454545454533</v>
      </c>
      <c r="U11" s="12">
        <v>15.2</v>
      </c>
      <c r="V11" s="12">
        <v>12.2</v>
      </c>
      <c r="W11" s="12">
        <v>15</v>
      </c>
      <c r="X11" s="12">
        <v>23.8</v>
      </c>
      <c r="Y11" s="12">
        <v>25.6</v>
      </c>
      <c r="Z11" s="12">
        <v>26.4</v>
      </c>
      <c r="AA11" s="12">
        <v>27.6</v>
      </c>
      <c r="AB11" s="12">
        <v>35.799999999999997</v>
      </c>
      <c r="AC11" s="12">
        <v>43.8</v>
      </c>
      <c r="AD11" s="12">
        <v>20.2</v>
      </c>
      <c r="AE11" s="12"/>
      <c r="AF11" s="12">
        <f t="shared" si="8"/>
        <v>25.320000000000011</v>
      </c>
      <c r="AG11" s="6">
        <v>12</v>
      </c>
      <c r="AH11" s="8">
        <f t="shared" si="9"/>
        <v>14</v>
      </c>
      <c r="AI11" s="12">
        <f t="shared" si="10"/>
        <v>50.4</v>
      </c>
      <c r="AJ11" s="12">
        <v>14</v>
      </c>
      <c r="AK11" s="12">
        <v>70</v>
      </c>
      <c r="AL11" s="8">
        <f t="shared" si="11"/>
        <v>0.2</v>
      </c>
      <c r="AM11" s="12">
        <f t="shared" si="6"/>
        <v>5.28</v>
      </c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25">
      <c r="A12" s="12" t="s">
        <v>56</v>
      </c>
      <c r="B12" s="12" t="s">
        <v>42</v>
      </c>
      <c r="C12" s="12">
        <v>727</v>
      </c>
      <c r="D12" s="12">
        <v>36</v>
      </c>
      <c r="E12" s="12">
        <v>307</v>
      </c>
      <c r="F12" s="12">
        <v>422</v>
      </c>
      <c r="G12" s="6">
        <v>0.28000000000000003</v>
      </c>
      <c r="H12" s="12">
        <v>180</v>
      </c>
      <c r="I12" s="12" t="s">
        <v>57</v>
      </c>
      <c r="J12" s="12"/>
      <c r="K12" s="12">
        <v>333</v>
      </c>
      <c r="L12" s="12">
        <f t="shared" si="2"/>
        <v>-26</v>
      </c>
      <c r="M12" s="12"/>
      <c r="N12" s="12"/>
      <c r="O12" s="12"/>
      <c r="P12" s="12">
        <f t="shared" si="3"/>
        <v>61.4</v>
      </c>
      <c r="Q12" s="4">
        <f t="shared" si="12"/>
        <v>437.6</v>
      </c>
      <c r="R12" s="4">
        <f t="shared" si="7"/>
        <v>420</v>
      </c>
      <c r="S12" s="12">
        <f t="shared" si="4"/>
        <v>13.713355048859935</v>
      </c>
      <c r="T12" s="12">
        <f t="shared" si="5"/>
        <v>6.8729641693811079</v>
      </c>
      <c r="U12" s="12">
        <v>38.4</v>
      </c>
      <c r="V12" s="12">
        <v>33.4</v>
      </c>
      <c r="W12" s="12">
        <v>40.799999999999997</v>
      </c>
      <c r="X12" s="12">
        <v>64.599999999999994</v>
      </c>
      <c r="Y12" s="12">
        <v>24.4</v>
      </c>
      <c r="Z12" s="12">
        <v>72.2</v>
      </c>
      <c r="AA12" s="12">
        <v>74.400000000000006</v>
      </c>
      <c r="AB12" s="12">
        <v>40.4</v>
      </c>
      <c r="AC12" s="12">
        <v>31.8</v>
      </c>
      <c r="AD12" s="12">
        <v>72</v>
      </c>
      <c r="AE12" s="12"/>
      <c r="AF12" s="12">
        <f t="shared" si="8"/>
        <v>122.52800000000002</v>
      </c>
      <c r="AG12" s="6">
        <v>6</v>
      </c>
      <c r="AH12" s="8">
        <f t="shared" si="9"/>
        <v>70</v>
      </c>
      <c r="AI12" s="12">
        <f t="shared" si="10"/>
        <v>117.60000000000001</v>
      </c>
      <c r="AJ12" s="12">
        <v>14</v>
      </c>
      <c r="AK12" s="12">
        <v>140</v>
      </c>
      <c r="AL12" s="8">
        <f t="shared" si="11"/>
        <v>0.5</v>
      </c>
      <c r="AM12" s="12">
        <f t="shared" si="6"/>
        <v>17.192</v>
      </c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x14ac:dyDescent="0.25">
      <c r="A13" s="12" t="s">
        <v>58</v>
      </c>
      <c r="B13" s="12" t="s">
        <v>42</v>
      </c>
      <c r="C13" s="12">
        <v>863</v>
      </c>
      <c r="D13" s="12">
        <v>16</v>
      </c>
      <c r="E13" s="12">
        <v>416</v>
      </c>
      <c r="F13" s="12">
        <v>442</v>
      </c>
      <c r="G13" s="6">
        <v>0.24</v>
      </c>
      <c r="H13" s="12">
        <v>180</v>
      </c>
      <c r="I13" s="12" t="s">
        <v>59</v>
      </c>
      <c r="J13" s="12"/>
      <c r="K13" s="12">
        <v>434</v>
      </c>
      <c r="L13" s="12">
        <f t="shared" si="2"/>
        <v>-18</v>
      </c>
      <c r="M13" s="12"/>
      <c r="N13" s="12"/>
      <c r="O13" s="12"/>
      <c r="P13" s="12">
        <f t="shared" si="3"/>
        <v>83.2</v>
      </c>
      <c r="Q13" s="4">
        <f t="shared" si="12"/>
        <v>722.8</v>
      </c>
      <c r="R13" s="4">
        <f t="shared" si="7"/>
        <v>672</v>
      </c>
      <c r="S13" s="12">
        <f t="shared" si="4"/>
        <v>13.389423076923077</v>
      </c>
      <c r="T13" s="12">
        <f t="shared" si="5"/>
        <v>5.3125</v>
      </c>
      <c r="U13" s="12">
        <v>71.599999999999994</v>
      </c>
      <c r="V13" s="12">
        <v>68.2</v>
      </c>
      <c r="W13" s="12">
        <v>44.6</v>
      </c>
      <c r="X13" s="12">
        <v>89.6</v>
      </c>
      <c r="Y13" s="12">
        <v>80.2</v>
      </c>
      <c r="Z13" s="12">
        <v>85</v>
      </c>
      <c r="AA13" s="12">
        <v>108.4</v>
      </c>
      <c r="AB13" s="12">
        <v>80.400000000000006</v>
      </c>
      <c r="AC13" s="12">
        <v>100.2</v>
      </c>
      <c r="AD13" s="12">
        <v>39</v>
      </c>
      <c r="AE13" s="12"/>
      <c r="AF13" s="12">
        <f t="shared" si="8"/>
        <v>173.47199999999998</v>
      </c>
      <c r="AG13" s="6">
        <v>12</v>
      </c>
      <c r="AH13" s="8">
        <f t="shared" si="9"/>
        <v>56</v>
      </c>
      <c r="AI13" s="12">
        <f t="shared" si="10"/>
        <v>161.28</v>
      </c>
      <c r="AJ13" s="12">
        <v>14</v>
      </c>
      <c r="AK13" s="12">
        <v>70</v>
      </c>
      <c r="AL13" s="8">
        <f t="shared" si="11"/>
        <v>0.8</v>
      </c>
      <c r="AM13" s="12">
        <f t="shared" si="6"/>
        <v>19.968</v>
      </c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x14ac:dyDescent="0.25">
      <c r="A14" s="12" t="s">
        <v>60</v>
      </c>
      <c r="B14" s="12" t="s">
        <v>42</v>
      </c>
      <c r="C14" s="12">
        <v>1062</v>
      </c>
      <c r="D14" s="12">
        <v>23</v>
      </c>
      <c r="E14" s="12">
        <v>493</v>
      </c>
      <c r="F14" s="12">
        <v>568</v>
      </c>
      <c r="G14" s="6">
        <v>0.24</v>
      </c>
      <c r="H14" s="12">
        <v>180</v>
      </c>
      <c r="I14" s="12" t="s">
        <v>61</v>
      </c>
      <c r="J14" s="12"/>
      <c r="K14" s="12">
        <v>513</v>
      </c>
      <c r="L14" s="12">
        <f t="shared" si="2"/>
        <v>-20</v>
      </c>
      <c r="M14" s="12"/>
      <c r="N14" s="12"/>
      <c r="O14" s="12"/>
      <c r="P14" s="12">
        <f t="shared" si="3"/>
        <v>98.6</v>
      </c>
      <c r="Q14" s="4">
        <f t="shared" si="12"/>
        <v>812.39999999999986</v>
      </c>
      <c r="R14" s="4">
        <f t="shared" si="7"/>
        <v>840</v>
      </c>
      <c r="S14" s="12">
        <f t="shared" si="4"/>
        <v>14.279918864097365</v>
      </c>
      <c r="T14" s="12">
        <f t="shared" si="5"/>
        <v>5.760649087221096</v>
      </c>
      <c r="U14" s="12">
        <v>87.6</v>
      </c>
      <c r="V14" s="12">
        <v>74.8</v>
      </c>
      <c r="W14" s="12">
        <v>87.8</v>
      </c>
      <c r="X14" s="12">
        <v>111.8</v>
      </c>
      <c r="Y14" s="12">
        <v>106</v>
      </c>
      <c r="Z14" s="12">
        <v>91.8</v>
      </c>
      <c r="AA14" s="12">
        <v>95.4</v>
      </c>
      <c r="AB14" s="12">
        <v>59.8</v>
      </c>
      <c r="AC14" s="12">
        <v>82.8</v>
      </c>
      <c r="AD14" s="12">
        <v>80.599999999999994</v>
      </c>
      <c r="AE14" s="12"/>
      <c r="AF14" s="12">
        <f t="shared" si="8"/>
        <v>194.97599999999997</v>
      </c>
      <c r="AG14" s="6">
        <v>12</v>
      </c>
      <c r="AH14" s="8">
        <f t="shared" si="9"/>
        <v>70</v>
      </c>
      <c r="AI14" s="12">
        <f t="shared" si="10"/>
        <v>201.6</v>
      </c>
      <c r="AJ14" s="12">
        <v>14</v>
      </c>
      <c r="AK14" s="12">
        <v>70</v>
      </c>
      <c r="AL14" s="8">
        <f t="shared" si="11"/>
        <v>1</v>
      </c>
      <c r="AM14" s="12">
        <f t="shared" si="6"/>
        <v>23.663999999999998</v>
      </c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x14ac:dyDescent="0.25">
      <c r="A15" s="12" t="s">
        <v>62</v>
      </c>
      <c r="B15" s="12" t="s">
        <v>42</v>
      </c>
      <c r="C15" s="12">
        <v>542</v>
      </c>
      <c r="D15" s="12">
        <v>17</v>
      </c>
      <c r="E15" s="12">
        <v>204</v>
      </c>
      <c r="F15" s="12">
        <v>342</v>
      </c>
      <c r="G15" s="6">
        <v>0.24</v>
      </c>
      <c r="H15" s="12">
        <v>180</v>
      </c>
      <c r="I15" s="12" t="s">
        <v>63</v>
      </c>
      <c r="J15" s="12"/>
      <c r="K15" s="12">
        <v>220</v>
      </c>
      <c r="L15" s="12">
        <f t="shared" si="2"/>
        <v>-16</v>
      </c>
      <c r="M15" s="12"/>
      <c r="N15" s="12"/>
      <c r="O15" s="12"/>
      <c r="P15" s="12">
        <f t="shared" si="3"/>
        <v>40.799999999999997</v>
      </c>
      <c r="Q15" s="4">
        <f t="shared" si="12"/>
        <v>229.19999999999993</v>
      </c>
      <c r="R15" s="4">
        <f t="shared" si="7"/>
        <v>168</v>
      </c>
      <c r="S15" s="12">
        <f t="shared" si="4"/>
        <v>12.5</v>
      </c>
      <c r="T15" s="12">
        <f t="shared" si="5"/>
        <v>8.382352941176471</v>
      </c>
      <c r="U15" s="12">
        <v>48</v>
      </c>
      <c r="V15" s="12">
        <v>40.200000000000003</v>
      </c>
      <c r="W15" s="12">
        <v>38</v>
      </c>
      <c r="X15" s="12">
        <v>57.2</v>
      </c>
      <c r="Y15" s="12">
        <v>46.8</v>
      </c>
      <c r="Z15" s="12">
        <v>58</v>
      </c>
      <c r="AA15" s="12">
        <v>68.599999999999994</v>
      </c>
      <c r="AB15" s="12">
        <v>63.2</v>
      </c>
      <c r="AC15" s="12">
        <v>48.6</v>
      </c>
      <c r="AD15" s="12">
        <v>46.6</v>
      </c>
      <c r="AE15" s="12"/>
      <c r="AF15" s="12">
        <f t="shared" si="8"/>
        <v>55.007999999999981</v>
      </c>
      <c r="AG15" s="6">
        <v>12</v>
      </c>
      <c r="AH15" s="8">
        <f t="shared" si="9"/>
        <v>14</v>
      </c>
      <c r="AI15" s="12">
        <f t="shared" si="10"/>
        <v>40.32</v>
      </c>
      <c r="AJ15" s="12">
        <v>14</v>
      </c>
      <c r="AK15" s="12">
        <v>70</v>
      </c>
      <c r="AL15" s="8">
        <f t="shared" si="11"/>
        <v>0.2</v>
      </c>
      <c r="AM15" s="12">
        <f t="shared" si="6"/>
        <v>9.7919999999999998</v>
      </c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x14ac:dyDescent="0.25">
      <c r="A16" s="12" t="s">
        <v>48</v>
      </c>
      <c r="B16" s="12" t="s">
        <v>42</v>
      </c>
      <c r="C16" s="12">
        <v>1471</v>
      </c>
      <c r="D16" s="12">
        <v>33</v>
      </c>
      <c r="E16" s="18">
        <f>415+E8</f>
        <v>437</v>
      </c>
      <c r="F16" s="18">
        <f>1076+F8</f>
        <v>1049</v>
      </c>
      <c r="G16" s="6">
        <v>0.24</v>
      </c>
      <c r="H16" s="12">
        <v>180</v>
      </c>
      <c r="I16" s="12" t="s">
        <v>64</v>
      </c>
      <c r="J16" s="12"/>
      <c r="K16" s="12">
        <v>428</v>
      </c>
      <c r="L16" s="12">
        <f t="shared" si="2"/>
        <v>9</v>
      </c>
      <c r="M16" s="12"/>
      <c r="N16" s="12"/>
      <c r="O16" s="12"/>
      <c r="P16" s="12">
        <f t="shared" si="3"/>
        <v>87.4</v>
      </c>
      <c r="Q16" s="4">
        <f t="shared" si="12"/>
        <v>174.60000000000014</v>
      </c>
      <c r="R16" s="4">
        <f t="shared" si="7"/>
        <v>168</v>
      </c>
      <c r="S16" s="12">
        <f t="shared" si="4"/>
        <v>13.924485125858123</v>
      </c>
      <c r="T16" s="12">
        <f t="shared" si="5"/>
        <v>12.00228832951945</v>
      </c>
      <c r="U16" s="12">
        <v>83.6</v>
      </c>
      <c r="V16" s="12">
        <v>77.8</v>
      </c>
      <c r="W16" s="12">
        <v>58</v>
      </c>
      <c r="X16" s="12">
        <v>130.80000000000001</v>
      </c>
      <c r="Y16" s="12">
        <v>93.4</v>
      </c>
      <c r="Z16" s="12">
        <v>121.8</v>
      </c>
      <c r="AA16" s="12">
        <v>109.8</v>
      </c>
      <c r="AB16" s="12">
        <v>80.2</v>
      </c>
      <c r="AC16" s="12">
        <v>89.2</v>
      </c>
      <c r="AD16" s="12">
        <v>81.599999999999994</v>
      </c>
      <c r="AE16" s="12"/>
      <c r="AF16" s="12">
        <f t="shared" si="8"/>
        <v>41.904000000000032</v>
      </c>
      <c r="AG16" s="6">
        <v>12</v>
      </c>
      <c r="AH16" s="8">
        <f t="shared" si="9"/>
        <v>14</v>
      </c>
      <c r="AI16" s="12">
        <f t="shared" si="10"/>
        <v>40.32</v>
      </c>
      <c r="AJ16" s="12">
        <v>14</v>
      </c>
      <c r="AK16" s="12">
        <v>70</v>
      </c>
      <c r="AL16" s="8">
        <f t="shared" si="11"/>
        <v>0.2</v>
      </c>
      <c r="AM16" s="12">
        <f t="shared" si="6"/>
        <v>20.975999999999999</v>
      </c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x14ac:dyDescent="0.25">
      <c r="A17" s="12" t="s">
        <v>65</v>
      </c>
      <c r="B17" s="12" t="s">
        <v>42</v>
      </c>
      <c r="C17" s="12">
        <v>271</v>
      </c>
      <c r="D17" s="12">
        <v>35</v>
      </c>
      <c r="E17" s="12">
        <v>82</v>
      </c>
      <c r="F17" s="12">
        <v>191</v>
      </c>
      <c r="G17" s="6">
        <v>0.48</v>
      </c>
      <c r="H17" s="12">
        <v>180</v>
      </c>
      <c r="I17" s="12" t="s">
        <v>66</v>
      </c>
      <c r="J17" s="12"/>
      <c r="K17" s="12">
        <v>115</v>
      </c>
      <c r="L17" s="12">
        <f t="shared" si="2"/>
        <v>-33</v>
      </c>
      <c r="M17" s="12"/>
      <c r="N17" s="12"/>
      <c r="O17" s="12"/>
      <c r="P17" s="12">
        <f t="shared" si="3"/>
        <v>16.399999999999999</v>
      </c>
      <c r="Q17" s="4">
        <f>16*P17-F17</f>
        <v>71.399999999999977</v>
      </c>
      <c r="R17" s="4">
        <f t="shared" si="7"/>
        <v>112</v>
      </c>
      <c r="S17" s="12">
        <f t="shared" si="4"/>
        <v>18.475609756097562</v>
      </c>
      <c r="T17" s="12">
        <f t="shared" si="5"/>
        <v>11.646341463414634</v>
      </c>
      <c r="U17" s="12">
        <v>14.2</v>
      </c>
      <c r="V17" s="12">
        <v>15.4</v>
      </c>
      <c r="W17" s="12">
        <v>12</v>
      </c>
      <c r="X17" s="12">
        <v>31</v>
      </c>
      <c r="Y17" s="12">
        <v>24.4</v>
      </c>
      <c r="Z17" s="12">
        <v>22.4</v>
      </c>
      <c r="AA17" s="12">
        <v>25.8</v>
      </c>
      <c r="AB17" s="12">
        <v>26.8</v>
      </c>
      <c r="AC17" s="12">
        <v>0.6</v>
      </c>
      <c r="AD17" s="12">
        <v>3.8</v>
      </c>
      <c r="AE17" s="12"/>
      <c r="AF17" s="12">
        <f t="shared" si="8"/>
        <v>34.271999999999991</v>
      </c>
      <c r="AG17" s="6">
        <v>8</v>
      </c>
      <c r="AH17" s="8">
        <f t="shared" si="9"/>
        <v>14</v>
      </c>
      <c r="AI17" s="12">
        <f t="shared" si="10"/>
        <v>53.76</v>
      </c>
      <c r="AJ17" s="12">
        <v>14</v>
      </c>
      <c r="AK17" s="12">
        <v>70</v>
      </c>
      <c r="AL17" s="8">
        <f t="shared" si="11"/>
        <v>0.2</v>
      </c>
      <c r="AM17" s="12">
        <f t="shared" si="6"/>
        <v>7.871999999999999</v>
      </c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x14ac:dyDescent="0.25">
      <c r="A18" s="12" t="s">
        <v>67</v>
      </c>
      <c r="B18" s="12" t="s">
        <v>42</v>
      </c>
      <c r="C18" s="12">
        <v>506</v>
      </c>
      <c r="D18" s="12">
        <v>24</v>
      </c>
      <c r="E18" s="12">
        <v>185</v>
      </c>
      <c r="F18" s="12">
        <v>321</v>
      </c>
      <c r="G18" s="6">
        <v>0.09</v>
      </c>
      <c r="H18" s="12">
        <v>180</v>
      </c>
      <c r="I18" s="12" t="s">
        <v>68</v>
      </c>
      <c r="J18" s="12"/>
      <c r="K18" s="12">
        <v>205</v>
      </c>
      <c r="L18" s="12">
        <f t="shared" si="2"/>
        <v>-20</v>
      </c>
      <c r="M18" s="12"/>
      <c r="N18" s="12"/>
      <c r="O18" s="12"/>
      <c r="P18" s="12">
        <f t="shared" si="3"/>
        <v>37</v>
      </c>
      <c r="Q18" s="4">
        <f t="shared" si="12"/>
        <v>197</v>
      </c>
      <c r="R18" s="4">
        <f t="shared" si="7"/>
        <v>336</v>
      </c>
      <c r="S18" s="12">
        <f t="shared" si="4"/>
        <v>17.756756756756758</v>
      </c>
      <c r="T18" s="12">
        <f t="shared" si="5"/>
        <v>8.6756756756756754</v>
      </c>
      <c r="U18" s="12">
        <v>32.799999999999997</v>
      </c>
      <c r="V18" s="12">
        <v>23.2</v>
      </c>
      <c r="W18" s="12">
        <v>27.4</v>
      </c>
      <c r="X18" s="12">
        <v>37.799999999999997</v>
      </c>
      <c r="Y18" s="12">
        <v>17.399999999999999</v>
      </c>
      <c r="Z18" s="12">
        <v>39.4</v>
      </c>
      <c r="AA18" s="12">
        <v>42</v>
      </c>
      <c r="AB18" s="12">
        <v>27.8</v>
      </c>
      <c r="AC18" s="12">
        <v>0</v>
      </c>
      <c r="AD18" s="12">
        <v>0</v>
      </c>
      <c r="AE18" s="12"/>
      <c r="AF18" s="12">
        <f t="shared" si="8"/>
        <v>17.73</v>
      </c>
      <c r="AG18" s="6">
        <v>24</v>
      </c>
      <c r="AH18" s="8">
        <f t="shared" si="9"/>
        <v>14</v>
      </c>
      <c r="AI18" s="12">
        <f t="shared" si="10"/>
        <v>30.24</v>
      </c>
      <c r="AJ18" s="12">
        <v>14</v>
      </c>
      <c r="AK18" s="12">
        <v>126</v>
      </c>
      <c r="AL18" s="8">
        <f t="shared" si="11"/>
        <v>0.1111111111111111</v>
      </c>
      <c r="AM18" s="12">
        <f t="shared" si="6"/>
        <v>3.33</v>
      </c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x14ac:dyDescent="0.25">
      <c r="A19" s="12" t="s">
        <v>69</v>
      </c>
      <c r="B19" s="12" t="s">
        <v>42</v>
      </c>
      <c r="C19" s="12">
        <v>322</v>
      </c>
      <c r="D19" s="12">
        <v>6</v>
      </c>
      <c r="E19" s="12">
        <v>92</v>
      </c>
      <c r="F19" s="12">
        <v>231</v>
      </c>
      <c r="G19" s="6">
        <v>0.36</v>
      </c>
      <c r="H19" s="12">
        <v>180</v>
      </c>
      <c r="I19" s="12" t="s">
        <v>70</v>
      </c>
      <c r="J19" s="12"/>
      <c r="K19" s="12">
        <v>92</v>
      </c>
      <c r="L19" s="12">
        <f t="shared" si="2"/>
        <v>0</v>
      </c>
      <c r="M19" s="12"/>
      <c r="N19" s="12"/>
      <c r="O19" s="12"/>
      <c r="P19" s="12">
        <f t="shared" si="3"/>
        <v>18.399999999999999</v>
      </c>
      <c r="Q19" s="4">
        <f>17*P19-F19</f>
        <v>81.799999999999955</v>
      </c>
      <c r="R19" s="4">
        <f t="shared" si="7"/>
        <v>140</v>
      </c>
      <c r="S19" s="12">
        <f t="shared" si="4"/>
        <v>20.163043478260871</v>
      </c>
      <c r="T19" s="12">
        <f t="shared" si="5"/>
        <v>12.554347826086957</v>
      </c>
      <c r="U19" s="12">
        <v>9.8000000000000007</v>
      </c>
      <c r="V19" s="12">
        <v>12</v>
      </c>
      <c r="W19" s="12">
        <v>18.399999999999999</v>
      </c>
      <c r="X19" s="12">
        <v>32</v>
      </c>
      <c r="Y19" s="12">
        <v>27.2</v>
      </c>
      <c r="Z19" s="12">
        <v>15.8</v>
      </c>
      <c r="AA19" s="12">
        <v>12</v>
      </c>
      <c r="AB19" s="12">
        <v>20.8</v>
      </c>
      <c r="AC19" s="12">
        <v>45</v>
      </c>
      <c r="AD19" s="12">
        <v>17.2</v>
      </c>
      <c r="AE19" s="12"/>
      <c r="AF19" s="12">
        <f t="shared" si="8"/>
        <v>29.447999999999983</v>
      </c>
      <c r="AG19" s="6">
        <v>10</v>
      </c>
      <c r="AH19" s="8">
        <f t="shared" si="9"/>
        <v>14</v>
      </c>
      <c r="AI19" s="12">
        <f t="shared" si="10"/>
        <v>50.4</v>
      </c>
      <c r="AJ19" s="12">
        <v>14</v>
      </c>
      <c r="AK19" s="12">
        <v>70</v>
      </c>
      <c r="AL19" s="8">
        <f t="shared" si="11"/>
        <v>0.2</v>
      </c>
      <c r="AM19" s="12">
        <f t="shared" si="6"/>
        <v>6.6239999999999997</v>
      </c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x14ac:dyDescent="0.25">
      <c r="A20" s="13" t="s">
        <v>71</v>
      </c>
      <c r="B20" s="13" t="s">
        <v>42</v>
      </c>
      <c r="C20" s="13">
        <v>56</v>
      </c>
      <c r="D20" s="13"/>
      <c r="E20" s="13"/>
      <c r="F20" s="13">
        <v>56</v>
      </c>
      <c r="G20" s="14">
        <v>0</v>
      </c>
      <c r="H20" s="13"/>
      <c r="I20" s="13" t="s">
        <v>72</v>
      </c>
      <c r="J20" s="13"/>
      <c r="K20" s="13"/>
      <c r="L20" s="13">
        <f t="shared" si="2"/>
        <v>0</v>
      </c>
      <c r="M20" s="13"/>
      <c r="N20" s="13"/>
      <c r="O20" s="13"/>
      <c r="P20" s="13">
        <f t="shared" si="3"/>
        <v>0</v>
      </c>
      <c r="Q20" s="15"/>
      <c r="R20" s="15"/>
      <c r="S20" s="13" t="e">
        <f t="shared" si="4"/>
        <v>#DIV/0!</v>
      </c>
      <c r="T20" s="13" t="e">
        <f t="shared" si="5"/>
        <v>#DIV/0!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7" t="s">
        <v>73</v>
      </c>
      <c r="AF20" s="13"/>
      <c r="AG20" s="14"/>
      <c r="AH20" s="16"/>
      <c r="AI20" s="13"/>
      <c r="AJ20" s="13"/>
      <c r="AK20" s="13"/>
      <c r="AL20" s="16"/>
      <c r="AM20" s="12">
        <f t="shared" si="6"/>
        <v>0</v>
      </c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x14ac:dyDescent="0.25">
      <c r="A21" s="12" t="s">
        <v>74</v>
      </c>
      <c r="B21" s="12" t="s">
        <v>42</v>
      </c>
      <c r="C21" s="12">
        <v>177</v>
      </c>
      <c r="D21" s="12">
        <v>12</v>
      </c>
      <c r="E21" s="12">
        <v>37</v>
      </c>
      <c r="F21" s="12">
        <v>140</v>
      </c>
      <c r="G21" s="6">
        <v>0.2</v>
      </c>
      <c r="H21" s="12">
        <v>180</v>
      </c>
      <c r="I21" s="12" t="s">
        <v>75</v>
      </c>
      <c r="J21" s="12"/>
      <c r="K21" s="12">
        <v>49</v>
      </c>
      <c r="L21" s="12">
        <f t="shared" si="2"/>
        <v>-12</v>
      </c>
      <c r="M21" s="12"/>
      <c r="N21" s="12"/>
      <c r="O21" s="12"/>
      <c r="P21" s="12">
        <f t="shared" si="3"/>
        <v>7.4</v>
      </c>
      <c r="Q21" s="4"/>
      <c r="R21" s="4">
        <f>AG21*AH21</f>
        <v>0</v>
      </c>
      <c r="S21" s="12">
        <f t="shared" si="4"/>
        <v>18.918918918918919</v>
      </c>
      <c r="T21" s="12">
        <f t="shared" si="5"/>
        <v>18.918918918918919</v>
      </c>
      <c r="U21" s="12">
        <v>4.8</v>
      </c>
      <c r="V21" s="12">
        <v>7</v>
      </c>
      <c r="W21" s="12">
        <v>2.2000000000000002</v>
      </c>
      <c r="X21" s="12">
        <v>10.199999999999999</v>
      </c>
      <c r="Y21" s="12">
        <v>15.2</v>
      </c>
      <c r="Z21" s="12">
        <v>12.2</v>
      </c>
      <c r="AA21" s="12">
        <v>20.8</v>
      </c>
      <c r="AB21" s="12">
        <v>20.6</v>
      </c>
      <c r="AC21" s="12">
        <v>0</v>
      </c>
      <c r="AD21" s="12">
        <v>1.6</v>
      </c>
      <c r="AE21" s="19" t="s">
        <v>174</v>
      </c>
      <c r="AF21" s="12">
        <f>G21*Q21</f>
        <v>0</v>
      </c>
      <c r="AG21" s="6">
        <v>12</v>
      </c>
      <c r="AH21" s="8">
        <f>MROUND(Q21, AG21*AJ21)/AG21</f>
        <v>0</v>
      </c>
      <c r="AI21" s="12">
        <f>AH21*AG21*G21</f>
        <v>0</v>
      </c>
      <c r="AJ21" s="12">
        <v>14</v>
      </c>
      <c r="AK21" s="12">
        <v>70</v>
      </c>
      <c r="AL21" s="8">
        <f>AH21/AK21</f>
        <v>0</v>
      </c>
      <c r="AM21" s="12">
        <f t="shared" si="6"/>
        <v>1.4800000000000002</v>
      </c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x14ac:dyDescent="0.25">
      <c r="A22" s="13" t="s">
        <v>77</v>
      </c>
      <c r="B22" s="13" t="s">
        <v>42</v>
      </c>
      <c r="C22" s="13">
        <v>836</v>
      </c>
      <c r="D22" s="13"/>
      <c r="E22" s="13"/>
      <c r="F22" s="18">
        <v>836</v>
      </c>
      <c r="G22" s="14">
        <v>0</v>
      </c>
      <c r="H22" s="13"/>
      <c r="I22" s="13" t="s">
        <v>78</v>
      </c>
      <c r="J22" s="13" t="s">
        <v>79</v>
      </c>
      <c r="K22" s="13"/>
      <c r="L22" s="13">
        <f t="shared" si="2"/>
        <v>0</v>
      </c>
      <c r="M22" s="13"/>
      <c r="N22" s="13"/>
      <c r="O22" s="13"/>
      <c r="P22" s="13">
        <f t="shared" si="3"/>
        <v>0</v>
      </c>
      <c r="Q22" s="15"/>
      <c r="R22" s="15"/>
      <c r="S22" s="13" t="e">
        <f t="shared" si="4"/>
        <v>#DIV/0!</v>
      </c>
      <c r="T22" s="13" t="e">
        <f t="shared" si="5"/>
        <v>#DIV/0!</v>
      </c>
      <c r="U22" s="13">
        <v>0.8</v>
      </c>
      <c r="V22" s="13">
        <v>0.8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/>
      <c r="AF22" s="13"/>
      <c r="AG22" s="14"/>
      <c r="AH22" s="16"/>
      <c r="AI22" s="13"/>
      <c r="AJ22" s="13"/>
      <c r="AK22" s="13"/>
      <c r="AL22" s="16"/>
      <c r="AM22" s="12">
        <f t="shared" si="6"/>
        <v>0</v>
      </c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x14ac:dyDescent="0.25">
      <c r="A23" s="12" t="s">
        <v>79</v>
      </c>
      <c r="B23" s="12" t="s">
        <v>42</v>
      </c>
      <c r="C23" s="12">
        <v>28</v>
      </c>
      <c r="D23" s="12">
        <v>28</v>
      </c>
      <c r="E23" s="12">
        <v>260</v>
      </c>
      <c r="F23" s="18">
        <f>-209+F22</f>
        <v>627</v>
      </c>
      <c r="G23" s="6">
        <v>0.2</v>
      </c>
      <c r="H23" s="12">
        <v>180</v>
      </c>
      <c r="I23" s="12" t="s">
        <v>80</v>
      </c>
      <c r="J23" s="12"/>
      <c r="K23" s="12">
        <v>265</v>
      </c>
      <c r="L23" s="12">
        <f t="shared" si="2"/>
        <v>-5</v>
      </c>
      <c r="M23" s="12"/>
      <c r="N23" s="12"/>
      <c r="O23" s="12"/>
      <c r="P23" s="12">
        <f t="shared" si="3"/>
        <v>52</v>
      </c>
      <c r="Q23" s="4">
        <f t="shared" ref="Q23:Q69" si="13">14*P23-F23</f>
        <v>101</v>
      </c>
      <c r="R23" s="4">
        <f t="shared" ref="R23:R69" si="14">AG23*AH23</f>
        <v>168</v>
      </c>
      <c r="S23" s="12">
        <f t="shared" si="4"/>
        <v>15.288461538461538</v>
      </c>
      <c r="T23" s="12">
        <f t="shared" si="5"/>
        <v>12.057692307692308</v>
      </c>
      <c r="U23" s="12">
        <v>53.2</v>
      </c>
      <c r="V23" s="12">
        <v>43.6</v>
      </c>
      <c r="W23" s="12">
        <v>46.4</v>
      </c>
      <c r="X23" s="12">
        <v>74.8</v>
      </c>
      <c r="Y23" s="12">
        <v>46.6</v>
      </c>
      <c r="Z23" s="12">
        <v>71.2</v>
      </c>
      <c r="AA23" s="12">
        <v>55.6</v>
      </c>
      <c r="AB23" s="12">
        <v>33.6</v>
      </c>
      <c r="AC23" s="12">
        <v>79.8</v>
      </c>
      <c r="AD23" s="12">
        <v>28.6</v>
      </c>
      <c r="AE23" s="12"/>
      <c r="AF23" s="12">
        <f t="shared" ref="AF23:AF69" si="15">G23*Q23</f>
        <v>20.200000000000003</v>
      </c>
      <c r="AG23" s="6">
        <v>12</v>
      </c>
      <c r="AH23" s="8">
        <f t="shared" ref="AH23:AH69" si="16">MROUND(Q23, AG23*AJ23)/AG23</f>
        <v>14</v>
      </c>
      <c r="AI23" s="12">
        <f t="shared" ref="AI23:AI69" si="17">AH23*AG23*G23</f>
        <v>33.6</v>
      </c>
      <c r="AJ23" s="12">
        <v>14</v>
      </c>
      <c r="AK23" s="12">
        <v>70</v>
      </c>
      <c r="AL23" s="8">
        <f t="shared" ref="AL23:AL69" si="18">AH23/AK23</f>
        <v>0.2</v>
      </c>
      <c r="AM23" s="12">
        <f t="shared" si="6"/>
        <v>10.4</v>
      </c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x14ac:dyDescent="0.25">
      <c r="A24" s="12" t="s">
        <v>81</v>
      </c>
      <c r="B24" s="12" t="s">
        <v>42</v>
      </c>
      <c r="C24" s="12">
        <v>399</v>
      </c>
      <c r="D24" s="12">
        <v>55</v>
      </c>
      <c r="E24" s="12">
        <v>153</v>
      </c>
      <c r="F24" s="12">
        <v>262</v>
      </c>
      <c r="G24" s="6">
        <v>0.2</v>
      </c>
      <c r="H24" s="12">
        <v>180</v>
      </c>
      <c r="I24" s="12" t="s">
        <v>82</v>
      </c>
      <c r="J24" s="12"/>
      <c r="K24" s="12">
        <v>190</v>
      </c>
      <c r="L24" s="12">
        <f t="shared" si="2"/>
        <v>-37</v>
      </c>
      <c r="M24" s="12"/>
      <c r="N24" s="12"/>
      <c r="O24" s="12"/>
      <c r="P24" s="12">
        <f t="shared" si="3"/>
        <v>30.6</v>
      </c>
      <c r="Q24" s="4">
        <f t="shared" si="13"/>
        <v>166.40000000000003</v>
      </c>
      <c r="R24" s="4">
        <f t="shared" si="14"/>
        <v>168</v>
      </c>
      <c r="S24" s="12">
        <f t="shared" si="4"/>
        <v>14.052287581699346</v>
      </c>
      <c r="T24" s="12">
        <f t="shared" si="5"/>
        <v>8.5620915032679736</v>
      </c>
      <c r="U24" s="12">
        <v>42.2</v>
      </c>
      <c r="V24" s="12">
        <v>38.799999999999997</v>
      </c>
      <c r="W24" s="12">
        <v>17.399999999999999</v>
      </c>
      <c r="X24" s="12">
        <v>40.4</v>
      </c>
      <c r="Y24" s="12">
        <v>37.799999999999997</v>
      </c>
      <c r="Z24" s="12">
        <v>49.4</v>
      </c>
      <c r="AA24" s="12">
        <v>54.8</v>
      </c>
      <c r="AB24" s="12">
        <v>36.799999999999997</v>
      </c>
      <c r="AC24" s="12">
        <v>41.2</v>
      </c>
      <c r="AD24" s="12">
        <v>26</v>
      </c>
      <c r="AE24" s="12"/>
      <c r="AF24" s="12">
        <f t="shared" si="15"/>
        <v>33.280000000000008</v>
      </c>
      <c r="AG24" s="6">
        <v>12</v>
      </c>
      <c r="AH24" s="8">
        <f t="shared" si="16"/>
        <v>14</v>
      </c>
      <c r="AI24" s="12">
        <f t="shared" si="17"/>
        <v>33.6</v>
      </c>
      <c r="AJ24" s="12">
        <v>14</v>
      </c>
      <c r="AK24" s="12">
        <v>70</v>
      </c>
      <c r="AL24" s="8">
        <f t="shared" si="18"/>
        <v>0.2</v>
      </c>
      <c r="AM24" s="12">
        <f t="shared" si="6"/>
        <v>6.120000000000001</v>
      </c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x14ac:dyDescent="0.25">
      <c r="A25" s="12" t="s">
        <v>83</v>
      </c>
      <c r="B25" s="12" t="s">
        <v>50</v>
      </c>
      <c r="C25" s="12">
        <v>235</v>
      </c>
      <c r="D25" s="12"/>
      <c r="E25" s="12">
        <v>60</v>
      </c>
      <c r="F25" s="12">
        <v>170</v>
      </c>
      <c r="G25" s="6">
        <v>1</v>
      </c>
      <c r="H25" s="12">
        <v>180</v>
      </c>
      <c r="I25" s="12" t="s">
        <v>84</v>
      </c>
      <c r="J25" s="12"/>
      <c r="K25" s="12">
        <v>60</v>
      </c>
      <c r="L25" s="12">
        <f t="shared" si="2"/>
        <v>0</v>
      </c>
      <c r="M25" s="12"/>
      <c r="N25" s="12"/>
      <c r="O25" s="12"/>
      <c r="P25" s="12">
        <f t="shared" si="3"/>
        <v>12</v>
      </c>
      <c r="Q25" s="4"/>
      <c r="R25" s="4">
        <f t="shared" si="14"/>
        <v>0</v>
      </c>
      <c r="S25" s="12">
        <f t="shared" si="4"/>
        <v>14.166666666666666</v>
      </c>
      <c r="T25" s="12">
        <f t="shared" si="5"/>
        <v>14.166666666666666</v>
      </c>
      <c r="U25" s="12">
        <v>7</v>
      </c>
      <c r="V25" s="12">
        <v>6</v>
      </c>
      <c r="W25" s="12">
        <v>5</v>
      </c>
      <c r="X25" s="12">
        <v>25</v>
      </c>
      <c r="Y25" s="12">
        <v>0</v>
      </c>
      <c r="Z25" s="12">
        <v>5</v>
      </c>
      <c r="AA25" s="12">
        <v>13</v>
      </c>
      <c r="AB25" s="12">
        <v>8</v>
      </c>
      <c r="AC25" s="12">
        <v>0</v>
      </c>
      <c r="AD25" s="12">
        <v>0</v>
      </c>
      <c r="AE25" s="12"/>
      <c r="AF25" s="12">
        <f t="shared" si="15"/>
        <v>0</v>
      </c>
      <c r="AG25" s="6">
        <v>5</v>
      </c>
      <c r="AH25" s="8">
        <f t="shared" si="16"/>
        <v>0</v>
      </c>
      <c r="AI25" s="12">
        <f t="shared" si="17"/>
        <v>0</v>
      </c>
      <c r="AJ25" s="12">
        <v>12</v>
      </c>
      <c r="AK25" s="12">
        <v>84</v>
      </c>
      <c r="AL25" s="8">
        <f t="shared" si="18"/>
        <v>0</v>
      </c>
      <c r="AM25" s="12">
        <f t="shared" si="6"/>
        <v>12</v>
      </c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5">
      <c r="A26" s="12" t="s">
        <v>85</v>
      </c>
      <c r="B26" s="12" t="s">
        <v>50</v>
      </c>
      <c r="C26" s="12">
        <v>156</v>
      </c>
      <c r="D26" s="12"/>
      <c r="E26" s="12">
        <v>30</v>
      </c>
      <c r="F26" s="12">
        <v>120</v>
      </c>
      <c r="G26" s="6">
        <v>1</v>
      </c>
      <c r="H26" s="12">
        <v>180</v>
      </c>
      <c r="I26" s="12" t="s">
        <v>86</v>
      </c>
      <c r="J26" s="12"/>
      <c r="K26" s="12">
        <v>30.6</v>
      </c>
      <c r="L26" s="12">
        <f t="shared" si="2"/>
        <v>-0.60000000000000142</v>
      </c>
      <c r="M26" s="12"/>
      <c r="N26" s="12"/>
      <c r="O26" s="12"/>
      <c r="P26" s="12">
        <f t="shared" si="3"/>
        <v>6</v>
      </c>
      <c r="Q26" s="4"/>
      <c r="R26" s="4">
        <f t="shared" si="14"/>
        <v>0</v>
      </c>
      <c r="S26" s="12">
        <f t="shared" si="4"/>
        <v>20</v>
      </c>
      <c r="T26" s="12">
        <f t="shared" si="5"/>
        <v>20</v>
      </c>
      <c r="U26" s="12">
        <v>6</v>
      </c>
      <c r="V26" s="12">
        <v>4.2</v>
      </c>
      <c r="W26" s="12">
        <v>4.2</v>
      </c>
      <c r="X26" s="12">
        <v>14.6</v>
      </c>
      <c r="Y26" s="12">
        <v>16.8</v>
      </c>
      <c r="Z26" s="12">
        <v>16.2</v>
      </c>
      <c r="AA26" s="12">
        <v>15.6</v>
      </c>
      <c r="AB26" s="12">
        <v>11.4</v>
      </c>
      <c r="AC26" s="12">
        <v>8.4</v>
      </c>
      <c r="AD26" s="12">
        <v>14.4</v>
      </c>
      <c r="AE26" s="19" t="s">
        <v>174</v>
      </c>
      <c r="AF26" s="12">
        <f t="shared" si="15"/>
        <v>0</v>
      </c>
      <c r="AG26" s="6">
        <v>3</v>
      </c>
      <c r="AH26" s="8">
        <f t="shared" si="16"/>
        <v>0</v>
      </c>
      <c r="AI26" s="12">
        <f t="shared" si="17"/>
        <v>0</v>
      </c>
      <c r="AJ26" s="12">
        <v>14</v>
      </c>
      <c r="AK26" s="12">
        <v>126</v>
      </c>
      <c r="AL26" s="8">
        <f t="shared" si="18"/>
        <v>0</v>
      </c>
      <c r="AM26" s="12">
        <f t="shared" si="6"/>
        <v>6</v>
      </c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x14ac:dyDescent="0.25">
      <c r="A27" s="12" t="s">
        <v>87</v>
      </c>
      <c r="B27" s="12" t="s">
        <v>42</v>
      </c>
      <c r="C27" s="12">
        <v>1232</v>
      </c>
      <c r="D27" s="12">
        <v>50</v>
      </c>
      <c r="E27" s="12">
        <v>596</v>
      </c>
      <c r="F27" s="12">
        <v>642</v>
      </c>
      <c r="G27" s="6">
        <v>0.25</v>
      </c>
      <c r="H27" s="12">
        <v>365</v>
      </c>
      <c r="I27" s="12" t="s">
        <v>88</v>
      </c>
      <c r="J27" s="12"/>
      <c r="K27" s="12">
        <v>640</v>
      </c>
      <c r="L27" s="12">
        <f t="shared" si="2"/>
        <v>-44</v>
      </c>
      <c r="M27" s="12"/>
      <c r="N27" s="12"/>
      <c r="O27" s="12"/>
      <c r="P27" s="12">
        <f t="shared" si="3"/>
        <v>119.2</v>
      </c>
      <c r="Q27" s="4">
        <f t="shared" si="13"/>
        <v>1026.8</v>
      </c>
      <c r="R27" s="4">
        <f t="shared" si="14"/>
        <v>1008</v>
      </c>
      <c r="S27" s="12">
        <f t="shared" si="4"/>
        <v>13.84228187919463</v>
      </c>
      <c r="T27" s="12">
        <f t="shared" si="5"/>
        <v>5.3859060402684564</v>
      </c>
      <c r="U27" s="12">
        <v>90.6</v>
      </c>
      <c r="V27" s="12">
        <v>78</v>
      </c>
      <c r="W27" s="12">
        <v>77.2</v>
      </c>
      <c r="X27" s="12">
        <v>116.2</v>
      </c>
      <c r="Y27" s="12">
        <v>94.8</v>
      </c>
      <c r="Z27" s="12">
        <v>115.8</v>
      </c>
      <c r="AA27" s="12">
        <v>107</v>
      </c>
      <c r="AB27" s="12">
        <v>87.4</v>
      </c>
      <c r="AC27" s="12">
        <v>51.4</v>
      </c>
      <c r="AD27" s="12">
        <v>75</v>
      </c>
      <c r="AE27" s="12"/>
      <c r="AF27" s="12">
        <f t="shared" si="15"/>
        <v>256.7</v>
      </c>
      <c r="AG27" s="6">
        <v>6</v>
      </c>
      <c r="AH27" s="8">
        <f t="shared" si="16"/>
        <v>168</v>
      </c>
      <c r="AI27" s="12">
        <f t="shared" si="17"/>
        <v>252</v>
      </c>
      <c r="AJ27" s="12">
        <v>14</v>
      </c>
      <c r="AK27" s="12">
        <v>140</v>
      </c>
      <c r="AL27" s="8">
        <f t="shared" si="18"/>
        <v>1.2</v>
      </c>
      <c r="AM27" s="12">
        <f t="shared" si="6"/>
        <v>29.8</v>
      </c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x14ac:dyDescent="0.25">
      <c r="A28" s="12" t="s">
        <v>89</v>
      </c>
      <c r="B28" s="12" t="s">
        <v>42</v>
      </c>
      <c r="C28" s="12">
        <v>254</v>
      </c>
      <c r="D28" s="12">
        <v>30</v>
      </c>
      <c r="E28" s="12">
        <v>255</v>
      </c>
      <c r="F28" s="12">
        <v>9</v>
      </c>
      <c r="G28" s="6">
        <v>0.25</v>
      </c>
      <c r="H28" s="12">
        <v>365</v>
      </c>
      <c r="I28" s="12" t="s">
        <v>90</v>
      </c>
      <c r="J28" s="12"/>
      <c r="K28" s="12">
        <v>315</v>
      </c>
      <c r="L28" s="12">
        <f t="shared" si="2"/>
        <v>-60</v>
      </c>
      <c r="M28" s="12"/>
      <c r="N28" s="12"/>
      <c r="O28" s="12"/>
      <c r="P28" s="12">
        <f t="shared" si="3"/>
        <v>51</v>
      </c>
      <c r="Q28" s="4">
        <f>10*P28-F28</f>
        <v>501</v>
      </c>
      <c r="R28" s="4">
        <f t="shared" si="14"/>
        <v>504</v>
      </c>
      <c r="S28" s="12">
        <f t="shared" si="4"/>
        <v>10.058823529411764</v>
      </c>
      <c r="T28" s="12">
        <f t="shared" si="5"/>
        <v>0.17647058823529413</v>
      </c>
      <c r="U28" s="12">
        <v>61.4</v>
      </c>
      <c r="V28" s="12">
        <v>45.2</v>
      </c>
      <c r="W28" s="12">
        <v>29.2</v>
      </c>
      <c r="X28" s="12">
        <v>47.2</v>
      </c>
      <c r="Y28" s="12">
        <v>54.4</v>
      </c>
      <c r="Z28" s="12">
        <v>26.6</v>
      </c>
      <c r="AA28" s="12">
        <v>18.8</v>
      </c>
      <c r="AB28" s="12">
        <v>15</v>
      </c>
      <c r="AC28" s="12">
        <v>41.4</v>
      </c>
      <c r="AD28" s="12">
        <v>14.4</v>
      </c>
      <c r="AE28" s="12"/>
      <c r="AF28" s="12">
        <f t="shared" si="15"/>
        <v>125.25</v>
      </c>
      <c r="AG28" s="6">
        <v>6</v>
      </c>
      <c r="AH28" s="8">
        <f t="shared" si="16"/>
        <v>84</v>
      </c>
      <c r="AI28" s="12">
        <f t="shared" si="17"/>
        <v>126</v>
      </c>
      <c r="AJ28" s="12">
        <v>14</v>
      </c>
      <c r="AK28" s="12">
        <v>140</v>
      </c>
      <c r="AL28" s="8">
        <f t="shared" si="18"/>
        <v>0.6</v>
      </c>
      <c r="AM28" s="12">
        <f t="shared" si="6"/>
        <v>12.75</v>
      </c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x14ac:dyDescent="0.25">
      <c r="A29" s="12" t="s">
        <v>91</v>
      </c>
      <c r="B29" s="12" t="s">
        <v>50</v>
      </c>
      <c r="C29" s="12">
        <v>444</v>
      </c>
      <c r="D29" s="12">
        <v>6</v>
      </c>
      <c r="E29" s="12">
        <v>66</v>
      </c>
      <c r="F29" s="12">
        <v>372</v>
      </c>
      <c r="G29" s="6">
        <v>1</v>
      </c>
      <c r="H29" s="12">
        <v>180</v>
      </c>
      <c r="I29" s="12" t="s">
        <v>92</v>
      </c>
      <c r="J29" s="12"/>
      <c r="K29" s="12">
        <v>70</v>
      </c>
      <c r="L29" s="12">
        <f t="shared" si="2"/>
        <v>-4</v>
      </c>
      <c r="M29" s="12"/>
      <c r="N29" s="12"/>
      <c r="O29" s="12"/>
      <c r="P29" s="12">
        <f t="shared" si="3"/>
        <v>13.2</v>
      </c>
      <c r="Q29" s="4"/>
      <c r="R29" s="4">
        <f t="shared" si="14"/>
        <v>0</v>
      </c>
      <c r="S29" s="12">
        <f t="shared" si="4"/>
        <v>28.181818181818183</v>
      </c>
      <c r="T29" s="12">
        <f t="shared" si="5"/>
        <v>28.181818181818183</v>
      </c>
      <c r="U29" s="12">
        <v>8.4</v>
      </c>
      <c r="V29" s="12">
        <v>6</v>
      </c>
      <c r="W29" s="12">
        <v>7.2</v>
      </c>
      <c r="X29" s="12">
        <v>21.6</v>
      </c>
      <c r="Y29" s="12">
        <v>30</v>
      </c>
      <c r="Z29" s="12">
        <v>48</v>
      </c>
      <c r="AA29" s="12">
        <v>58.8</v>
      </c>
      <c r="AB29" s="12">
        <v>25.2</v>
      </c>
      <c r="AC29" s="12">
        <v>0</v>
      </c>
      <c r="AD29" s="12">
        <v>0</v>
      </c>
      <c r="AE29" s="17" t="s">
        <v>76</v>
      </c>
      <c r="AF29" s="12">
        <f t="shared" si="15"/>
        <v>0</v>
      </c>
      <c r="AG29" s="6">
        <v>6</v>
      </c>
      <c r="AH29" s="8">
        <f t="shared" si="16"/>
        <v>0</v>
      </c>
      <c r="AI29" s="12">
        <f t="shared" si="17"/>
        <v>0</v>
      </c>
      <c r="AJ29" s="12">
        <v>12</v>
      </c>
      <c r="AK29" s="12">
        <v>84</v>
      </c>
      <c r="AL29" s="8">
        <f t="shared" si="18"/>
        <v>0</v>
      </c>
      <c r="AM29" s="12">
        <f t="shared" si="6"/>
        <v>13.2</v>
      </c>
      <c r="AN29" s="12"/>
      <c r="AO29" s="12"/>
      <c r="AP29" s="12"/>
      <c r="AQ29" s="12"/>
      <c r="AR29" s="12"/>
      <c r="AS29" s="12"/>
      <c r="AT29" s="12"/>
      <c r="AU29" s="12"/>
      <c r="AV29" s="12"/>
    </row>
    <row r="30" spans="1:48" x14ac:dyDescent="0.25">
      <c r="A30" s="12" t="s">
        <v>93</v>
      </c>
      <c r="B30" s="12" t="s">
        <v>42</v>
      </c>
      <c r="C30" s="12">
        <v>386</v>
      </c>
      <c r="D30" s="12">
        <v>6</v>
      </c>
      <c r="E30" s="12">
        <v>43</v>
      </c>
      <c r="F30" s="12">
        <v>348</v>
      </c>
      <c r="G30" s="6">
        <v>0.23</v>
      </c>
      <c r="H30" s="12">
        <v>180</v>
      </c>
      <c r="I30" s="12" t="s">
        <v>94</v>
      </c>
      <c r="J30" s="12"/>
      <c r="K30" s="12">
        <v>44</v>
      </c>
      <c r="L30" s="12">
        <f t="shared" si="2"/>
        <v>-1</v>
      </c>
      <c r="M30" s="12"/>
      <c r="N30" s="12"/>
      <c r="O30" s="12"/>
      <c r="P30" s="12">
        <f t="shared" si="3"/>
        <v>8.6</v>
      </c>
      <c r="Q30" s="4"/>
      <c r="R30" s="4">
        <f t="shared" si="14"/>
        <v>0</v>
      </c>
      <c r="S30" s="12">
        <f t="shared" si="4"/>
        <v>40.465116279069768</v>
      </c>
      <c r="T30" s="12">
        <f t="shared" si="5"/>
        <v>40.465116279069768</v>
      </c>
      <c r="U30" s="12">
        <v>8.8000000000000007</v>
      </c>
      <c r="V30" s="12">
        <v>6.8</v>
      </c>
      <c r="W30" s="12">
        <v>5.2</v>
      </c>
      <c r="X30" s="12">
        <v>13.2</v>
      </c>
      <c r="Y30" s="12">
        <v>25.4</v>
      </c>
      <c r="Z30" s="12">
        <v>25</v>
      </c>
      <c r="AA30" s="12">
        <v>21.2</v>
      </c>
      <c r="AB30" s="12">
        <v>23.4</v>
      </c>
      <c r="AC30" s="12">
        <v>6.4</v>
      </c>
      <c r="AD30" s="12">
        <v>20.399999999999999</v>
      </c>
      <c r="AE30" s="17" t="s">
        <v>76</v>
      </c>
      <c r="AF30" s="12">
        <f t="shared" si="15"/>
        <v>0</v>
      </c>
      <c r="AG30" s="6">
        <v>12</v>
      </c>
      <c r="AH30" s="8">
        <f t="shared" si="16"/>
        <v>0</v>
      </c>
      <c r="AI30" s="12">
        <f t="shared" si="17"/>
        <v>0</v>
      </c>
      <c r="AJ30" s="12">
        <v>14</v>
      </c>
      <c r="AK30" s="12">
        <v>70</v>
      </c>
      <c r="AL30" s="8">
        <f t="shared" si="18"/>
        <v>0</v>
      </c>
      <c r="AM30" s="12">
        <f t="shared" si="6"/>
        <v>1.978</v>
      </c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 x14ac:dyDescent="0.25">
      <c r="A31" s="12" t="s">
        <v>95</v>
      </c>
      <c r="B31" s="12" t="s">
        <v>42</v>
      </c>
      <c r="C31" s="12">
        <v>1063</v>
      </c>
      <c r="D31" s="12">
        <v>59</v>
      </c>
      <c r="E31" s="12">
        <v>403</v>
      </c>
      <c r="F31" s="12">
        <v>681</v>
      </c>
      <c r="G31" s="6">
        <v>0.25</v>
      </c>
      <c r="H31" s="12">
        <v>365</v>
      </c>
      <c r="I31" s="12" t="s">
        <v>96</v>
      </c>
      <c r="J31" s="12"/>
      <c r="K31" s="12">
        <v>443</v>
      </c>
      <c r="L31" s="12">
        <f t="shared" si="2"/>
        <v>-40</v>
      </c>
      <c r="M31" s="12"/>
      <c r="N31" s="12"/>
      <c r="O31" s="12"/>
      <c r="P31" s="12">
        <f t="shared" si="3"/>
        <v>80.599999999999994</v>
      </c>
      <c r="Q31" s="4">
        <f t="shared" si="13"/>
        <v>447.39999999999986</v>
      </c>
      <c r="R31" s="4">
        <f t="shared" si="14"/>
        <v>504</v>
      </c>
      <c r="S31" s="12">
        <f t="shared" si="4"/>
        <v>14.702233250620349</v>
      </c>
      <c r="T31" s="12">
        <f t="shared" si="5"/>
        <v>8.449131513647643</v>
      </c>
      <c r="U31" s="12">
        <v>53.4</v>
      </c>
      <c r="V31" s="12">
        <v>50.4</v>
      </c>
      <c r="W31" s="12">
        <v>46.6</v>
      </c>
      <c r="X31" s="12">
        <v>91.2</v>
      </c>
      <c r="Y31" s="12">
        <v>59</v>
      </c>
      <c r="Z31" s="12">
        <v>84.4</v>
      </c>
      <c r="AA31" s="12">
        <v>81.8</v>
      </c>
      <c r="AB31" s="12">
        <v>50</v>
      </c>
      <c r="AC31" s="12">
        <v>39.4</v>
      </c>
      <c r="AD31" s="12">
        <v>58.6</v>
      </c>
      <c r="AE31" s="12"/>
      <c r="AF31" s="12">
        <f t="shared" si="15"/>
        <v>111.84999999999997</v>
      </c>
      <c r="AG31" s="6">
        <v>12</v>
      </c>
      <c r="AH31" s="8">
        <f t="shared" si="16"/>
        <v>42</v>
      </c>
      <c r="AI31" s="12">
        <f t="shared" si="17"/>
        <v>126</v>
      </c>
      <c r="AJ31" s="12">
        <v>14</v>
      </c>
      <c r="AK31" s="12">
        <v>70</v>
      </c>
      <c r="AL31" s="8">
        <f t="shared" si="18"/>
        <v>0.6</v>
      </c>
      <c r="AM31" s="12">
        <f t="shared" si="6"/>
        <v>20.149999999999999</v>
      </c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 x14ac:dyDescent="0.25">
      <c r="A32" s="12" t="s">
        <v>97</v>
      </c>
      <c r="B32" s="12" t="s">
        <v>42</v>
      </c>
      <c r="C32" s="12">
        <v>679</v>
      </c>
      <c r="D32" s="12">
        <v>20</v>
      </c>
      <c r="E32" s="12">
        <v>309</v>
      </c>
      <c r="F32" s="12">
        <v>376</v>
      </c>
      <c r="G32" s="6">
        <v>0.25</v>
      </c>
      <c r="H32" s="12">
        <v>365</v>
      </c>
      <c r="I32" s="12" t="s">
        <v>98</v>
      </c>
      <c r="J32" s="12"/>
      <c r="K32" s="12">
        <v>317</v>
      </c>
      <c r="L32" s="12">
        <f t="shared" si="2"/>
        <v>-8</v>
      </c>
      <c r="M32" s="12"/>
      <c r="N32" s="12"/>
      <c r="O32" s="12"/>
      <c r="P32" s="12">
        <f t="shared" si="3"/>
        <v>61.8</v>
      </c>
      <c r="Q32" s="4">
        <f t="shared" si="13"/>
        <v>489.19999999999993</v>
      </c>
      <c r="R32" s="4">
        <f t="shared" si="14"/>
        <v>504</v>
      </c>
      <c r="S32" s="12">
        <f t="shared" si="4"/>
        <v>14.239482200647251</v>
      </c>
      <c r="T32" s="12">
        <f t="shared" si="5"/>
        <v>6.084142394822007</v>
      </c>
      <c r="U32" s="12">
        <v>47.8</v>
      </c>
      <c r="V32" s="12">
        <v>49.8</v>
      </c>
      <c r="W32" s="12">
        <v>41.8</v>
      </c>
      <c r="X32" s="12">
        <v>66.2</v>
      </c>
      <c r="Y32" s="12">
        <v>62.2</v>
      </c>
      <c r="Z32" s="12">
        <v>52</v>
      </c>
      <c r="AA32" s="12">
        <v>62.6</v>
      </c>
      <c r="AB32" s="12">
        <v>64.599999999999994</v>
      </c>
      <c r="AC32" s="12">
        <v>80</v>
      </c>
      <c r="AD32" s="12">
        <v>62.4</v>
      </c>
      <c r="AE32" s="12"/>
      <c r="AF32" s="12">
        <f t="shared" si="15"/>
        <v>122.29999999999998</v>
      </c>
      <c r="AG32" s="6">
        <v>12</v>
      </c>
      <c r="AH32" s="8">
        <f t="shared" si="16"/>
        <v>42</v>
      </c>
      <c r="AI32" s="12">
        <f t="shared" si="17"/>
        <v>126</v>
      </c>
      <c r="AJ32" s="12">
        <v>14</v>
      </c>
      <c r="AK32" s="12">
        <v>70</v>
      </c>
      <c r="AL32" s="8">
        <f t="shared" si="18"/>
        <v>0.6</v>
      </c>
      <c r="AM32" s="12">
        <f t="shared" si="6"/>
        <v>15.45</v>
      </c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x14ac:dyDescent="0.25">
      <c r="A33" s="12" t="s">
        <v>99</v>
      </c>
      <c r="B33" s="12" t="s">
        <v>42</v>
      </c>
      <c r="C33" s="12">
        <v>435</v>
      </c>
      <c r="D33" s="12">
        <v>9</v>
      </c>
      <c r="E33" s="12">
        <v>223</v>
      </c>
      <c r="F33" s="12">
        <v>219</v>
      </c>
      <c r="G33" s="6">
        <v>0.25</v>
      </c>
      <c r="H33" s="12">
        <v>180</v>
      </c>
      <c r="I33" s="12" t="s">
        <v>100</v>
      </c>
      <c r="J33" s="12"/>
      <c r="K33" s="12">
        <v>225</v>
      </c>
      <c r="L33" s="12">
        <f t="shared" si="2"/>
        <v>-2</v>
      </c>
      <c r="M33" s="12"/>
      <c r="N33" s="12"/>
      <c r="O33" s="12"/>
      <c r="P33" s="12">
        <f t="shared" si="3"/>
        <v>44.6</v>
      </c>
      <c r="Q33" s="4">
        <f t="shared" si="13"/>
        <v>405.4</v>
      </c>
      <c r="R33" s="4">
        <f t="shared" si="14"/>
        <v>336</v>
      </c>
      <c r="S33" s="12">
        <f t="shared" si="4"/>
        <v>12.443946188340806</v>
      </c>
      <c r="T33" s="12">
        <f t="shared" si="5"/>
        <v>4.9103139013452912</v>
      </c>
      <c r="U33" s="12">
        <v>29</v>
      </c>
      <c r="V33" s="12">
        <v>24.2</v>
      </c>
      <c r="W33" s="12">
        <v>36.6</v>
      </c>
      <c r="X33" s="12">
        <v>44.4</v>
      </c>
      <c r="Y33" s="12">
        <v>50.8</v>
      </c>
      <c r="Z33" s="12">
        <v>44.8</v>
      </c>
      <c r="AA33" s="12">
        <v>46.8</v>
      </c>
      <c r="AB33" s="12">
        <v>47.2</v>
      </c>
      <c r="AC33" s="12">
        <v>38.6</v>
      </c>
      <c r="AD33" s="12">
        <v>41.8</v>
      </c>
      <c r="AE33" s="12"/>
      <c r="AF33" s="12">
        <f t="shared" si="15"/>
        <v>101.35</v>
      </c>
      <c r="AG33" s="6">
        <v>12</v>
      </c>
      <c r="AH33" s="8">
        <f t="shared" si="16"/>
        <v>28</v>
      </c>
      <c r="AI33" s="12">
        <f t="shared" si="17"/>
        <v>84</v>
      </c>
      <c r="AJ33" s="12">
        <v>14</v>
      </c>
      <c r="AK33" s="12">
        <v>70</v>
      </c>
      <c r="AL33" s="8">
        <f t="shared" si="18"/>
        <v>0.4</v>
      </c>
      <c r="AM33" s="12">
        <f t="shared" si="6"/>
        <v>11.15</v>
      </c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 x14ac:dyDescent="0.25">
      <c r="A34" s="12" t="s">
        <v>101</v>
      </c>
      <c r="B34" s="12" t="s">
        <v>42</v>
      </c>
      <c r="C34" s="12">
        <v>386</v>
      </c>
      <c r="D34" s="12">
        <v>6</v>
      </c>
      <c r="E34" s="12">
        <v>205</v>
      </c>
      <c r="F34" s="12">
        <v>187</v>
      </c>
      <c r="G34" s="6">
        <v>0.25</v>
      </c>
      <c r="H34" s="12">
        <v>180</v>
      </c>
      <c r="I34" s="12" t="s">
        <v>102</v>
      </c>
      <c r="J34" s="12"/>
      <c r="K34" s="12">
        <v>208</v>
      </c>
      <c r="L34" s="12">
        <f t="shared" si="2"/>
        <v>-3</v>
      </c>
      <c r="M34" s="12"/>
      <c r="N34" s="12"/>
      <c r="O34" s="12"/>
      <c r="P34" s="12">
        <f t="shared" si="3"/>
        <v>41</v>
      </c>
      <c r="Q34" s="4">
        <f t="shared" si="13"/>
        <v>387</v>
      </c>
      <c r="R34" s="4">
        <f t="shared" si="14"/>
        <v>336</v>
      </c>
      <c r="S34" s="12">
        <f t="shared" si="4"/>
        <v>12.75609756097561</v>
      </c>
      <c r="T34" s="12">
        <f t="shared" si="5"/>
        <v>4.5609756097560972</v>
      </c>
      <c r="U34" s="12">
        <v>20.6</v>
      </c>
      <c r="V34" s="12">
        <v>20.399999999999999</v>
      </c>
      <c r="W34" s="12">
        <v>19.2</v>
      </c>
      <c r="X34" s="12">
        <v>41.2</v>
      </c>
      <c r="Y34" s="12">
        <v>17.600000000000001</v>
      </c>
      <c r="Z34" s="12">
        <v>35</v>
      </c>
      <c r="AA34" s="12">
        <v>31.6</v>
      </c>
      <c r="AB34" s="12">
        <v>20.8</v>
      </c>
      <c r="AC34" s="12">
        <v>0</v>
      </c>
      <c r="AD34" s="12">
        <v>4.4000000000000004</v>
      </c>
      <c r="AE34" s="12"/>
      <c r="AF34" s="12">
        <f t="shared" si="15"/>
        <v>96.75</v>
      </c>
      <c r="AG34" s="6">
        <v>12</v>
      </c>
      <c r="AH34" s="8">
        <f t="shared" si="16"/>
        <v>28</v>
      </c>
      <c r="AI34" s="12">
        <f t="shared" si="17"/>
        <v>84</v>
      </c>
      <c r="AJ34" s="12">
        <v>14</v>
      </c>
      <c r="AK34" s="12">
        <v>70</v>
      </c>
      <c r="AL34" s="8">
        <f t="shared" si="18"/>
        <v>0.4</v>
      </c>
      <c r="AM34" s="12">
        <f t="shared" si="6"/>
        <v>10.25</v>
      </c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x14ac:dyDescent="0.25">
      <c r="A35" s="12" t="s">
        <v>103</v>
      </c>
      <c r="B35" s="12" t="s">
        <v>42</v>
      </c>
      <c r="C35" s="12">
        <v>270</v>
      </c>
      <c r="D35" s="12">
        <v>21</v>
      </c>
      <c r="E35" s="12">
        <v>117</v>
      </c>
      <c r="F35" s="12">
        <v>146</v>
      </c>
      <c r="G35" s="6">
        <v>0.7</v>
      </c>
      <c r="H35" s="12">
        <v>180</v>
      </c>
      <c r="I35" s="12" t="s">
        <v>104</v>
      </c>
      <c r="J35" s="12"/>
      <c r="K35" s="12">
        <v>145</v>
      </c>
      <c r="L35" s="12">
        <f t="shared" si="2"/>
        <v>-28</v>
      </c>
      <c r="M35" s="12"/>
      <c r="N35" s="12"/>
      <c r="O35" s="12"/>
      <c r="P35" s="12">
        <f t="shared" si="3"/>
        <v>23.4</v>
      </c>
      <c r="Q35" s="4">
        <f t="shared" si="13"/>
        <v>181.59999999999997</v>
      </c>
      <c r="R35" s="4">
        <f t="shared" si="14"/>
        <v>192</v>
      </c>
      <c r="S35" s="12">
        <f t="shared" si="4"/>
        <v>14.444444444444445</v>
      </c>
      <c r="T35" s="12">
        <f t="shared" si="5"/>
        <v>6.2393162393162394</v>
      </c>
      <c r="U35" s="12">
        <v>19</v>
      </c>
      <c r="V35" s="12">
        <v>16.399999999999999</v>
      </c>
      <c r="W35" s="12">
        <v>13.6</v>
      </c>
      <c r="X35" s="12">
        <v>27.4</v>
      </c>
      <c r="Y35" s="12">
        <v>20.6</v>
      </c>
      <c r="Z35" s="12">
        <v>32.6</v>
      </c>
      <c r="AA35" s="12">
        <v>27.6</v>
      </c>
      <c r="AB35" s="12">
        <v>18.399999999999999</v>
      </c>
      <c r="AC35" s="12">
        <v>13</v>
      </c>
      <c r="AD35" s="12">
        <v>17.2</v>
      </c>
      <c r="AE35" s="12"/>
      <c r="AF35" s="12">
        <f t="shared" si="15"/>
        <v>127.11999999999996</v>
      </c>
      <c r="AG35" s="6">
        <v>8</v>
      </c>
      <c r="AH35" s="8">
        <f t="shared" si="16"/>
        <v>24</v>
      </c>
      <c r="AI35" s="12">
        <f t="shared" si="17"/>
        <v>134.39999999999998</v>
      </c>
      <c r="AJ35" s="12">
        <v>12</v>
      </c>
      <c r="AK35" s="12">
        <v>84</v>
      </c>
      <c r="AL35" s="8">
        <f t="shared" si="18"/>
        <v>0.2857142857142857</v>
      </c>
      <c r="AM35" s="12">
        <f t="shared" si="6"/>
        <v>16.38</v>
      </c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x14ac:dyDescent="0.25">
      <c r="A36" s="12" t="s">
        <v>105</v>
      </c>
      <c r="B36" s="12" t="s">
        <v>42</v>
      </c>
      <c r="C36" s="12">
        <v>137</v>
      </c>
      <c r="D36" s="12">
        <v>4</v>
      </c>
      <c r="E36" s="12">
        <v>85</v>
      </c>
      <c r="F36" s="12">
        <v>42</v>
      </c>
      <c r="G36" s="6">
        <v>0.7</v>
      </c>
      <c r="H36" s="12">
        <v>180</v>
      </c>
      <c r="I36" s="12" t="s">
        <v>106</v>
      </c>
      <c r="J36" s="12"/>
      <c r="K36" s="12">
        <v>99</v>
      </c>
      <c r="L36" s="12">
        <f t="shared" si="2"/>
        <v>-14</v>
      </c>
      <c r="M36" s="12"/>
      <c r="N36" s="12"/>
      <c r="O36" s="12"/>
      <c r="P36" s="12">
        <f t="shared" si="3"/>
        <v>17</v>
      </c>
      <c r="Q36" s="4">
        <f>12*P36-F36</f>
        <v>162</v>
      </c>
      <c r="R36" s="4">
        <f t="shared" si="14"/>
        <v>192</v>
      </c>
      <c r="S36" s="12">
        <f t="shared" si="4"/>
        <v>13.764705882352942</v>
      </c>
      <c r="T36" s="12">
        <f t="shared" si="5"/>
        <v>2.4705882352941178</v>
      </c>
      <c r="U36" s="12">
        <v>24.4</v>
      </c>
      <c r="V36" s="12">
        <v>22.6</v>
      </c>
      <c r="W36" s="12">
        <v>12.4</v>
      </c>
      <c r="X36" s="12">
        <v>22.2</v>
      </c>
      <c r="Y36" s="12">
        <v>17.8</v>
      </c>
      <c r="Z36" s="12">
        <v>31.4</v>
      </c>
      <c r="AA36" s="12">
        <v>30.4</v>
      </c>
      <c r="AB36" s="12">
        <v>13.6</v>
      </c>
      <c r="AC36" s="12">
        <v>22</v>
      </c>
      <c r="AD36" s="12">
        <v>8.4</v>
      </c>
      <c r="AE36" s="12"/>
      <c r="AF36" s="12">
        <f t="shared" si="15"/>
        <v>113.39999999999999</v>
      </c>
      <c r="AG36" s="6">
        <v>8</v>
      </c>
      <c r="AH36" s="8">
        <f t="shared" si="16"/>
        <v>24</v>
      </c>
      <c r="AI36" s="12">
        <f t="shared" si="17"/>
        <v>134.39999999999998</v>
      </c>
      <c r="AJ36" s="12">
        <v>12</v>
      </c>
      <c r="AK36" s="12">
        <v>84</v>
      </c>
      <c r="AL36" s="8">
        <f t="shared" si="18"/>
        <v>0.2857142857142857</v>
      </c>
      <c r="AM36" s="12">
        <f t="shared" si="6"/>
        <v>11.899999999999999</v>
      </c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x14ac:dyDescent="0.25">
      <c r="A37" s="12" t="s">
        <v>107</v>
      </c>
      <c r="B37" s="12" t="s">
        <v>42</v>
      </c>
      <c r="C37" s="12">
        <v>95</v>
      </c>
      <c r="D37" s="12">
        <v>10</v>
      </c>
      <c r="E37" s="12">
        <v>84</v>
      </c>
      <c r="F37" s="12">
        <v>12</v>
      </c>
      <c r="G37" s="6">
        <v>0.7</v>
      </c>
      <c r="H37" s="12">
        <v>180</v>
      </c>
      <c r="I37" s="12" t="s">
        <v>108</v>
      </c>
      <c r="J37" s="12"/>
      <c r="K37" s="12">
        <v>93</v>
      </c>
      <c r="L37" s="12">
        <f t="shared" si="2"/>
        <v>-9</v>
      </c>
      <c r="M37" s="12"/>
      <c r="N37" s="12"/>
      <c r="O37" s="12"/>
      <c r="P37" s="12">
        <f t="shared" si="3"/>
        <v>16.8</v>
      </c>
      <c r="Q37" s="22">
        <v>0</v>
      </c>
      <c r="R37" s="22">
        <f t="shared" si="14"/>
        <v>0</v>
      </c>
      <c r="S37" s="12">
        <f t="shared" si="4"/>
        <v>0.7142857142857143</v>
      </c>
      <c r="T37" s="12">
        <f t="shared" si="5"/>
        <v>0.7142857142857143</v>
      </c>
      <c r="U37" s="12">
        <v>19.2</v>
      </c>
      <c r="V37" s="12">
        <v>20.399999999999999</v>
      </c>
      <c r="W37" s="12">
        <v>20.2</v>
      </c>
      <c r="X37" s="12">
        <v>29</v>
      </c>
      <c r="Y37" s="12">
        <v>18.399999999999999</v>
      </c>
      <c r="Z37" s="12">
        <v>28.8</v>
      </c>
      <c r="AA37" s="12">
        <v>29.8</v>
      </c>
      <c r="AB37" s="12">
        <v>28.8</v>
      </c>
      <c r="AC37" s="12">
        <v>21.2</v>
      </c>
      <c r="AD37" s="12">
        <v>17</v>
      </c>
      <c r="AE37" s="21" t="s">
        <v>109</v>
      </c>
      <c r="AF37" s="12">
        <f t="shared" si="15"/>
        <v>0</v>
      </c>
      <c r="AG37" s="6">
        <v>8</v>
      </c>
      <c r="AH37" s="8">
        <f t="shared" si="16"/>
        <v>0</v>
      </c>
      <c r="AI37" s="12">
        <f t="shared" si="17"/>
        <v>0</v>
      </c>
      <c r="AJ37" s="12">
        <v>12</v>
      </c>
      <c r="AK37" s="12">
        <v>84</v>
      </c>
      <c r="AL37" s="8">
        <f t="shared" si="18"/>
        <v>0</v>
      </c>
      <c r="AM37" s="12">
        <f t="shared" si="6"/>
        <v>11.76</v>
      </c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x14ac:dyDescent="0.25">
      <c r="A38" s="12" t="s">
        <v>110</v>
      </c>
      <c r="B38" s="12" t="s">
        <v>42</v>
      </c>
      <c r="C38" s="12">
        <v>639</v>
      </c>
      <c r="D38" s="12">
        <v>10</v>
      </c>
      <c r="E38" s="12">
        <v>346</v>
      </c>
      <c r="F38" s="12">
        <v>309</v>
      </c>
      <c r="G38" s="6">
        <v>0.7</v>
      </c>
      <c r="H38" s="12">
        <v>180</v>
      </c>
      <c r="I38" s="12" t="s">
        <v>111</v>
      </c>
      <c r="J38" s="12"/>
      <c r="K38" s="12">
        <v>341</v>
      </c>
      <c r="L38" s="12">
        <f t="shared" ref="L38:L69" si="19">E38-K38</f>
        <v>5</v>
      </c>
      <c r="M38" s="12"/>
      <c r="N38" s="12"/>
      <c r="O38" s="12"/>
      <c r="P38" s="12">
        <f t="shared" ref="P38:P69" si="20">E38/5</f>
        <v>69.2</v>
      </c>
      <c r="Q38" s="4">
        <f t="shared" si="13"/>
        <v>659.80000000000007</v>
      </c>
      <c r="R38" s="4">
        <f t="shared" si="14"/>
        <v>600</v>
      </c>
      <c r="S38" s="12">
        <f t="shared" ref="S38:S69" si="21">(F38+R38)/P38</f>
        <v>13.135838150289016</v>
      </c>
      <c r="T38" s="12">
        <f t="shared" ref="T38:T69" si="22">F38/P38</f>
        <v>4.4653179190751446</v>
      </c>
      <c r="U38" s="12">
        <v>49.2</v>
      </c>
      <c r="V38" s="12">
        <v>42.8</v>
      </c>
      <c r="W38" s="12">
        <v>37.200000000000003</v>
      </c>
      <c r="X38" s="12">
        <v>62</v>
      </c>
      <c r="Y38" s="12">
        <v>46</v>
      </c>
      <c r="Z38" s="12">
        <v>64.8</v>
      </c>
      <c r="AA38" s="12">
        <v>56</v>
      </c>
      <c r="AB38" s="12">
        <v>50</v>
      </c>
      <c r="AC38" s="12">
        <v>66.400000000000006</v>
      </c>
      <c r="AD38" s="12">
        <v>55.6</v>
      </c>
      <c r="AE38" s="12"/>
      <c r="AF38" s="12">
        <f t="shared" si="15"/>
        <v>461.86</v>
      </c>
      <c r="AG38" s="6">
        <v>10</v>
      </c>
      <c r="AH38" s="8">
        <f t="shared" si="16"/>
        <v>60</v>
      </c>
      <c r="AI38" s="12">
        <f t="shared" si="17"/>
        <v>420</v>
      </c>
      <c r="AJ38" s="12">
        <v>12</v>
      </c>
      <c r="AK38" s="12">
        <v>84</v>
      </c>
      <c r="AL38" s="8">
        <f t="shared" si="18"/>
        <v>0.7142857142857143</v>
      </c>
      <c r="AM38" s="12">
        <f t="shared" si="6"/>
        <v>48.44</v>
      </c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x14ac:dyDescent="0.25">
      <c r="A39" s="12" t="s">
        <v>112</v>
      </c>
      <c r="B39" s="12" t="s">
        <v>42</v>
      </c>
      <c r="C39" s="12">
        <v>365</v>
      </c>
      <c r="D39" s="12">
        <v>42</v>
      </c>
      <c r="E39" s="12">
        <v>198</v>
      </c>
      <c r="F39" s="12">
        <v>183</v>
      </c>
      <c r="G39" s="6">
        <v>0.7</v>
      </c>
      <c r="H39" s="12">
        <v>180</v>
      </c>
      <c r="I39" s="12" t="s">
        <v>113</v>
      </c>
      <c r="J39" s="12"/>
      <c r="K39" s="12">
        <v>231</v>
      </c>
      <c r="L39" s="12">
        <f t="shared" si="19"/>
        <v>-33</v>
      </c>
      <c r="M39" s="12"/>
      <c r="N39" s="12"/>
      <c r="O39" s="12"/>
      <c r="P39" s="12">
        <f t="shared" si="20"/>
        <v>39.6</v>
      </c>
      <c r="Q39" s="4">
        <f t="shared" si="13"/>
        <v>371.4</v>
      </c>
      <c r="R39" s="4">
        <f t="shared" si="14"/>
        <v>360</v>
      </c>
      <c r="S39" s="12">
        <f t="shared" si="21"/>
        <v>13.712121212121211</v>
      </c>
      <c r="T39" s="12">
        <f t="shared" si="22"/>
        <v>4.6212121212121211</v>
      </c>
      <c r="U39" s="12">
        <v>29.8</v>
      </c>
      <c r="V39" s="12">
        <v>23</v>
      </c>
      <c r="W39" s="12">
        <v>25.8</v>
      </c>
      <c r="X39" s="12">
        <v>40.200000000000003</v>
      </c>
      <c r="Y39" s="12">
        <v>14.8</v>
      </c>
      <c r="Z39" s="12">
        <v>46.4</v>
      </c>
      <c r="AA39" s="12">
        <v>40.6</v>
      </c>
      <c r="AB39" s="12">
        <v>25.6</v>
      </c>
      <c r="AC39" s="12">
        <v>15</v>
      </c>
      <c r="AD39" s="12">
        <v>10.8</v>
      </c>
      <c r="AE39" s="12"/>
      <c r="AF39" s="12">
        <f t="shared" si="15"/>
        <v>259.97999999999996</v>
      </c>
      <c r="AG39" s="6">
        <v>10</v>
      </c>
      <c r="AH39" s="8">
        <f t="shared" si="16"/>
        <v>36</v>
      </c>
      <c r="AI39" s="12">
        <f t="shared" si="17"/>
        <v>251.99999999999997</v>
      </c>
      <c r="AJ39" s="12">
        <v>12</v>
      </c>
      <c r="AK39" s="12">
        <v>84</v>
      </c>
      <c r="AL39" s="8">
        <f t="shared" si="18"/>
        <v>0.42857142857142855</v>
      </c>
      <c r="AM39" s="12">
        <f t="shared" si="6"/>
        <v>27.72</v>
      </c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x14ac:dyDescent="0.25">
      <c r="A40" s="12" t="s">
        <v>114</v>
      </c>
      <c r="B40" s="12" t="s">
        <v>42</v>
      </c>
      <c r="C40" s="12">
        <v>650</v>
      </c>
      <c r="D40" s="12">
        <v>9</v>
      </c>
      <c r="E40" s="12">
        <v>425</v>
      </c>
      <c r="F40" s="12">
        <v>226</v>
      </c>
      <c r="G40" s="6">
        <v>0.7</v>
      </c>
      <c r="H40" s="12">
        <v>180</v>
      </c>
      <c r="I40" s="12" t="s">
        <v>115</v>
      </c>
      <c r="J40" s="12"/>
      <c r="K40" s="12">
        <v>438</v>
      </c>
      <c r="L40" s="12">
        <f t="shared" si="19"/>
        <v>-13</v>
      </c>
      <c r="M40" s="12"/>
      <c r="N40" s="12"/>
      <c r="O40" s="12"/>
      <c r="P40" s="12">
        <f t="shared" si="20"/>
        <v>85</v>
      </c>
      <c r="Q40" s="4">
        <f>13*P40-F40</f>
        <v>879</v>
      </c>
      <c r="R40" s="4">
        <f t="shared" si="14"/>
        <v>840</v>
      </c>
      <c r="S40" s="12">
        <f t="shared" si="21"/>
        <v>12.541176470588235</v>
      </c>
      <c r="T40" s="12">
        <f t="shared" si="22"/>
        <v>2.6588235294117646</v>
      </c>
      <c r="U40" s="12">
        <v>57.8</v>
      </c>
      <c r="V40" s="12">
        <v>45.2</v>
      </c>
      <c r="W40" s="12">
        <v>40.200000000000003</v>
      </c>
      <c r="X40" s="12">
        <v>68</v>
      </c>
      <c r="Y40" s="12">
        <v>35.799999999999997</v>
      </c>
      <c r="Z40" s="12">
        <v>66.2</v>
      </c>
      <c r="AA40" s="12">
        <v>68.400000000000006</v>
      </c>
      <c r="AB40" s="12">
        <v>34</v>
      </c>
      <c r="AC40" s="12">
        <v>13.2</v>
      </c>
      <c r="AD40" s="12">
        <v>37.4</v>
      </c>
      <c r="AE40" s="12"/>
      <c r="AF40" s="12">
        <f t="shared" si="15"/>
        <v>615.29999999999995</v>
      </c>
      <c r="AG40" s="6">
        <v>10</v>
      </c>
      <c r="AH40" s="8">
        <f t="shared" si="16"/>
        <v>84</v>
      </c>
      <c r="AI40" s="12">
        <f t="shared" si="17"/>
        <v>588</v>
      </c>
      <c r="AJ40" s="12">
        <v>12</v>
      </c>
      <c r="AK40" s="12">
        <v>84</v>
      </c>
      <c r="AL40" s="8">
        <f t="shared" si="18"/>
        <v>1</v>
      </c>
      <c r="AM40" s="12">
        <f t="shared" si="6"/>
        <v>59.499999999999993</v>
      </c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x14ac:dyDescent="0.25">
      <c r="A41" s="12" t="s">
        <v>116</v>
      </c>
      <c r="B41" s="12" t="s">
        <v>42</v>
      </c>
      <c r="C41" s="12">
        <v>353</v>
      </c>
      <c r="D41" s="12">
        <v>29</v>
      </c>
      <c r="E41" s="12">
        <v>149</v>
      </c>
      <c r="F41" s="12">
        <v>219</v>
      </c>
      <c r="G41" s="6">
        <v>0.7</v>
      </c>
      <c r="H41" s="12">
        <v>180</v>
      </c>
      <c r="I41" s="12" t="s">
        <v>117</v>
      </c>
      <c r="J41" s="12"/>
      <c r="K41" s="12">
        <v>163</v>
      </c>
      <c r="L41" s="12">
        <f t="shared" si="19"/>
        <v>-14</v>
      </c>
      <c r="M41" s="12"/>
      <c r="N41" s="12"/>
      <c r="O41" s="12"/>
      <c r="P41" s="12">
        <f t="shared" si="20"/>
        <v>29.8</v>
      </c>
      <c r="Q41" s="4">
        <f t="shared" si="13"/>
        <v>198.2</v>
      </c>
      <c r="R41" s="4">
        <f t="shared" si="14"/>
        <v>240</v>
      </c>
      <c r="S41" s="12">
        <f t="shared" si="21"/>
        <v>15.402684563758388</v>
      </c>
      <c r="T41" s="12">
        <f t="shared" si="22"/>
        <v>7.348993288590604</v>
      </c>
      <c r="U41" s="12">
        <v>10</v>
      </c>
      <c r="V41" s="12">
        <v>13.4</v>
      </c>
      <c r="W41" s="12">
        <v>29.8</v>
      </c>
      <c r="X41" s="12">
        <v>37.6</v>
      </c>
      <c r="Y41" s="12">
        <v>20.6</v>
      </c>
      <c r="Z41" s="12">
        <v>24.6</v>
      </c>
      <c r="AA41" s="12">
        <v>17</v>
      </c>
      <c r="AB41" s="12">
        <v>23</v>
      </c>
      <c r="AC41" s="12">
        <v>33</v>
      </c>
      <c r="AD41" s="12">
        <v>18.8</v>
      </c>
      <c r="AE41" s="12"/>
      <c r="AF41" s="12">
        <f t="shared" si="15"/>
        <v>138.73999999999998</v>
      </c>
      <c r="AG41" s="6">
        <v>10</v>
      </c>
      <c r="AH41" s="8">
        <f t="shared" si="16"/>
        <v>24</v>
      </c>
      <c r="AI41" s="12">
        <f t="shared" si="17"/>
        <v>168</v>
      </c>
      <c r="AJ41" s="12">
        <v>12</v>
      </c>
      <c r="AK41" s="12">
        <v>84</v>
      </c>
      <c r="AL41" s="8">
        <f t="shared" si="18"/>
        <v>0.2857142857142857</v>
      </c>
      <c r="AM41" s="12">
        <f t="shared" si="6"/>
        <v>20.86</v>
      </c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 x14ac:dyDescent="0.25">
      <c r="A42" s="12" t="s">
        <v>118</v>
      </c>
      <c r="B42" s="12" t="s">
        <v>50</v>
      </c>
      <c r="C42" s="12">
        <v>870</v>
      </c>
      <c r="D42" s="12">
        <v>10</v>
      </c>
      <c r="E42" s="12">
        <v>790</v>
      </c>
      <c r="F42" s="12">
        <v>100</v>
      </c>
      <c r="G42" s="6">
        <v>1</v>
      </c>
      <c r="H42" s="12">
        <v>180</v>
      </c>
      <c r="I42" s="12" t="s">
        <v>119</v>
      </c>
      <c r="J42" s="12"/>
      <c r="K42" s="12">
        <v>773</v>
      </c>
      <c r="L42" s="12">
        <f t="shared" si="19"/>
        <v>17</v>
      </c>
      <c r="M42" s="12"/>
      <c r="N42" s="12"/>
      <c r="O42" s="12"/>
      <c r="P42" s="12">
        <f t="shared" si="20"/>
        <v>158</v>
      </c>
      <c r="Q42" s="4">
        <v>1300</v>
      </c>
      <c r="R42" s="4">
        <f t="shared" si="14"/>
        <v>1320</v>
      </c>
      <c r="S42" s="12">
        <f t="shared" si="21"/>
        <v>8.9873417721518987</v>
      </c>
      <c r="T42" s="12">
        <f t="shared" si="22"/>
        <v>0.63291139240506333</v>
      </c>
      <c r="U42" s="12">
        <v>126</v>
      </c>
      <c r="V42" s="12">
        <v>97</v>
      </c>
      <c r="W42" s="12">
        <v>130</v>
      </c>
      <c r="X42" s="12">
        <v>108</v>
      </c>
      <c r="Y42" s="12">
        <v>87</v>
      </c>
      <c r="Z42" s="12">
        <v>100</v>
      </c>
      <c r="AA42" s="12">
        <v>95</v>
      </c>
      <c r="AB42" s="12">
        <v>42</v>
      </c>
      <c r="AC42" s="12">
        <v>70</v>
      </c>
      <c r="AD42" s="12">
        <v>84</v>
      </c>
      <c r="AE42" s="12" t="s">
        <v>120</v>
      </c>
      <c r="AF42" s="12">
        <f t="shared" si="15"/>
        <v>1300</v>
      </c>
      <c r="AG42" s="6">
        <v>5</v>
      </c>
      <c r="AH42" s="8">
        <f t="shared" si="16"/>
        <v>264</v>
      </c>
      <c r="AI42" s="12">
        <f t="shared" si="17"/>
        <v>1320</v>
      </c>
      <c r="AJ42" s="12">
        <v>12</v>
      </c>
      <c r="AK42" s="12">
        <v>144</v>
      </c>
      <c r="AL42" s="8">
        <f t="shared" si="18"/>
        <v>1.8333333333333333</v>
      </c>
      <c r="AM42" s="12">
        <f t="shared" si="6"/>
        <v>158</v>
      </c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x14ac:dyDescent="0.25">
      <c r="A43" s="12" t="s">
        <v>121</v>
      </c>
      <c r="B43" s="12" t="s">
        <v>42</v>
      </c>
      <c r="C43" s="12">
        <v>594</v>
      </c>
      <c r="D43" s="12">
        <v>1167</v>
      </c>
      <c r="E43" s="12">
        <v>393</v>
      </c>
      <c r="F43" s="12">
        <v>1347</v>
      </c>
      <c r="G43" s="6">
        <v>0.4</v>
      </c>
      <c r="H43" s="12">
        <v>180</v>
      </c>
      <c r="I43" s="12" t="s">
        <v>122</v>
      </c>
      <c r="J43" s="12"/>
      <c r="K43" s="12">
        <v>412</v>
      </c>
      <c r="L43" s="12">
        <f t="shared" si="19"/>
        <v>-19</v>
      </c>
      <c r="M43" s="12"/>
      <c r="N43" s="12"/>
      <c r="O43" s="12"/>
      <c r="P43" s="12">
        <f t="shared" si="20"/>
        <v>78.599999999999994</v>
      </c>
      <c r="Q43" s="4"/>
      <c r="R43" s="4">
        <f t="shared" si="14"/>
        <v>0</v>
      </c>
      <c r="S43" s="12">
        <f t="shared" si="21"/>
        <v>17.137404580152673</v>
      </c>
      <c r="T43" s="12">
        <f t="shared" si="22"/>
        <v>17.137404580152673</v>
      </c>
      <c r="U43" s="12">
        <v>60</v>
      </c>
      <c r="V43" s="12">
        <v>48.8</v>
      </c>
      <c r="W43" s="12">
        <v>9</v>
      </c>
      <c r="X43" s="12">
        <v>57.2</v>
      </c>
      <c r="Y43" s="12">
        <v>31.8</v>
      </c>
      <c r="Z43" s="12">
        <v>77.599999999999994</v>
      </c>
      <c r="AA43" s="12">
        <v>64.8</v>
      </c>
      <c r="AB43" s="12">
        <v>46.2</v>
      </c>
      <c r="AC43" s="12">
        <v>41.8</v>
      </c>
      <c r="AD43" s="12">
        <v>51</v>
      </c>
      <c r="AE43" s="12"/>
      <c r="AF43" s="12">
        <f t="shared" si="15"/>
        <v>0</v>
      </c>
      <c r="AG43" s="6">
        <v>16</v>
      </c>
      <c r="AH43" s="8">
        <f t="shared" si="16"/>
        <v>0</v>
      </c>
      <c r="AI43" s="12">
        <f t="shared" si="17"/>
        <v>0</v>
      </c>
      <c r="AJ43" s="12">
        <v>12</v>
      </c>
      <c r="AK43" s="12">
        <v>84</v>
      </c>
      <c r="AL43" s="8">
        <f t="shared" si="18"/>
        <v>0</v>
      </c>
      <c r="AM43" s="12">
        <f t="shared" si="6"/>
        <v>31.439999999999998</v>
      </c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x14ac:dyDescent="0.25">
      <c r="A44" s="12" t="s">
        <v>123</v>
      </c>
      <c r="B44" s="12" t="s">
        <v>42</v>
      </c>
      <c r="C44" s="12">
        <v>1724</v>
      </c>
      <c r="D44" s="12">
        <v>15</v>
      </c>
      <c r="E44" s="12">
        <v>698</v>
      </c>
      <c r="F44" s="12">
        <v>1065</v>
      </c>
      <c r="G44" s="6">
        <v>0.7</v>
      </c>
      <c r="H44" s="12">
        <v>180</v>
      </c>
      <c r="I44" s="12" t="s">
        <v>124</v>
      </c>
      <c r="J44" s="12"/>
      <c r="K44" s="12">
        <v>692</v>
      </c>
      <c r="L44" s="12">
        <f t="shared" si="19"/>
        <v>6</v>
      </c>
      <c r="M44" s="12"/>
      <c r="N44" s="12"/>
      <c r="O44" s="12"/>
      <c r="P44" s="12">
        <f t="shared" si="20"/>
        <v>139.6</v>
      </c>
      <c r="Q44" s="4">
        <f t="shared" si="13"/>
        <v>889.39999999999986</v>
      </c>
      <c r="R44" s="4">
        <f t="shared" si="14"/>
        <v>840</v>
      </c>
      <c r="S44" s="12">
        <f t="shared" si="21"/>
        <v>13.646131805157594</v>
      </c>
      <c r="T44" s="12">
        <f t="shared" si="22"/>
        <v>7.6289398280802292</v>
      </c>
      <c r="U44" s="12">
        <v>103.6</v>
      </c>
      <c r="V44" s="12">
        <v>97.6</v>
      </c>
      <c r="W44" s="12">
        <v>87.4</v>
      </c>
      <c r="X44" s="12">
        <v>151</v>
      </c>
      <c r="Y44" s="12">
        <v>111.2</v>
      </c>
      <c r="Z44" s="12">
        <v>136.19999999999999</v>
      </c>
      <c r="AA44" s="12">
        <v>114.8</v>
      </c>
      <c r="AB44" s="12">
        <v>119.8</v>
      </c>
      <c r="AC44" s="12">
        <v>92.6</v>
      </c>
      <c r="AD44" s="12">
        <v>136.80000000000001</v>
      </c>
      <c r="AE44" s="12"/>
      <c r="AF44" s="12">
        <f t="shared" si="15"/>
        <v>622.57999999999981</v>
      </c>
      <c r="AG44" s="6">
        <v>10</v>
      </c>
      <c r="AH44" s="8">
        <f t="shared" si="16"/>
        <v>84</v>
      </c>
      <c r="AI44" s="12">
        <f t="shared" si="17"/>
        <v>588</v>
      </c>
      <c r="AJ44" s="12">
        <v>12</v>
      </c>
      <c r="AK44" s="12">
        <v>84</v>
      </c>
      <c r="AL44" s="8">
        <f t="shared" si="18"/>
        <v>1</v>
      </c>
      <c r="AM44" s="12">
        <f t="shared" si="6"/>
        <v>97.719999999999985</v>
      </c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x14ac:dyDescent="0.25">
      <c r="A45" s="12" t="s">
        <v>125</v>
      </c>
      <c r="B45" s="12" t="s">
        <v>42</v>
      </c>
      <c r="C45" s="12">
        <v>1005</v>
      </c>
      <c r="D45" s="12"/>
      <c r="E45" s="12">
        <v>392</v>
      </c>
      <c r="F45" s="12">
        <v>610</v>
      </c>
      <c r="G45" s="6">
        <v>0.4</v>
      </c>
      <c r="H45" s="12">
        <v>180</v>
      </c>
      <c r="I45" s="12" t="s">
        <v>126</v>
      </c>
      <c r="J45" s="12"/>
      <c r="K45" s="12">
        <v>396</v>
      </c>
      <c r="L45" s="12">
        <f t="shared" si="19"/>
        <v>-4</v>
      </c>
      <c r="M45" s="12"/>
      <c r="N45" s="12"/>
      <c r="O45" s="12"/>
      <c r="P45" s="12">
        <f t="shared" si="20"/>
        <v>78.400000000000006</v>
      </c>
      <c r="Q45" s="4">
        <f t="shared" si="13"/>
        <v>487.60000000000014</v>
      </c>
      <c r="R45" s="4">
        <f t="shared" si="14"/>
        <v>576</v>
      </c>
      <c r="S45" s="12">
        <f t="shared" si="21"/>
        <v>15.127551020408163</v>
      </c>
      <c r="T45" s="12">
        <f t="shared" si="22"/>
        <v>7.7806122448979584</v>
      </c>
      <c r="U45" s="12">
        <v>53.2</v>
      </c>
      <c r="V45" s="12">
        <v>48.6</v>
      </c>
      <c r="W45" s="12">
        <v>54.8</v>
      </c>
      <c r="X45" s="12">
        <v>88</v>
      </c>
      <c r="Y45" s="12">
        <v>41.2</v>
      </c>
      <c r="Z45" s="12">
        <v>81.2</v>
      </c>
      <c r="AA45" s="12">
        <v>73.400000000000006</v>
      </c>
      <c r="AB45" s="12">
        <v>38.6</v>
      </c>
      <c r="AC45" s="12">
        <v>43.2</v>
      </c>
      <c r="AD45" s="12">
        <v>53.2</v>
      </c>
      <c r="AE45" s="12"/>
      <c r="AF45" s="12">
        <f t="shared" si="15"/>
        <v>195.04000000000008</v>
      </c>
      <c r="AG45" s="6">
        <v>16</v>
      </c>
      <c r="AH45" s="8">
        <f t="shared" si="16"/>
        <v>36</v>
      </c>
      <c r="AI45" s="12">
        <f t="shared" si="17"/>
        <v>230.4</v>
      </c>
      <c r="AJ45" s="12">
        <v>12</v>
      </c>
      <c r="AK45" s="12">
        <v>84</v>
      </c>
      <c r="AL45" s="8">
        <f t="shared" si="18"/>
        <v>0.42857142857142855</v>
      </c>
      <c r="AM45" s="12">
        <f t="shared" si="6"/>
        <v>31.360000000000003</v>
      </c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 x14ac:dyDescent="0.25">
      <c r="A46" s="12" t="s">
        <v>127</v>
      </c>
      <c r="B46" s="12" t="s">
        <v>42</v>
      </c>
      <c r="C46" s="12">
        <v>2096</v>
      </c>
      <c r="D46" s="12">
        <v>25</v>
      </c>
      <c r="E46" s="12">
        <v>882</v>
      </c>
      <c r="F46" s="12">
        <v>1242</v>
      </c>
      <c r="G46" s="6">
        <v>0.7</v>
      </c>
      <c r="H46" s="12">
        <v>180</v>
      </c>
      <c r="I46" s="12" t="s">
        <v>128</v>
      </c>
      <c r="J46" s="12"/>
      <c r="K46" s="12">
        <v>877</v>
      </c>
      <c r="L46" s="12">
        <f t="shared" si="19"/>
        <v>5</v>
      </c>
      <c r="M46" s="12"/>
      <c r="N46" s="12"/>
      <c r="O46" s="12"/>
      <c r="P46" s="12">
        <f t="shared" si="20"/>
        <v>176.4</v>
      </c>
      <c r="Q46" s="4">
        <f t="shared" si="13"/>
        <v>1227.5999999999999</v>
      </c>
      <c r="R46" s="4">
        <f t="shared" si="14"/>
        <v>1200</v>
      </c>
      <c r="S46" s="12">
        <f t="shared" si="21"/>
        <v>13.843537414965986</v>
      </c>
      <c r="T46" s="12">
        <f t="shared" si="22"/>
        <v>7.0408163265306118</v>
      </c>
      <c r="U46" s="12">
        <v>133</v>
      </c>
      <c r="V46" s="12">
        <v>132.6</v>
      </c>
      <c r="W46" s="12">
        <v>149.80000000000001</v>
      </c>
      <c r="X46" s="12">
        <v>205.2</v>
      </c>
      <c r="Y46" s="12">
        <v>184.2</v>
      </c>
      <c r="Z46" s="12">
        <v>200</v>
      </c>
      <c r="AA46" s="12">
        <v>183.8</v>
      </c>
      <c r="AB46" s="12">
        <v>151</v>
      </c>
      <c r="AC46" s="12">
        <v>169.4</v>
      </c>
      <c r="AD46" s="12">
        <v>179.4</v>
      </c>
      <c r="AE46" s="12"/>
      <c r="AF46" s="12">
        <f t="shared" si="15"/>
        <v>859.31999999999994</v>
      </c>
      <c r="AG46" s="6">
        <v>10</v>
      </c>
      <c r="AH46" s="8">
        <f t="shared" si="16"/>
        <v>120</v>
      </c>
      <c r="AI46" s="12">
        <f t="shared" si="17"/>
        <v>840</v>
      </c>
      <c r="AJ46" s="12">
        <v>12</v>
      </c>
      <c r="AK46" s="12">
        <v>84</v>
      </c>
      <c r="AL46" s="8">
        <f t="shared" si="18"/>
        <v>1.4285714285714286</v>
      </c>
      <c r="AM46" s="12">
        <f t="shared" si="6"/>
        <v>123.47999999999999</v>
      </c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 x14ac:dyDescent="0.25">
      <c r="A47" s="12" t="s">
        <v>129</v>
      </c>
      <c r="B47" s="12" t="s">
        <v>42</v>
      </c>
      <c r="C47" s="12">
        <v>259</v>
      </c>
      <c r="D47" s="12">
        <v>36</v>
      </c>
      <c r="E47" s="12">
        <v>133</v>
      </c>
      <c r="F47" s="12">
        <v>126</v>
      </c>
      <c r="G47" s="6">
        <v>0.7</v>
      </c>
      <c r="H47" s="12">
        <v>180</v>
      </c>
      <c r="I47" s="12" t="s">
        <v>130</v>
      </c>
      <c r="J47" s="12"/>
      <c r="K47" s="12">
        <v>169</v>
      </c>
      <c r="L47" s="12">
        <f t="shared" si="19"/>
        <v>-36</v>
      </c>
      <c r="M47" s="12"/>
      <c r="N47" s="12"/>
      <c r="O47" s="12"/>
      <c r="P47" s="12">
        <f t="shared" si="20"/>
        <v>26.6</v>
      </c>
      <c r="Q47" s="4">
        <f t="shared" si="13"/>
        <v>246.40000000000003</v>
      </c>
      <c r="R47" s="4">
        <f t="shared" si="14"/>
        <v>240</v>
      </c>
      <c r="S47" s="12">
        <f t="shared" si="21"/>
        <v>13.759398496240602</v>
      </c>
      <c r="T47" s="12">
        <f t="shared" si="22"/>
        <v>4.7368421052631575</v>
      </c>
      <c r="U47" s="12">
        <v>18.399999999999999</v>
      </c>
      <c r="V47" s="12">
        <v>28.2</v>
      </c>
      <c r="W47" s="12">
        <v>35.200000000000003</v>
      </c>
      <c r="X47" s="12">
        <v>18.2</v>
      </c>
      <c r="Y47" s="12">
        <v>46.6</v>
      </c>
      <c r="Z47" s="12">
        <v>61.6</v>
      </c>
      <c r="AA47" s="12">
        <v>47</v>
      </c>
      <c r="AB47" s="12">
        <v>50</v>
      </c>
      <c r="AC47" s="12">
        <v>65</v>
      </c>
      <c r="AD47" s="12">
        <v>31.4</v>
      </c>
      <c r="AE47" s="12"/>
      <c r="AF47" s="12">
        <f t="shared" si="15"/>
        <v>172.48000000000002</v>
      </c>
      <c r="AG47" s="6">
        <v>10</v>
      </c>
      <c r="AH47" s="8">
        <f t="shared" si="16"/>
        <v>24</v>
      </c>
      <c r="AI47" s="12">
        <f t="shared" si="17"/>
        <v>168</v>
      </c>
      <c r="AJ47" s="12">
        <v>12</v>
      </c>
      <c r="AK47" s="12">
        <v>84</v>
      </c>
      <c r="AL47" s="8">
        <f t="shared" si="18"/>
        <v>0.2857142857142857</v>
      </c>
      <c r="AM47" s="12">
        <f t="shared" si="6"/>
        <v>18.62</v>
      </c>
      <c r="AN47" s="12"/>
      <c r="AO47" s="12"/>
      <c r="AP47" s="12"/>
      <c r="AQ47" s="12"/>
      <c r="AR47" s="12"/>
      <c r="AS47" s="12"/>
      <c r="AT47" s="12"/>
      <c r="AU47" s="12"/>
      <c r="AV47" s="12"/>
    </row>
    <row r="48" spans="1:48" x14ac:dyDescent="0.25">
      <c r="A48" s="12" t="s">
        <v>131</v>
      </c>
      <c r="B48" s="12" t="s">
        <v>42</v>
      </c>
      <c r="C48" s="12">
        <v>147</v>
      </c>
      <c r="D48" s="12">
        <v>5</v>
      </c>
      <c r="E48" s="12">
        <v>14</v>
      </c>
      <c r="F48" s="12">
        <v>137</v>
      </c>
      <c r="G48" s="6">
        <v>0.8</v>
      </c>
      <c r="H48" s="12">
        <v>180</v>
      </c>
      <c r="I48" s="12" t="s">
        <v>132</v>
      </c>
      <c r="J48" s="12"/>
      <c r="K48" s="12">
        <v>15</v>
      </c>
      <c r="L48" s="12">
        <f t="shared" si="19"/>
        <v>-1</v>
      </c>
      <c r="M48" s="12"/>
      <c r="N48" s="12"/>
      <c r="O48" s="12"/>
      <c r="P48" s="12">
        <f t="shared" si="20"/>
        <v>2.8</v>
      </c>
      <c r="Q48" s="4"/>
      <c r="R48" s="4">
        <f t="shared" si="14"/>
        <v>0</v>
      </c>
      <c r="S48" s="12">
        <f t="shared" si="21"/>
        <v>48.928571428571431</v>
      </c>
      <c r="T48" s="12">
        <f t="shared" si="22"/>
        <v>48.928571428571431</v>
      </c>
      <c r="U48" s="12">
        <v>3.6</v>
      </c>
      <c r="V48" s="12">
        <v>3.8</v>
      </c>
      <c r="W48" s="12">
        <v>6</v>
      </c>
      <c r="X48" s="12">
        <v>3.8</v>
      </c>
      <c r="Y48" s="12">
        <v>11.4</v>
      </c>
      <c r="Z48" s="12">
        <v>3.6</v>
      </c>
      <c r="AA48" s="12">
        <v>0</v>
      </c>
      <c r="AB48" s="12">
        <v>0</v>
      </c>
      <c r="AC48" s="12">
        <v>0</v>
      </c>
      <c r="AD48" s="12">
        <v>0</v>
      </c>
      <c r="AE48" s="20" t="s">
        <v>175</v>
      </c>
      <c r="AF48" s="12">
        <f t="shared" si="15"/>
        <v>0</v>
      </c>
      <c r="AG48" s="6">
        <v>8</v>
      </c>
      <c r="AH48" s="8">
        <f t="shared" si="16"/>
        <v>0</v>
      </c>
      <c r="AI48" s="12">
        <f t="shared" si="17"/>
        <v>0</v>
      </c>
      <c r="AJ48" s="12">
        <v>12</v>
      </c>
      <c r="AK48" s="12">
        <v>84</v>
      </c>
      <c r="AL48" s="8">
        <f t="shared" si="18"/>
        <v>0</v>
      </c>
      <c r="AM48" s="12">
        <f t="shared" si="6"/>
        <v>2.2399999999999998</v>
      </c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x14ac:dyDescent="0.25">
      <c r="A49" s="12" t="s">
        <v>133</v>
      </c>
      <c r="B49" s="12" t="s">
        <v>42</v>
      </c>
      <c r="C49" s="12">
        <v>394</v>
      </c>
      <c r="D49" s="12">
        <v>15</v>
      </c>
      <c r="E49" s="12">
        <v>183</v>
      </c>
      <c r="F49" s="12">
        <v>210</v>
      </c>
      <c r="G49" s="6">
        <v>1</v>
      </c>
      <c r="H49" s="12">
        <v>180</v>
      </c>
      <c r="I49" s="12" t="s">
        <v>134</v>
      </c>
      <c r="J49" s="12"/>
      <c r="K49" s="12">
        <v>189</v>
      </c>
      <c r="L49" s="12">
        <f t="shared" si="19"/>
        <v>-6</v>
      </c>
      <c r="M49" s="12"/>
      <c r="N49" s="12"/>
      <c r="O49" s="12"/>
      <c r="P49" s="12">
        <f t="shared" si="20"/>
        <v>36.6</v>
      </c>
      <c r="Q49" s="4">
        <f t="shared" si="13"/>
        <v>302.39999999999998</v>
      </c>
      <c r="R49" s="4">
        <f t="shared" si="14"/>
        <v>300</v>
      </c>
      <c r="S49" s="12">
        <f t="shared" si="21"/>
        <v>13.934426229508196</v>
      </c>
      <c r="T49" s="12">
        <f t="shared" si="22"/>
        <v>5.7377049180327866</v>
      </c>
      <c r="U49" s="12">
        <v>35.6</v>
      </c>
      <c r="V49" s="12">
        <v>28.6</v>
      </c>
      <c r="W49" s="12">
        <v>24</v>
      </c>
      <c r="X49" s="12">
        <v>40.4</v>
      </c>
      <c r="Y49" s="12">
        <v>44.2</v>
      </c>
      <c r="Z49" s="12">
        <v>58.8</v>
      </c>
      <c r="AA49" s="12">
        <v>67.2</v>
      </c>
      <c r="AB49" s="12">
        <v>44.4</v>
      </c>
      <c r="AC49" s="12">
        <v>3.4</v>
      </c>
      <c r="AD49" s="12">
        <v>37.6</v>
      </c>
      <c r="AE49" s="12"/>
      <c r="AF49" s="12">
        <f t="shared" si="15"/>
        <v>302.39999999999998</v>
      </c>
      <c r="AG49" s="6">
        <v>5</v>
      </c>
      <c r="AH49" s="8">
        <f t="shared" si="16"/>
        <v>60</v>
      </c>
      <c r="AI49" s="12">
        <f t="shared" si="17"/>
        <v>300</v>
      </c>
      <c r="AJ49" s="12">
        <v>12</v>
      </c>
      <c r="AK49" s="12">
        <v>84</v>
      </c>
      <c r="AL49" s="8">
        <f t="shared" si="18"/>
        <v>0.7142857142857143</v>
      </c>
      <c r="AM49" s="12">
        <f t="shared" si="6"/>
        <v>36.6</v>
      </c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 x14ac:dyDescent="0.25">
      <c r="A50" s="12" t="s">
        <v>135</v>
      </c>
      <c r="B50" s="12" t="s">
        <v>42</v>
      </c>
      <c r="C50" s="12">
        <v>240</v>
      </c>
      <c r="D50" s="12">
        <v>1</v>
      </c>
      <c r="E50" s="12">
        <v>68</v>
      </c>
      <c r="F50" s="12">
        <v>165</v>
      </c>
      <c r="G50" s="6">
        <v>0.9</v>
      </c>
      <c r="H50" s="12">
        <v>180</v>
      </c>
      <c r="I50" s="12" t="s">
        <v>136</v>
      </c>
      <c r="J50" s="12"/>
      <c r="K50" s="12">
        <v>73</v>
      </c>
      <c r="L50" s="12">
        <f t="shared" si="19"/>
        <v>-5</v>
      </c>
      <c r="M50" s="12"/>
      <c r="N50" s="12"/>
      <c r="O50" s="12"/>
      <c r="P50" s="12">
        <f t="shared" si="20"/>
        <v>13.6</v>
      </c>
      <c r="Q50" s="4">
        <f>16*P50-F50</f>
        <v>52.599999999999994</v>
      </c>
      <c r="R50" s="4">
        <f t="shared" si="14"/>
        <v>96</v>
      </c>
      <c r="S50" s="12">
        <f t="shared" si="21"/>
        <v>19.191176470588236</v>
      </c>
      <c r="T50" s="12">
        <f t="shared" si="22"/>
        <v>12.132352941176471</v>
      </c>
      <c r="U50" s="12">
        <v>12</v>
      </c>
      <c r="V50" s="12">
        <v>13</v>
      </c>
      <c r="W50" s="12">
        <v>16.2</v>
      </c>
      <c r="X50" s="12">
        <v>14.8</v>
      </c>
      <c r="Y50" s="12">
        <v>23</v>
      </c>
      <c r="Z50" s="12">
        <v>34.4</v>
      </c>
      <c r="AA50" s="12">
        <v>42.2</v>
      </c>
      <c r="AB50" s="12">
        <v>29</v>
      </c>
      <c r="AC50" s="12">
        <v>8.1999999999999993</v>
      </c>
      <c r="AD50" s="12">
        <v>33.4</v>
      </c>
      <c r="AE50" s="12"/>
      <c r="AF50" s="12">
        <f t="shared" si="15"/>
        <v>47.339999999999996</v>
      </c>
      <c r="AG50" s="6">
        <v>8</v>
      </c>
      <c r="AH50" s="8">
        <f t="shared" si="16"/>
        <v>12</v>
      </c>
      <c r="AI50" s="12">
        <f t="shared" si="17"/>
        <v>86.4</v>
      </c>
      <c r="AJ50" s="12">
        <v>12</v>
      </c>
      <c r="AK50" s="12">
        <v>84</v>
      </c>
      <c r="AL50" s="8">
        <f t="shared" si="18"/>
        <v>0.14285714285714285</v>
      </c>
      <c r="AM50" s="12">
        <f t="shared" si="6"/>
        <v>12.24</v>
      </c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 x14ac:dyDescent="0.25">
      <c r="A51" s="12" t="s">
        <v>137</v>
      </c>
      <c r="B51" s="12" t="s">
        <v>42</v>
      </c>
      <c r="C51" s="12">
        <v>192</v>
      </c>
      <c r="D51" s="12"/>
      <c r="E51" s="12">
        <v>39</v>
      </c>
      <c r="F51" s="12">
        <v>153</v>
      </c>
      <c r="G51" s="6">
        <v>0.9</v>
      </c>
      <c r="H51" s="12">
        <v>180</v>
      </c>
      <c r="I51" s="12" t="s">
        <v>138</v>
      </c>
      <c r="J51" s="12"/>
      <c r="K51" s="12">
        <v>39</v>
      </c>
      <c r="L51" s="12">
        <f t="shared" si="19"/>
        <v>0</v>
      </c>
      <c r="M51" s="12"/>
      <c r="N51" s="12"/>
      <c r="O51" s="12"/>
      <c r="P51" s="12">
        <f t="shared" si="20"/>
        <v>7.8</v>
      </c>
      <c r="Q51" s="4"/>
      <c r="R51" s="4">
        <f t="shared" si="14"/>
        <v>0</v>
      </c>
      <c r="S51" s="12">
        <f t="shared" si="21"/>
        <v>19.615384615384617</v>
      </c>
      <c r="T51" s="12">
        <f t="shared" si="22"/>
        <v>19.615384615384617</v>
      </c>
      <c r="U51" s="12">
        <v>3.4</v>
      </c>
      <c r="V51" s="12">
        <v>0</v>
      </c>
      <c r="W51" s="12">
        <v>0</v>
      </c>
      <c r="X51" s="12">
        <v>13.4</v>
      </c>
      <c r="Y51" s="12">
        <v>12.4</v>
      </c>
      <c r="Z51" s="12">
        <v>16.600000000000001</v>
      </c>
      <c r="AA51" s="12">
        <v>10.199999999999999</v>
      </c>
      <c r="AB51" s="12">
        <v>2.6</v>
      </c>
      <c r="AC51" s="12">
        <v>6.2</v>
      </c>
      <c r="AD51" s="12">
        <v>13.6</v>
      </c>
      <c r="AE51" s="12"/>
      <c r="AF51" s="12">
        <f t="shared" si="15"/>
        <v>0</v>
      </c>
      <c r="AG51" s="6">
        <v>8</v>
      </c>
      <c r="AH51" s="8">
        <f t="shared" si="16"/>
        <v>0</v>
      </c>
      <c r="AI51" s="12">
        <f t="shared" si="17"/>
        <v>0</v>
      </c>
      <c r="AJ51" s="12">
        <v>12</v>
      </c>
      <c r="AK51" s="12">
        <v>84</v>
      </c>
      <c r="AL51" s="8">
        <f t="shared" si="18"/>
        <v>0</v>
      </c>
      <c r="AM51" s="12">
        <f t="shared" si="6"/>
        <v>7.02</v>
      </c>
      <c r="AN51" s="12"/>
      <c r="AO51" s="12"/>
      <c r="AP51" s="12"/>
      <c r="AQ51" s="12"/>
      <c r="AR51" s="12"/>
      <c r="AS51" s="12"/>
      <c r="AT51" s="12"/>
      <c r="AU51" s="12"/>
      <c r="AV51" s="12"/>
    </row>
    <row r="52" spans="1:48" x14ac:dyDescent="0.25">
      <c r="A52" s="12" t="s">
        <v>139</v>
      </c>
      <c r="B52" s="12" t="s">
        <v>50</v>
      </c>
      <c r="C52" s="12">
        <v>650</v>
      </c>
      <c r="D52" s="12">
        <v>5</v>
      </c>
      <c r="E52" s="12">
        <v>185</v>
      </c>
      <c r="F52" s="12">
        <v>450</v>
      </c>
      <c r="G52" s="6">
        <v>1</v>
      </c>
      <c r="H52" s="12">
        <v>180</v>
      </c>
      <c r="I52" s="12" t="s">
        <v>140</v>
      </c>
      <c r="J52" s="12"/>
      <c r="K52" s="12">
        <v>205</v>
      </c>
      <c r="L52" s="12">
        <f t="shared" si="19"/>
        <v>-20</v>
      </c>
      <c r="M52" s="12"/>
      <c r="N52" s="12"/>
      <c r="O52" s="12"/>
      <c r="P52" s="12">
        <f t="shared" si="20"/>
        <v>37</v>
      </c>
      <c r="Q52" s="4">
        <f t="shared" si="13"/>
        <v>68</v>
      </c>
      <c r="R52" s="4">
        <f t="shared" si="14"/>
        <v>60</v>
      </c>
      <c r="S52" s="12">
        <f t="shared" si="21"/>
        <v>13.783783783783784</v>
      </c>
      <c r="T52" s="12">
        <f t="shared" si="22"/>
        <v>12.162162162162161</v>
      </c>
      <c r="U52" s="12">
        <v>27</v>
      </c>
      <c r="V52" s="12">
        <v>25</v>
      </c>
      <c r="W52" s="12">
        <v>44</v>
      </c>
      <c r="X52" s="12">
        <v>67</v>
      </c>
      <c r="Y52" s="12">
        <v>80</v>
      </c>
      <c r="Z52" s="12">
        <v>92</v>
      </c>
      <c r="AA52" s="12">
        <v>94</v>
      </c>
      <c r="AB52" s="12">
        <v>109</v>
      </c>
      <c r="AC52" s="12">
        <v>120</v>
      </c>
      <c r="AD52" s="12">
        <v>88</v>
      </c>
      <c r="AE52" s="12"/>
      <c r="AF52" s="12">
        <f t="shared" si="15"/>
        <v>68</v>
      </c>
      <c r="AG52" s="6">
        <v>5</v>
      </c>
      <c r="AH52" s="8">
        <f t="shared" si="16"/>
        <v>12</v>
      </c>
      <c r="AI52" s="12">
        <f t="shared" si="17"/>
        <v>60</v>
      </c>
      <c r="AJ52" s="12">
        <v>12</v>
      </c>
      <c r="AK52" s="12">
        <v>144</v>
      </c>
      <c r="AL52" s="8">
        <f t="shared" si="18"/>
        <v>8.3333333333333329E-2</v>
      </c>
      <c r="AM52" s="12">
        <f t="shared" si="6"/>
        <v>37</v>
      </c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 x14ac:dyDescent="0.25">
      <c r="A53" s="12" t="s">
        <v>141</v>
      </c>
      <c r="B53" s="12" t="s">
        <v>42</v>
      </c>
      <c r="C53" s="12">
        <v>114</v>
      </c>
      <c r="D53" s="12">
        <v>1</v>
      </c>
      <c r="E53" s="12">
        <v>91</v>
      </c>
      <c r="F53" s="12">
        <v>28</v>
      </c>
      <c r="G53" s="6">
        <v>1</v>
      </c>
      <c r="H53" s="12">
        <v>180</v>
      </c>
      <c r="I53" s="12" t="s">
        <v>142</v>
      </c>
      <c r="J53" s="12"/>
      <c r="K53" s="12">
        <v>87</v>
      </c>
      <c r="L53" s="12">
        <f t="shared" si="19"/>
        <v>4</v>
      </c>
      <c r="M53" s="12"/>
      <c r="N53" s="12"/>
      <c r="O53" s="12"/>
      <c r="P53" s="12">
        <f t="shared" si="20"/>
        <v>18.2</v>
      </c>
      <c r="Q53" s="4">
        <f>12*P53-F53</f>
        <v>190.39999999999998</v>
      </c>
      <c r="R53" s="4">
        <f t="shared" si="14"/>
        <v>180</v>
      </c>
      <c r="S53" s="12">
        <f t="shared" si="21"/>
        <v>11.428571428571429</v>
      </c>
      <c r="T53" s="12">
        <f t="shared" si="22"/>
        <v>1.5384615384615385</v>
      </c>
      <c r="U53" s="12">
        <v>21.6</v>
      </c>
      <c r="V53" s="12">
        <v>17.600000000000001</v>
      </c>
      <c r="W53" s="12">
        <v>22.2</v>
      </c>
      <c r="X53" s="12">
        <v>20</v>
      </c>
      <c r="Y53" s="12">
        <v>29</v>
      </c>
      <c r="Z53" s="12">
        <v>22.4</v>
      </c>
      <c r="AA53" s="12">
        <v>24.8</v>
      </c>
      <c r="AB53" s="12">
        <v>24.6</v>
      </c>
      <c r="AC53" s="12">
        <v>27.8</v>
      </c>
      <c r="AD53" s="12">
        <v>27.2</v>
      </c>
      <c r="AE53" s="12"/>
      <c r="AF53" s="12">
        <f t="shared" si="15"/>
        <v>190.39999999999998</v>
      </c>
      <c r="AG53" s="6">
        <v>5</v>
      </c>
      <c r="AH53" s="8">
        <f t="shared" si="16"/>
        <v>36</v>
      </c>
      <c r="AI53" s="12">
        <f t="shared" si="17"/>
        <v>180</v>
      </c>
      <c r="AJ53" s="12">
        <v>12</v>
      </c>
      <c r="AK53" s="12">
        <v>84</v>
      </c>
      <c r="AL53" s="8">
        <f t="shared" si="18"/>
        <v>0.42857142857142855</v>
      </c>
      <c r="AM53" s="12">
        <f t="shared" si="6"/>
        <v>18.2</v>
      </c>
      <c r="AN53" s="12"/>
      <c r="AO53" s="12"/>
      <c r="AP53" s="12"/>
      <c r="AQ53" s="12"/>
      <c r="AR53" s="12"/>
      <c r="AS53" s="12"/>
      <c r="AT53" s="12"/>
      <c r="AU53" s="12"/>
      <c r="AV53" s="12"/>
    </row>
    <row r="54" spans="1:48" x14ac:dyDescent="0.25">
      <c r="A54" s="12" t="s">
        <v>51</v>
      </c>
      <c r="B54" s="12" t="s">
        <v>50</v>
      </c>
      <c r="C54" s="12">
        <v>55.5</v>
      </c>
      <c r="D54" s="12"/>
      <c r="E54" s="12"/>
      <c r="F54" s="18">
        <f>55.5+F9</f>
        <v>62.9</v>
      </c>
      <c r="G54" s="6">
        <v>1</v>
      </c>
      <c r="H54" s="12">
        <v>180</v>
      </c>
      <c r="I54" s="12" t="s">
        <v>143</v>
      </c>
      <c r="J54" s="12"/>
      <c r="K54" s="12"/>
      <c r="L54" s="12">
        <f t="shared" si="19"/>
        <v>0</v>
      </c>
      <c r="M54" s="12"/>
      <c r="N54" s="12"/>
      <c r="O54" s="12"/>
      <c r="P54" s="12">
        <f t="shared" si="20"/>
        <v>0</v>
      </c>
      <c r="Q54" s="4"/>
      <c r="R54" s="4">
        <f t="shared" si="14"/>
        <v>0</v>
      </c>
      <c r="S54" s="12" t="e">
        <f t="shared" si="21"/>
        <v>#DIV/0!</v>
      </c>
      <c r="T54" s="12" t="e">
        <f t="shared" si="22"/>
        <v>#DIV/0!</v>
      </c>
      <c r="U54" s="12">
        <v>0</v>
      </c>
      <c r="V54" s="12">
        <v>0</v>
      </c>
      <c r="W54" s="12">
        <v>0.74</v>
      </c>
      <c r="X54" s="12">
        <v>0.74</v>
      </c>
      <c r="Y54" s="12">
        <v>2.08</v>
      </c>
      <c r="Z54" s="12">
        <v>3.56</v>
      </c>
      <c r="AA54" s="12">
        <v>3.56</v>
      </c>
      <c r="AB54" s="12">
        <v>3.56</v>
      </c>
      <c r="AC54" s="12">
        <v>5.18</v>
      </c>
      <c r="AD54" s="12">
        <v>5.18</v>
      </c>
      <c r="AE54" s="17" t="s">
        <v>76</v>
      </c>
      <c r="AF54" s="12">
        <f t="shared" si="15"/>
        <v>0</v>
      </c>
      <c r="AG54" s="6">
        <v>3.7</v>
      </c>
      <c r="AH54" s="8">
        <f t="shared" si="16"/>
        <v>0</v>
      </c>
      <c r="AI54" s="12">
        <f t="shared" si="17"/>
        <v>0</v>
      </c>
      <c r="AJ54" s="12">
        <v>14</v>
      </c>
      <c r="AK54" s="12">
        <v>126</v>
      </c>
      <c r="AL54" s="8">
        <f t="shared" si="18"/>
        <v>0</v>
      </c>
      <c r="AM54" s="12">
        <f t="shared" si="6"/>
        <v>0</v>
      </c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x14ac:dyDescent="0.25">
      <c r="A55" s="12" t="s">
        <v>144</v>
      </c>
      <c r="B55" s="12" t="s">
        <v>42</v>
      </c>
      <c r="C55" s="12">
        <v>54</v>
      </c>
      <c r="D55" s="12">
        <v>4</v>
      </c>
      <c r="E55" s="12">
        <v>57</v>
      </c>
      <c r="F55" s="12">
        <v>-3</v>
      </c>
      <c r="G55" s="6">
        <v>0.23</v>
      </c>
      <c r="H55" s="12">
        <v>180</v>
      </c>
      <c r="I55" s="12" t="s">
        <v>145</v>
      </c>
      <c r="J55" s="12"/>
      <c r="K55" s="12">
        <v>80</v>
      </c>
      <c r="L55" s="12">
        <f t="shared" si="19"/>
        <v>-23</v>
      </c>
      <c r="M55" s="12"/>
      <c r="N55" s="12"/>
      <c r="O55" s="12"/>
      <c r="P55" s="12">
        <f t="shared" si="20"/>
        <v>11.4</v>
      </c>
      <c r="Q55" s="4">
        <f t="shared" si="13"/>
        <v>162.6</v>
      </c>
      <c r="R55" s="4">
        <f t="shared" si="14"/>
        <v>168</v>
      </c>
      <c r="S55" s="12">
        <f t="shared" si="21"/>
        <v>14.473684210526315</v>
      </c>
      <c r="T55" s="12">
        <f t="shared" si="22"/>
        <v>-0.26315789473684209</v>
      </c>
      <c r="U55" s="12">
        <v>14.2</v>
      </c>
      <c r="V55" s="12">
        <v>12.6</v>
      </c>
      <c r="W55" s="12">
        <v>19.2</v>
      </c>
      <c r="X55" s="12">
        <v>14.4</v>
      </c>
      <c r="Y55" s="12">
        <v>26.2</v>
      </c>
      <c r="Z55" s="12">
        <v>27.2</v>
      </c>
      <c r="AA55" s="12">
        <v>22</v>
      </c>
      <c r="AB55" s="12">
        <v>19.399999999999999</v>
      </c>
      <c r="AC55" s="12">
        <v>19</v>
      </c>
      <c r="AD55" s="12">
        <v>30.2</v>
      </c>
      <c r="AE55" s="12"/>
      <c r="AF55" s="12">
        <f t="shared" si="15"/>
        <v>37.398000000000003</v>
      </c>
      <c r="AG55" s="6">
        <v>6</v>
      </c>
      <c r="AH55" s="8">
        <f t="shared" si="16"/>
        <v>28</v>
      </c>
      <c r="AI55" s="12">
        <f t="shared" si="17"/>
        <v>38.64</v>
      </c>
      <c r="AJ55" s="12">
        <v>14</v>
      </c>
      <c r="AK55" s="12">
        <v>140</v>
      </c>
      <c r="AL55" s="8">
        <f t="shared" si="18"/>
        <v>0.2</v>
      </c>
      <c r="AM55" s="12">
        <f t="shared" si="6"/>
        <v>2.6220000000000003</v>
      </c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 x14ac:dyDescent="0.25">
      <c r="A56" s="12" t="s">
        <v>146</v>
      </c>
      <c r="B56" s="12" t="s">
        <v>42</v>
      </c>
      <c r="C56" s="12">
        <v>1344</v>
      </c>
      <c r="D56" s="12">
        <v>39</v>
      </c>
      <c r="E56" s="12">
        <v>605</v>
      </c>
      <c r="F56" s="12">
        <v>742</v>
      </c>
      <c r="G56" s="6">
        <v>0.25</v>
      </c>
      <c r="H56" s="12">
        <v>180</v>
      </c>
      <c r="I56" s="12" t="s">
        <v>147</v>
      </c>
      <c r="J56" s="12"/>
      <c r="K56" s="12">
        <v>654</v>
      </c>
      <c r="L56" s="12">
        <f t="shared" si="19"/>
        <v>-49</v>
      </c>
      <c r="M56" s="12"/>
      <c r="N56" s="12"/>
      <c r="O56" s="12"/>
      <c r="P56" s="12">
        <f t="shared" si="20"/>
        <v>121</v>
      </c>
      <c r="Q56" s="4">
        <f t="shared" si="13"/>
        <v>952</v>
      </c>
      <c r="R56" s="4">
        <f t="shared" si="14"/>
        <v>1008</v>
      </c>
      <c r="S56" s="12">
        <f t="shared" si="21"/>
        <v>14.462809917355372</v>
      </c>
      <c r="T56" s="12">
        <f t="shared" si="22"/>
        <v>6.1322314049586772</v>
      </c>
      <c r="U56" s="12">
        <v>58.6</v>
      </c>
      <c r="V56" s="12">
        <v>38</v>
      </c>
      <c r="W56" s="12">
        <v>80.400000000000006</v>
      </c>
      <c r="X56" s="12">
        <v>116.2</v>
      </c>
      <c r="Y56" s="12">
        <v>46.4</v>
      </c>
      <c r="Z56" s="12">
        <v>138.6</v>
      </c>
      <c r="AA56" s="12">
        <v>108</v>
      </c>
      <c r="AB56" s="12">
        <v>60.4</v>
      </c>
      <c r="AC56" s="12">
        <v>33.799999999999997</v>
      </c>
      <c r="AD56" s="12">
        <v>72.400000000000006</v>
      </c>
      <c r="AE56" s="12"/>
      <c r="AF56" s="12">
        <f t="shared" si="15"/>
        <v>238</v>
      </c>
      <c r="AG56" s="6">
        <v>12</v>
      </c>
      <c r="AH56" s="8">
        <f t="shared" si="16"/>
        <v>84</v>
      </c>
      <c r="AI56" s="12">
        <f t="shared" si="17"/>
        <v>252</v>
      </c>
      <c r="AJ56" s="12">
        <v>14</v>
      </c>
      <c r="AK56" s="12">
        <v>70</v>
      </c>
      <c r="AL56" s="8">
        <f t="shared" si="18"/>
        <v>1.2</v>
      </c>
      <c r="AM56" s="12">
        <f t="shared" si="6"/>
        <v>30.25</v>
      </c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 x14ac:dyDescent="0.25">
      <c r="A57" s="12" t="s">
        <v>148</v>
      </c>
      <c r="B57" s="12" t="s">
        <v>42</v>
      </c>
      <c r="C57" s="12">
        <v>479</v>
      </c>
      <c r="D57" s="12">
        <v>23</v>
      </c>
      <c r="E57" s="12">
        <v>354</v>
      </c>
      <c r="F57" s="12">
        <v>120</v>
      </c>
      <c r="G57" s="6">
        <v>0.25</v>
      </c>
      <c r="H57" s="12">
        <v>180</v>
      </c>
      <c r="I57" s="12" t="s">
        <v>149</v>
      </c>
      <c r="J57" s="12"/>
      <c r="K57" s="12">
        <v>377</v>
      </c>
      <c r="L57" s="12">
        <f t="shared" si="19"/>
        <v>-23</v>
      </c>
      <c r="M57" s="12"/>
      <c r="N57" s="12"/>
      <c r="O57" s="12"/>
      <c r="P57" s="12">
        <f t="shared" si="20"/>
        <v>70.8</v>
      </c>
      <c r="Q57" s="4">
        <f>12*P57-F57</f>
        <v>729.59999999999991</v>
      </c>
      <c r="R57" s="4">
        <f t="shared" si="14"/>
        <v>672</v>
      </c>
      <c r="S57" s="12">
        <f t="shared" si="21"/>
        <v>11.186440677966102</v>
      </c>
      <c r="T57" s="12">
        <f t="shared" si="22"/>
        <v>1.6949152542372883</v>
      </c>
      <c r="U57" s="12">
        <v>64.2</v>
      </c>
      <c r="V57" s="12">
        <v>53.8</v>
      </c>
      <c r="W57" s="12">
        <v>54.6</v>
      </c>
      <c r="X57" s="12">
        <v>63.8</v>
      </c>
      <c r="Y57" s="12">
        <v>65.8</v>
      </c>
      <c r="Z57" s="12">
        <v>73.8</v>
      </c>
      <c r="AA57" s="12">
        <v>56.4</v>
      </c>
      <c r="AB57" s="12">
        <v>37.799999999999997</v>
      </c>
      <c r="AC57" s="12">
        <v>52.4</v>
      </c>
      <c r="AD57" s="12">
        <v>23</v>
      </c>
      <c r="AE57" s="12"/>
      <c r="AF57" s="12">
        <f t="shared" si="15"/>
        <v>182.39999999999998</v>
      </c>
      <c r="AG57" s="6">
        <v>12</v>
      </c>
      <c r="AH57" s="8">
        <f t="shared" si="16"/>
        <v>56</v>
      </c>
      <c r="AI57" s="12">
        <f t="shared" si="17"/>
        <v>168</v>
      </c>
      <c r="AJ57" s="12">
        <v>14</v>
      </c>
      <c r="AK57" s="12">
        <v>70</v>
      </c>
      <c r="AL57" s="8">
        <f t="shared" si="18"/>
        <v>0.8</v>
      </c>
      <c r="AM57" s="12">
        <f t="shared" si="6"/>
        <v>17.7</v>
      </c>
      <c r="AN57" s="12"/>
      <c r="AO57" s="12"/>
      <c r="AP57" s="12"/>
      <c r="AQ57" s="12"/>
      <c r="AR57" s="12"/>
      <c r="AS57" s="12"/>
      <c r="AT57" s="12"/>
      <c r="AU57" s="12"/>
      <c r="AV57" s="12"/>
    </row>
    <row r="58" spans="1:48" x14ac:dyDescent="0.25">
      <c r="A58" s="12" t="s">
        <v>150</v>
      </c>
      <c r="B58" s="12" t="s">
        <v>42</v>
      </c>
      <c r="C58" s="12">
        <v>99</v>
      </c>
      <c r="D58" s="12">
        <v>20</v>
      </c>
      <c r="E58" s="12">
        <v>6</v>
      </c>
      <c r="F58" s="12">
        <v>93</v>
      </c>
      <c r="G58" s="6">
        <v>0.18</v>
      </c>
      <c r="H58" s="12">
        <v>180</v>
      </c>
      <c r="I58" s="12" t="s">
        <v>151</v>
      </c>
      <c r="J58" s="12"/>
      <c r="K58" s="12">
        <v>26</v>
      </c>
      <c r="L58" s="12">
        <f t="shared" si="19"/>
        <v>-20</v>
      </c>
      <c r="M58" s="12"/>
      <c r="N58" s="12"/>
      <c r="O58" s="12"/>
      <c r="P58" s="12">
        <f t="shared" si="20"/>
        <v>1.2</v>
      </c>
      <c r="Q58" s="4"/>
      <c r="R58" s="4">
        <f t="shared" si="14"/>
        <v>0</v>
      </c>
      <c r="S58" s="12">
        <f t="shared" si="21"/>
        <v>77.5</v>
      </c>
      <c r="T58" s="12">
        <f t="shared" si="22"/>
        <v>77.5</v>
      </c>
      <c r="U58" s="12">
        <v>0</v>
      </c>
      <c r="V58" s="12">
        <v>0</v>
      </c>
      <c r="W58" s="12">
        <v>1.2</v>
      </c>
      <c r="X58" s="12">
        <v>2.4</v>
      </c>
      <c r="Y58" s="12">
        <v>2.8</v>
      </c>
      <c r="Z58" s="12">
        <v>2</v>
      </c>
      <c r="AA58" s="12">
        <v>2.8</v>
      </c>
      <c r="AB58" s="12">
        <v>4</v>
      </c>
      <c r="AC58" s="12">
        <v>4.2</v>
      </c>
      <c r="AD58" s="12">
        <v>0</v>
      </c>
      <c r="AE58" s="17" t="s">
        <v>76</v>
      </c>
      <c r="AF58" s="12">
        <f t="shared" si="15"/>
        <v>0</v>
      </c>
      <c r="AG58" s="6">
        <v>6</v>
      </c>
      <c r="AH58" s="8">
        <f t="shared" si="16"/>
        <v>0</v>
      </c>
      <c r="AI58" s="12">
        <f t="shared" si="17"/>
        <v>0</v>
      </c>
      <c r="AJ58" s="12">
        <v>14</v>
      </c>
      <c r="AK58" s="12">
        <v>140</v>
      </c>
      <c r="AL58" s="8">
        <f t="shared" si="18"/>
        <v>0</v>
      </c>
      <c r="AM58" s="12">
        <f t="shared" si="6"/>
        <v>0.216</v>
      </c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 x14ac:dyDescent="0.25">
      <c r="A59" s="12" t="s">
        <v>152</v>
      </c>
      <c r="B59" s="12" t="s">
        <v>42</v>
      </c>
      <c r="C59" s="12">
        <v>49</v>
      </c>
      <c r="D59" s="12">
        <v>12</v>
      </c>
      <c r="E59" s="12">
        <v>4</v>
      </c>
      <c r="F59" s="12">
        <v>45</v>
      </c>
      <c r="G59" s="6">
        <v>0.18</v>
      </c>
      <c r="H59" s="12">
        <v>180</v>
      </c>
      <c r="I59" s="12" t="s">
        <v>153</v>
      </c>
      <c r="J59" s="12"/>
      <c r="K59" s="12">
        <v>16</v>
      </c>
      <c r="L59" s="12">
        <f t="shared" si="19"/>
        <v>-12</v>
      </c>
      <c r="M59" s="12"/>
      <c r="N59" s="12"/>
      <c r="O59" s="12"/>
      <c r="P59" s="12">
        <f t="shared" si="20"/>
        <v>0.8</v>
      </c>
      <c r="Q59" s="4"/>
      <c r="R59" s="4">
        <f t="shared" si="14"/>
        <v>0</v>
      </c>
      <c r="S59" s="12">
        <f t="shared" si="21"/>
        <v>56.25</v>
      </c>
      <c r="T59" s="12">
        <f t="shared" si="22"/>
        <v>56.25</v>
      </c>
      <c r="U59" s="12">
        <v>0</v>
      </c>
      <c r="V59" s="12">
        <v>0.2</v>
      </c>
      <c r="W59" s="12">
        <v>0.6</v>
      </c>
      <c r="X59" s="12">
        <v>3.2</v>
      </c>
      <c r="Y59" s="12">
        <v>3.4</v>
      </c>
      <c r="Z59" s="12">
        <v>2.6</v>
      </c>
      <c r="AA59" s="12">
        <v>1.6</v>
      </c>
      <c r="AB59" s="12">
        <v>4.4000000000000004</v>
      </c>
      <c r="AC59" s="12">
        <v>2.8</v>
      </c>
      <c r="AD59" s="12">
        <v>2.2000000000000002</v>
      </c>
      <c r="AE59" s="17" t="s">
        <v>76</v>
      </c>
      <c r="AF59" s="12">
        <f t="shared" si="15"/>
        <v>0</v>
      </c>
      <c r="AG59" s="6">
        <v>6</v>
      </c>
      <c r="AH59" s="8">
        <f t="shared" si="16"/>
        <v>0</v>
      </c>
      <c r="AI59" s="12">
        <f t="shared" si="17"/>
        <v>0</v>
      </c>
      <c r="AJ59" s="12">
        <v>14</v>
      </c>
      <c r="AK59" s="12">
        <v>140</v>
      </c>
      <c r="AL59" s="8">
        <f t="shared" si="18"/>
        <v>0</v>
      </c>
      <c r="AM59" s="12">
        <f t="shared" si="6"/>
        <v>0.14399999999999999</v>
      </c>
      <c r="AN59" s="12"/>
      <c r="AO59" s="12"/>
      <c r="AP59" s="12"/>
      <c r="AQ59" s="12"/>
      <c r="AR59" s="12"/>
      <c r="AS59" s="12"/>
      <c r="AT59" s="12"/>
      <c r="AU59" s="12"/>
      <c r="AV59" s="12"/>
    </row>
    <row r="60" spans="1:48" x14ac:dyDescent="0.25">
      <c r="A60" s="12" t="s">
        <v>154</v>
      </c>
      <c r="B60" s="12" t="s">
        <v>42</v>
      </c>
      <c r="C60" s="12">
        <v>58</v>
      </c>
      <c r="D60" s="12"/>
      <c r="E60" s="12">
        <v>1</v>
      </c>
      <c r="F60" s="12">
        <v>57</v>
      </c>
      <c r="G60" s="6">
        <v>0.18</v>
      </c>
      <c r="H60" s="12">
        <v>180</v>
      </c>
      <c r="I60" s="12" t="s">
        <v>155</v>
      </c>
      <c r="J60" s="12"/>
      <c r="K60" s="12">
        <v>1</v>
      </c>
      <c r="L60" s="12">
        <f t="shared" si="19"/>
        <v>0</v>
      </c>
      <c r="M60" s="12"/>
      <c r="N60" s="12"/>
      <c r="O60" s="12"/>
      <c r="P60" s="12">
        <f t="shared" si="20"/>
        <v>0.2</v>
      </c>
      <c r="Q60" s="4"/>
      <c r="R60" s="4">
        <f t="shared" si="14"/>
        <v>0</v>
      </c>
      <c r="S60" s="12">
        <f t="shared" si="21"/>
        <v>285</v>
      </c>
      <c r="T60" s="12">
        <f t="shared" si="22"/>
        <v>285</v>
      </c>
      <c r="U60" s="12">
        <v>0</v>
      </c>
      <c r="V60" s="12">
        <v>0</v>
      </c>
      <c r="W60" s="12">
        <v>0</v>
      </c>
      <c r="X60" s="12">
        <v>0</v>
      </c>
      <c r="Y60" s="12">
        <v>1.4</v>
      </c>
      <c r="Z60" s="12">
        <v>1.2</v>
      </c>
      <c r="AA60" s="12">
        <v>1.6</v>
      </c>
      <c r="AB60" s="12">
        <v>1.2</v>
      </c>
      <c r="AC60" s="12">
        <v>0.2</v>
      </c>
      <c r="AD60" s="12">
        <v>0.2</v>
      </c>
      <c r="AE60" s="17" t="s">
        <v>76</v>
      </c>
      <c r="AF60" s="12">
        <f t="shared" si="15"/>
        <v>0</v>
      </c>
      <c r="AG60" s="6">
        <v>6</v>
      </c>
      <c r="AH60" s="8">
        <f t="shared" si="16"/>
        <v>0</v>
      </c>
      <c r="AI60" s="12">
        <f t="shared" si="17"/>
        <v>0</v>
      </c>
      <c r="AJ60" s="12">
        <v>14</v>
      </c>
      <c r="AK60" s="12">
        <v>140</v>
      </c>
      <c r="AL60" s="8">
        <f t="shared" si="18"/>
        <v>0</v>
      </c>
      <c r="AM60" s="12">
        <f t="shared" si="6"/>
        <v>3.5999999999999997E-2</v>
      </c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 x14ac:dyDescent="0.25">
      <c r="A61" s="12" t="s">
        <v>156</v>
      </c>
      <c r="B61" s="12" t="s">
        <v>42</v>
      </c>
      <c r="C61" s="12">
        <v>1079</v>
      </c>
      <c r="D61" s="12">
        <v>62</v>
      </c>
      <c r="E61" s="12">
        <v>468</v>
      </c>
      <c r="F61" s="12">
        <v>609</v>
      </c>
      <c r="G61" s="6">
        <v>0.3</v>
      </c>
      <c r="H61" s="12">
        <v>180</v>
      </c>
      <c r="I61" s="12" t="s">
        <v>157</v>
      </c>
      <c r="J61" s="12"/>
      <c r="K61" s="12">
        <v>542</v>
      </c>
      <c r="L61" s="12">
        <f t="shared" si="19"/>
        <v>-74</v>
      </c>
      <c r="M61" s="12"/>
      <c r="N61" s="12"/>
      <c r="O61" s="12"/>
      <c r="P61" s="12">
        <f t="shared" si="20"/>
        <v>93.6</v>
      </c>
      <c r="Q61" s="4">
        <f t="shared" si="13"/>
        <v>701.39999999999986</v>
      </c>
      <c r="R61" s="4">
        <f t="shared" si="14"/>
        <v>672</v>
      </c>
      <c r="S61" s="12">
        <f t="shared" si="21"/>
        <v>13.685897435897436</v>
      </c>
      <c r="T61" s="12">
        <f t="shared" si="22"/>
        <v>6.5064102564102564</v>
      </c>
      <c r="U61" s="12">
        <v>71.400000000000006</v>
      </c>
      <c r="V61" s="12">
        <v>60.4</v>
      </c>
      <c r="W61" s="12">
        <v>47.8</v>
      </c>
      <c r="X61" s="12">
        <v>94.6</v>
      </c>
      <c r="Y61" s="12">
        <v>80.8</v>
      </c>
      <c r="Z61" s="12">
        <v>88.6</v>
      </c>
      <c r="AA61" s="12">
        <v>109</v>
      </c>
      <c r="AB61" s="12">
        <v>92</v>
      </c>
      <c r="AC61" s="12">
        <v>69.599999999999994</v>
      </c>
      <c r="AD61" s="12">
        <v>71.599999999999994</v>
      </c>
      <c r="AE61" s="12"/>
      <c r="AF61" s="12">
        <f t="shared" si="15"/>
        <v>210.41999999999996</v>
      </c>
      <c r="AG61" s="6">
        <v>12</v>
      </c>
      <c r="AH61" s="8">
        <f t="shared" si="16"/>
        <v>56</v>
      </c>
      <c r="AI61" s="12">
        <f t="shared" si="17"/>
        <v>201.6</v>
      </c>
      <c r="AJ61" s="12">
        <v>14</v>
      </c>
      <c r="AK61" s="12">
        <v>70</v>
      </c>
      <c r="AL61" s="8">
        <f t="shared" si="18"/>
        <v>0.8</v>
      </c>
      <c r="AM61" s="12">
        <f t="shared" si="6"/>
        <v>28.08</v>
      </c>
      <c r="AN61" s="12"/>
      <c r="AO61" s="12"/>
      <c r="AP61" s="12"/>
      <c r="AQ61" s="12"/>
      <c r="AR61" s="12"/>
      <c r="AS61" s="12"/>
      <c r="AT61" s="12"/>
      <c r="AU61" s="12"/>
      <c r="AV61" s="12"/>
    </row>
    <row r="62" spans="1:48" x14ac:dyDescent="0.25">
      <c r="A62" s="12" t="s">
        <v>158</v>
      </c>
      <c r="B62" s="12" t="s">
        <v>42</v>
      </c>
      <c r="C62" s="12">
        <v>1237</v>
      </c>
      <c r="D62" s="12">
        <v>33</v>
      </c>
      <c r="E62" s="12">
        <v>394</v>
      </c>
      <c r="F62" s="12">
        <v>817</v>
      </c>
      <c r="G62" s="6">
        <v>0.3</v>
      </c>
      <c r="H62" s="12">
        <v>180</v>
      </c>
      <c r="I62" s="12" t="s">
        <v>159</v>
      </c>
      <c r="J62" s="12"/>
      <c r="K62" s="12">
        <v>446</v>
      </c>
      <c r="L62" s="12">
        <f t="shared" si="19"/>
        <v>-52</v>
      </c>
      <c r="M62" s="12"/>
      <c r="N62" s="12"/>
      <c r="O62" s="12"/>
      <c r="P62" s="12">
        <f t="shared" si="20"/>
        <v>78.8</v>
      </c>
      <c r="Q62" s="4">
        <f t="shared" si="13"/>
        <v>286.20000000000005</v>
      </c>
      <c r="R62" s="4">
        <f t="shared" si="14"/>
        <v>336</v>
      </c>
      <c r="S62" s="12">
        <f t="shared" si="21"/>
        <v>14.631979695431472</v>
      </c>
      <c r="T62" s="12">
        <f t="shared" si="22"/>
        <v>10.368020304568528</v>
      </c>
      <c r="U62" s="12">
        <v>62.6</v>
      </c>
      <c r="V62" s="12">
        <v>49.8</v>
      </c>
      <c r="W62" s="12">
        <v>55.6</v>
      </c>
      <c r="X62" s="12">
        <v>105</v>
      </c>
      <c r="Y62" s="12">
        <v>95</v>
      </c>
      <c r="Z62" s="12">
        <v>85.4</v>
      </c>
      <c r="AA62" s="12">
        <v>107.8</v>
      </c>
      <c r="AB62" s="12">
        <v>92</v>
      </c>
      <c r="AC62" s="12">
        <v>85.2</v>
      </c>
      <c r="AD62" s="12">
        <v>81.8</v>
      </c>
      <c r="AE62" s="12"/>
      <c r="AF62" s="12">
        <f t="shared" si="15"/>
        <v>85.860000000000014</v>
      </c>
      <c r="AG62" s="6">
        <v>12</v>
      </c>
      <c r="AH62" s="8">
        <f t="shared" si="16"/>
        <v>28</v>
      </c>
      <c r="AI62" s="12">
        <f t="shared" si="17"/>
        <v>100.8</v>
      </c>
      <c r="AJ62" s="12">
        <v>14</v>
      </c>
      <c r="AK62" s="12">
        <v>70</v>
      </c>
      <c r="AL62" s="8">
        <f t="shared" si="18"/>
        <v>0.4</v>
      </c>
      <c r="AM62" s="12">
        <f t="shared" si="6"/>
        <v>23.639999999999997</v>
      </c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 x14ac:dyDescent="0.25">
      <c r="A63" s="12" t="s">
        <v>160</v>
      </c>
      <c r="B63" s="12" t="s">
        <v>42</v>
      </c>
      <c r="C63" s="12">
        <v>404</v>
      </c>
      <c r="D63" s="12">
        <v>63</v>
      </c>
      <c r="E63" s="12">
        <v>134</v>
      </c>
      <c r="F63" s="12">
        <v>288</v>
      </c>
      <c r="G63" s="6">
        <v>0.3</v>
      </c>
      <c r="H63" s="12">
        <v>180</v>
      </c>
      <c r="I63" s="12" t="s">
        <v>161</v>
      </c>
      <c r="J63" s="12"/>
      <c r="K63" s="12">
        <v>171</v>
      </c>
      <c r="L63" s="12">
        <f t="shared" si="19"/>
        <v>-37</v>
      </c>
      <c r="M63" s="12"/>
      <c r="N63" s="12"/>
      <c r="O63" s="12"/>
      <c r="P63" s="12">
        <f t="shared" si="20"/>
        <v>26.8</v>
      </c>
      <c r="Q63" s="4">
        <f>15*P63-F63</f>
        <v>114</v>
      </c>
      <c r="R63" s="4">
        <f t="shared" si="14"/>
        <v>196</v>
      </c>
      <c r="S63" s="12">
        <f t="shared" si="21"/>
        <v>18.059701492537314</v>
      </c>
      <c r="T63" s="12">
        <f t="shared" si="22"/>
        <v>10.746268656716417</v>
      </c>
      <c r="U63" s="12">
        <v>31.6</v>
      </c>
      <c r="V63" s="12">
        <v>31.2</v>
      </c>
      <c r="W63" s="12">
        <v>14.8</v>
      </c>
      <c r="X63" s="12">
        <v>47</v>
      </c>
      <c r="Y63" s="12">
        <v>23.2</v>
      </c>
      <c r="Z63" s="12">
        <v>59.8</v>
      </c>
      <c r="AA63" s="12">
        <v>28.4</v>
      </c>
      <c r="AB63" s="12">
        <v>10.4</v>
      </c>
      <c r="AC63" s="12">
        <v>0</v>
      </c>
      <c r="AD63" s="12">
        <v>15.8</v>
      </c>
      <c r="AE63" s="12"/>
      <c r="AF63" s="12">
        <f t="shared" si="15"/>
        <v>34.199999999999996</v>
      </c>
      <c r="AG63" s="6">
        <v>14</v>
      </c>
      <c r="AH63" s="8">
        <f t="shared" si="16"/>
        <v>14</v>
      </c>
      <c r="AI63" s="12">
        <f t="shared" si="17"/>
        <v>58.8</v>
      </c>
      <c r="AJ63" s="12">
        <v>14</v>
      </c>
      <c r="AK63" s="12">
        <v>70</v>
      </c>
      <c r="AL63" s="8">
        <f t="shared" si="18"/>
        <v>0.2</v>
      </c>
      <c r="AM63" s="12">
        <f t="shared" si="6"/>
        <v>8.0399999999999991</v>
      </c>
      <c r="AN63" s="12"/>
      <c r="AO63" s="12"/>
      <c r="AP63" s="12"/>
      <c r="AQ63" s="12"/>
      <c r="AR63" s="12"/>
      <c r="AS63" s="12"/>
      <c r="AT63" s="12"/>
      <c r="AU63" s="12"/>
      <c r="AV63" s="12"/>
    </row>
    <row r="64" spans="1:48" x14ac:dyDescent="0.25">
      <c r="A64" s="12" t="s">
        <v>162</v>
      </c>
      <c r="B64" s="12" t="s">
        <v>42</v>
      </c>
      <c r="C64" s="12">
        <v>2466</v>
      </c>
      <c r="D64" s="12">
        <v>64</v>
      </c>
      <c r="E64" s="12">
        <v>938</v>
      </c>
      <c r="F64" s="12">
        <v>1537</v>
      </c>
      <c r="G64" s="6">
        <v>0.25</v>
      </c>
      <c r="H64" s="12">
        <v>180</v>
      </c>
      <c r="I64" s="12" t="s">
        <v>163</v>
      </c>
      <c r="J64" s="12"/>
      <c r="K64" s="12">
        <v>990</v>
      </c>
      <c r="L64" s="12">
        <f t="shared" si="19"/>
        <v>-52</v>
      </c>
      <c r="M64" s="12"/>
      <c r="N64" s="12"/>
      <c r="O64" s="12"/>
      <c r="P64" s="12">
        <f t="shared" si="20"/>
        <v>187.6</v>
      </c>
      <c r="Q64" s="4">
        <f t="shared" si="13"/>
        <v>1089.4000000000001</v>
      </c>
      <c r="R64" s="4">
        <f t="shared" si="14"/>
        <v>1008</v>
      </c>
      <c r="S64" s="12">
        <f t="shared" si="21"/>
        <v>13.566098081023455</v>
      </c>
      <c r="T64" s="12">
        <f t="shared" si="22"/>
        <v>8.1929637526652446</v>
      </c>
      <c r="U64" s="12">
        <v>139</v>
      </c>
      <c r="V64" s="12">
        <v>118</v>
      </c>
      <c r="W64" s="12">
        <v>132.4</v>
      </c>
      <c r="X64" s="12">
        <v>225.4</v>
      </c>
      <c r="Y64" s="12">
        <v>164.4</v>
      </c>
      <c r="Z64" s="12">
        <v>172</v>
      </c>
      <c r="AA64" s="12">
        <v>171.6</v>
      </c>
      <c r="AB64" s="12">
        <v>160</v>
      </c>
      <c r="AC64" s="12">
        <v>134.4</v>
      </c>
      <c r="AD64" s="12">
        <v>129.19999999999999</v>
      </c>
      <c r="AE64" s="12"/>
      <c r="AF64" s="12">
        <f t="shared" si="15"/>
        <v>272.35000000000002</v>
      </c>
      <c r="AG64" s="6">
        <v>12</v>
      </c>
      <c r="AH64" s="8">
        <f t="shared" si="16"/>
        <v>84</v>
      </c>
      <c r="AI64" s="12">
        <f t="shared" si="17"/>
        <v>252</v>
      </c>
      <c r="AJ64" s="12">
        <v>14</v>
      </c>
      <c r="AK64" s="12">
        <v>70</v>
      </c>
      <c r="AL64" s="8">
        <f t="shared" si="18"/>
        <v>1.2</v>
      </c>
      <c r="AM64" s="12">
        <f t="shared" si="6"/>
        <v>46.9</v>
      </c>
      <c r="AN64" s="12"/>
      <c r="AO64" s="12"/>
      <c r="AP64" s="12"/>
      <c r="AQ64" s="12"/>
      <c r="AR64" s="12"/>
      <c r="AS64" s="12"/>
      <c r="AT64" s="12"/>
      <c r="AU64" s="12"/>
      <c r="AV64" s="12"/>
    </row>
    <row r="65" spans="1:48" x14ac:dyDescent="0.25">
      <c r="A65" s="12" t="s">
        <v>164</v>
      </c>
      <c r="B65" s="12" t="s">
        <v>42</v>
      </c>
      <c r="C65" s="12">
        <v>1823</v>
      </c>
      <c r="D65" s="12">
        <v>95</v>
      </c>
      <c r="E65" s="12">
        <v>840</v>
      </c>
      <c r="F65" s="12">
        <v>1000</v>
      </c>
      <c r="G65" s="6">
        <v>0.25</v>
      </c>
      <c r="H65" s="12">
        <v>180</v>
      </c>
      <c r="I65" s="12" t="s">
        <v>165</v>
      </c>
      <c r="J65" s="12"/>
      <c r="K65" s="12">
        <v>920</v>
      </c>
      <c r="L65" s="12">
        <f t="shared" si="19"/>
        <v>-80</v>
      </c>
      <c r="M65" s="12"/>
      <c r="N65" s="12"/>
      <c r="O65" s="12"/>
      <c r="P65" s="12">
        <f t="shared" si="20"/>
        <v>168</v>
      </c>
      <c r="Q65" s="4">
        <f t="shared" si="13"/>
        <v>1352</v>
      </c>
      <c r="R65" s="4">
        <f t="shared" si="14"/>
        <v>1344</v>
      </c>
      <c r="S65" s="12">
        <f t="shared" si="21"/>
        <v>13.952380952380953</v>
      </c>
      <c r="T65" s="12">
        <f t="shared" si="22"/>
        <v>5.9523809523809526</v>
      </c>
      <c r="U65" s="12">
        <v>118</v>
      </c>
      <c r="V65" s="12">
        <v>97</v>
      </c>
      <c r="W65" s="12">
        <v>111.2</v>
      </c>
      <c r="X65" s="12">
        <v>171.2</v>
      </c>
      <c r="Y65" s="12">
        <v>152.19999999999999</v>
      </c>
      <c r="Z65" s="12">
        <v>189.8</v>
      </c>
      <c r="AA65" s="12">
        <v>190.2</v>
      </c>
      <c r="AB65" s="12">
        <v>123.2</v>
      </c>
      <c r="AC65" s="12">
        <v>47.8</v>
      </c>
      <c r="AD65" s="12">
        <v>136.4</v>
      </c>
      <c r="AE65" s="12"/>
      <c r="AF65" s="12">
        <f t="shared" si="15"/>
        <v>338</v>
      </c>
      <c r="AG65" s="6">
        <v>12</v>
      </c>
      <c r="AH65" s="8">
        <f t="shared" si="16"/>
        <v>112</v>
      </c>
      <c r="AI65" s="12">
        <f t="shared" si="17"/>
        <v>336</v>
      </c>
      <c r="AJ65" s="12">
        <v>14</v>
      </c>
      <c r="AK65" s="12">
        <v>70</v>
      </c>
      <c r="AL65" s="8">
        <f t="shared" si="18"/>
        <v>1.6</v>
      </c>
      <c r="AM65" s="12">
        <f t="shared" si="6"/>
        <v>42</v>
      </c>
      <c r="AN65" s="12"/>
      <c r="AO65" s="12"/>
      <c r="AP65" s="12"/>
      <c r="AQ65" s="12"/>
      <c r="AR65" s="12"/>
      <c r="AS65" s="12"/>
      <c r="AT65" s="12"/>
      <c r="AU65" s="12"/>
      <c r="AV65" s="12"/>
    </row>
    <row r="66" spans="1:48" x14ac:dyDescent="0.25">
      <c r="A66" s="12" t="s">
        <v>166</v>
      </c>
      <c r="B66" s="12" t="s">
        <v>42</v>
      </c>
      <c r="C66" s="12">
        <v>313</v>
      </c>
      <c r="D66" s="12">
        <v>4</v>
      </c>
      <c r="E66" s="12">
        <v>71</v>
      </c>
      <c r="F66" s="12">
        <v>242</v>
      </c>
      <c r="G66" s="6">
        <v>0.2</v>
      </c>
      <c r="H66" s="12">
        <v>365</v>
      </c>
      <c r="I66" s="12" t="s">
        <v>167</v>
      </c>
      <c r="J66" s="12"/>
      <c r="K66" s="12">
        <v>76</v>
      </c>
      <c r="L66" s="12">
        <f t="shared" si="19"/>
        <v>-5</v>
      </c>
      <c r="M66" s="12"/>
      <c r="N66" s="12"/>
      <c r="O66" s="12"/>
      <c r="P66" s="12">
        <f t="shared" si="20"/>
        <v>14.2</v>
      </c>
      <c r="Q66" s="4"/>
      <c r="R66" s="4">
        <f t="shared" si="14"/>
        <v>0</v>
      </c>
      <c r="S66" s="12">
        <f t="shared" si="21"/>
        <v>17.04225352112676</v>
      </c>
      <c r="T66" s="12">
        <f t="shared" si="22"/>
        <v>17.04225352112676</v>
      </c>
      <c r="U66" s="12">
        <v>9.1999999999999993</v>
      </c>
      <c r="V66" s="12">
        <v>11</v>
      </c>
      <c r="W66" s="12">
        <v>12.4</v>
      </c>
      <c r="X66" s="12">
        <v>29.2</v>
      </c>
      <c r="Y66" s="12">
        <v>25.4</v>
      </c>
      <c r="Z66" s="12">
        <v>27.6</v>
      </c>
      <c r="AA66" s="12">
        <v>15</v>
      </c>
      <c r="AB66" s="12">
        <v>8.8000000000000007</v>
      </c>
      <c r="AC66" s="12">
        <v>29.6</v>
      </c>
      <c r="AD66" s="12">
        <v>25.2</v>
      </c>
      <c r="AE66" s="12"/>
      <c r="AF66" s="12">
        <f t="shared" si="15"/>
        <v>0</v>
      </c>
      <c r="AG66" s="6">
        <v>6</v>
      </c>
      <c r="AH66" s="8">
        <f t="shared" si="16"/>
        <v>0</v>
      </c>
      <c r="AI66" s="12">
        <f t="shared" si="17"/>
        <v>0</v>
      </c>
      <c r="AJ66" s="12">
        <v>14</v>
      </c>
      <c r="AK66" s="12">
        <v>140</v>
      </c>
      <c r="AL66" s="8">
        <f t="shared" si="18"/>
        <v>0</v>
      </c>
      <c r="AM66" s="12">
        <f t="shared" si="6"/>
        <v>2.84</v>
      </c>
      <c r="AN66" s="12"/>
      <c r="AO66" s="12"/>
      <c r="AP66" s="12"/>
      <c r="AQ66" s="12"/>
      <c r="AR66" s="12"/>
      <c r="AS66" s="12"/>
      <c r="AT66" s="12"/>
      <c r="AU66" s="12"/>
      <c r="AV66" s="12"/>
    </row>
    <row r="67" spans="1:48" x14ac:dyDescent="0.25">
      <c r="A67" s="12" t="s">
        <v>168</v>
      </c>
      <c r="B67" s="12" t="s">
        <v>42</v>
      </c>
      <c r="C67" s="12">
        <v>466</v>
      </c>
      <c r="D67" s="12">
        <v>30</v>
      </c>
      <c r="E67" s="12">
        <v>96</v>
      </c>
      <c r="F67" s="12">
        <v>373</v>
      </c>
      <c r="G67" s="6">
        <v>0.23</v>
      </c>
      <c r="H67" s="12">
        <v>180</v>
      </c>
      <c r="I67" s="12" t="s">
        <v>169</v>
      </c>
      <c r="J67" s="12"/>
      <c r="K67" s="12">
        <v>124</v>
      </c>
      <c r="L67" s="12">
        <f t="shared" si="19"/>
        <v>-28</v>
      </c>
      <c r="M67" s="12"/>
      <c r="N67" s="12"/>
      <c r="O67" s="12"/>
      <c r="P67" s="12">
        <f t="shared" si="20"/>
        <v>19.2</v>
      </c>
      <c r="Q67" s="4"/>
      <c r="R67" s="4">
        <f t="shared" si="14"/>
        <v>0</v>
      </c>
      <c r="S67" s="12">
        <f t="shared" si="21"/>
        <v>19.427083333333336</v>
      </c>
      <c r="T67" s="12">
        <f t="shared" si="22"/>
        <v>19.427083333333336</v>
      </c>
      <c r="U67" s="12">
        <v>15.2</v>
      </c>
      <c r="V67" s="12">
        <v>14.8</v>
      </c>
      <c r="W67" s="12">
        <v>17.600000000000001</v>
      </c>
      <c r="X67" s="12">
        <v>45.6</v>
      </c>
      <c r="Y67" s="12">
        <v>33.4</v>
      </c>
      <c r="Z67" s="12">
        <v>28.4</v>
      </c>
      <c r="AA67" s="12">
        <v>37.4</v>
      </c>
      <c r="AB67" s="12">
        <v>35.200000000000003</v>
      </c>
      <c r="AC67" s="12">
        <v>12.6</v>
      </c>
      <c r="AD67" s="12">
        <v>46.6</v>
      </c>
      <c r="AE67" s="19" t="s">
        <v>174</v>
      </c>
      <c r="AF67" s="12">
        <f t="shared" si="15"/>
        <v>0</v>
      </c>
      <c r="AG67" s="6">
        <v>6</v>
      </c>
      <c r="AH67" s="8">
        <f t="shared" si="16"/>
        <v>0</v>
      </c>
      <c r="AI67" s="12">
        <f t="shared" si="17"/>
        <v>0</v>
      </c>
      <c r="AJ67" s="12">
        <v>14</v>
      </c>
      <c r="AK67" s="12">
        <v>140</v>
      </c>
      <c r="AL67" s="8">
        <f t="shared" si="18"/>
        <v>0</v>
      </c>
      <c r="AM67" s="12">
        <f t="shared" si="6"/>
        <v>4.4160000000000004</v>
      </c>
      <c r="AN67" s="12"/>
      <c r="AO67" s="12"/>
      <c r="AP67" s="12"/>
      <c r="AQ67" s="12"/>
      <c r="AR67" s="12"/>
      <c r="AS67" s="12"/>
      <c r="AT67" s="12"/>
      <c r="AU67" s="12"/>
      <c r="AV67" s="12"/>
    </row>
    <row r="68" spans="1:48" x14ac:dyDescent="0.25">
      <c r="A68" s="12" t="s">
        <v>170</v>
      </c>
      <c r="B68" s="12" t="s">
        <v>50</v>
      </c>
      <c r="C68" s="12">
        <v>129.6</v>
      </c>
      <c r="D68" s="12">
        <v>2.7</v>
      </c>
      <c r="E68" s="12">
        <v>24.3</v>
      </c>
      <c r="F68" s="12">
        <v>105.3</v>
      </c>
      <c r="G68" s="6">
        <v>1</v>
      </c>
      <c r="H68" s="12">
        <v>180</v>
      </c>
      <c r="I68" s="12" t="s">
        <v>171</v>
      </c>
      <c r="J68" s="12"/>
      <c r="K68" s="12">
        <v>26.8</v>
      </c>
      <c r="L68" s="12">
        <f t="shared" si="19"/>
        <v>-2.5</v>
      </c>
      <c r="M68" s="12"/>
      <c r="N68" s="12"/>
      <c r="O68" s="12"/>
      <c r="P68" s="12">
        <f t="shared" si="20"/>
        <v>4.8600000000000003</v>
      </c>
      <c r="Q68" s="4"/>
      <c r="R68" s="4">
        <f t="shared" si="14"/>
        <v>0</v>
      </c>
      <c r="S68" s="12">
        <f t="shared" si="21"/>
        <v>21.666666666666664</v>
      </c>
      <c r="T68" s="12">
        <f t="shared" si="22"/>
        <v>21.666666666666664</v>
      </c>
      <c r="U68" s="12">
        <v>3.78</v>
      </c>
      <c r="V68" s="12">
        <v>2.7</v>
      </c>
      <c r="W68" s="12">
        <v>2.16</v>
      </c>
      <c r="X68" s="12">
        <v>0.54</v>
      </c>
      <c r="Y68" s="12">
        <v>14.58</v>
      </c>
      <c r="Z68" s="12">
        <v>10.26</v>
      </c>
      <c r="AA68" s="12">
        <v>8.1</v>
      </c>
      <c r="AB68" s="12">
        <v>8.1</v>
      </c>
      <c r="AC68" s="12">
        <v>10.26</v>
      </c>
      <c r="AD68" s="12">
        <v>9.7200000000000006</v>
      </c>
      <c r="AE68" s="19" t="s">
        <v>174</v>
      </c>
      <c r="AF68" s="12">
        <f t="shared" si="15"/>
        <v>0</v>
      </c>
      <c r="AG68" s="6">
        <v>2.7</v>
      </c>
      <c r="AH68" s="8">
        <f t="shared" si="16"/>
        <v>0</v>
      </c>
      <c r="AI68" s="12">
        <f t="shared" si="17"/>
        <v>0</v>
      </c>
      <c r="AJ68" s="12">
        <v>14</v>
      </c>
      <c r="AK68" s="12">
        <v>126</v>
      </c>
      <c r="AL68" s="8">
        <f t="shared" si="18"/>
        <v>0</v>
      </c>
      <c r="AM68" s="12">
        <f t="shared" si="6"/>
        <v>4.8600000000000003</v>
      </c>
      <c r="AN68" s="12"/>
      <c r="AO68" s="12"/>
      <c r="AP68" s="12"/>
      <c r="AQ68" s="12"/>
      <c r="AR68" s="12"/>
      <c r="AS68" s="12"/>
      <c r="AT68" s="12"/>
      <c r="AU68" s="12"/>
      <c r="AV68" s="12"/>
    </row>
    <row r="69" spans="1:48" x14ac:dyDescent="0.25">
      <c r="A69" s="12" t="s">
        <v>172</v>
      </c>
      <c r="B69" s="12" t="s">
        <v>50</v>
      </c>
      <c r="C69" s="12">
        <v>730</v>
      </c>
      <c r="D69" s="12">
        <v>30</v>
      </c>
      <c r="E69" s="12">
        <v>265</v>
      </c>
      <c r="F69" s="12">
        <v>465</v>
      </c>
      <c r="G69" s="6">
        <v>1</v>
      </c>
      <c r="H69" s="12">
        <v>180</v>
      </c>
      <c r="I69" s="12" t="s">
        <v>173</v>
      </c>
      <c r="J69" s="12"/>
      <c r="K69" s="12">
        <v>295</v>
      </c>
      <c r="L69" s="12">
        <f t="shared" si="19"/>
        <v>-30</v>
      </c>
      <c r="M69" s="12"/>
      <c r="N69" s="12"/>
      <c r="O69" s="12"/>
      <c r="P69" s="12">
        <f t="shared" si="20"/>
        <v>53</v>
      </c>
      <c r="Q69" s="4">
        <f t="shared" si="13"/>
        <v>277</v>
      </c>
      <c r="R69" s="4">
        <f t="shared" si="14"/>
        <v>300</v>
      </c>
      <c r="S69" s="12">
        <f t="shared" si="21"/>
        <v>14.433962264150944</v>
      </c>
      <c r="T69" s="12">
        <f t="shared" si="22"/>
        <v>8.7735849056603765</v>
      </c>
      <c r="U69" s="12">
        <v>46</v>
      </c>
      <c r="V69" s="12">
        <v>41</v>
      </c>
      <c r="W69" s="12">
        <v>44.54</v>
      </c>
      <c r="X69" s="12">
        <v>68.58</v>
      </c>
      <c r="Y69" s="12">
        <v>63</v>
      </c>
      <c r="Z69" s="12">
        <v>68</v>
      </c>
      <c r="AA69" s="12">
        <v>63</v>
      </c>
      <c r="AB69" s="12">
        <v>80</v>
      </c>
      <c r="AC69" s="12">
        <v>54.54</v>
      </c>
      <c r="AD69" s="12">
        <v>84.539999999999992</v>
      </c>
      <c r="AE69" s="12"/>
      <c r="AF69" s="12">
        <f t="shared" si="15"/>
        <v>277</v>
      </c>
      <c r="AG69" s="6">
        <v>5</v>
      </c>
      <c r="AH69" s="8">
        <f t="shared" si="16"/>
        <v>60</v>
      </c>
      <c r="AI69" s="12">
        <f t="shared" si="17"/>
        <v>300</v>
      </c>
      <c r="AJ69" s="12">
        <v>12</v>
      </c>
      <c r="AK69" s="12">
        <v>84</v>
      </c>
      <c r="AL69" s="8">
        <f t="shared" si="18"/>
        <v>0.7142857142857143</v>
      </c>
      <c r="AM69" s="12">
        <f t="shared" si="6"/>
        <v>53</v>
      </c>
      <c r="AN69" s="12"/>
      <c r="AO69" s="12"/>
      <c r="AP69" s="12"/>
      <c r="AQ69" s="12"/>
      <c r="AR69" s="12"/>
      <c r="AS69" s="12"/>
      <c r="AT69" s="12"/>
      <c r="AU69" s="12"/>
      <c r="AV69" s="12"/>
    </row>
    <row r="70" spans="1:48" x14ac:dyDescent="0.25">
      <c r="A70" s="12"/>
      <c r="B70" s="12"/>
      <c r="C70" s="12"/>
      <c r="D70" s="12"/>
      <c r="E70" s="12"/>
      <c r="F70" s="12"/>
      <c r="G70" s="6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6"/>
      <c r="AH70" s="8"/>
      <c r="AI70" s="12"/>
      <c r="AJ70" s="12"/>
      <c r="AK70" s="12"/>
      <c r="AL70" s="8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1:48" x14ac:dyDescent="0.25">
      <c r="A71" s="12"/>
      <c r="B71" s="12"/>
      <c r="C71" s="12"/>
      <c r="D71" s="12"/>
      <c r="E71" s="12"/>
      <c r="F71" s="12"/>
      <c r="G71" s="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8"/>
      <c r="AI71" s="12"/>
      <c r="AJ71" s="12"/>
      <c r="AK71" s="12"/>
      <c r="AL71" s="8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1:48" x14ac:dyDescent="0.25">
      <c r="A72" s="12"/>
      <c r="B72" s="12"/>
      <c r="C72" s="12"/>
      <c r="D72" s="12"/>
      <c r="E72" s="12"/>
      <c r="F72" s="12"/>
      <c r="G72" s="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6"/>
      <c r="AH72" s="8"/>
      <c r="AI72" s="12"/>
      <c r="AJ72" s="12"/>
      <c r="AK72" s="12"/>
      <c r="AL72" s="8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1:48" x14ac:dyDescent="0.25">
      <c r="A73" s="12"/>
      <c r="B73" s="12"/>
      <c r="C73" s="12"/>
      <c r="D73" s="12"/>
      <c r="E73" s="12"/>
      <c r="F73" s="12"/>
      <c r="G73" s="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6"/>
      <c r="AH73" s="8"/>
      <c r="AI73" s="12"/>
      <c r="AJ73" s="12"/>
      <c r="AK73" s="12"/>
      <c r="AL73" s="8"/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1:48" x14ac:dyDescent="0.25">
      <c r="A74" s="12"/>
      <c r="B74" s="12"/>
      <c r="C74" s="12"/>
      <c r="D74" s="12"/>
      <c r="E74" s="12"/>
      <c r="F74" s="12"/>
      <c r="G74" s="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6"/>
      <c r="AH74" s="8"/>
      <c r="AI74" s="12"/>
      <c r="AJ74" s="12"/>
      <c r="AK74" s="12"/>
      <c r="AL74" s="8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1:48" x14ac:dyDescent="0.25">
      <c r="A75" s="12"/>
      <c r="B75" s="12"/>
      <c r="C75" s="12"/>
      <c r="D75" s="12"/>
      <c r="E75" s="12"/>
      <c r="F75" s="12"/>
      <c r="G75" s="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6"/>
      <c r="AH75" s="8"/>
      <c r="AI75" s="12"/>
      <c r="AJ75" s="12"/>
      <c r="AK75" s="12"/>
      <c r="AL75" s="8"/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1:48" x14ac:dyDescent="0.25">
      <c r="A76" s="12"/>
      <c r="B76" s="12"/>
      <c r="C76" s="12"/>
      <c r="D76" s="12"/>
      <c r="E76" s="12"/>
      <c r="F76" s="12"/>
      <c r="G76" s="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6"/>
      <c r="AH76" s="8"/>
      <c r="AI76" s="12"/>
      <c r="AJ76" s="12"/>
      <c r="AK76" s="12"/>
      <c r="AL76" s="8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1:48" x14ac:dyDescent="0.25">
      <c r="A77" s="12"/>
      <c r="B77" s="12"/>
      <c r="C77" s="12"/>
      <c r="D77" s="12"/>
      <c r="E77" s="12"/>
      <c r="F77" s="12"/>
      <c r="G77" s="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6"/>
      <c r="AH77" s="8"/>
      <c r="AI77" s="12"/>
      <c r="AJ77" s="12"/>
      <c r="AK77" s="12"/>
      <c r="AL77" s="8"/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1:48" x14ac:dyDescent="0.25">
      <c r="A78" s="12"/>
      <c r="B78" s="12"/>
      <c r="C78" s="12"/>
      <c r="D78" s="12"/>
      <c r="E78" s="12"/>
      <c r="F78" s="12"/>
      <c r="G78" s="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6"/>
      <c r="AH78" s="8"/>
      <c r="AI78" s="12"/>
      <c r="AJ78" s="12"/>
      <c r="AK78" s="12"/>
      <c r="AL78" s="8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1:48" x14ac:dyDescent="0.25">
      <c r="A79" s="12"/>
      <c r="B79" s="12"/>
      <c r="C79" s="12"/>
      <c r="D79" s="12"/>
      <c r="E79" s="12"/>
      <c r="F79" s="12"/>
      <c r="G79" s="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6"/>
      <c r="AH79" s="8"/>
      <c r="AI79" s="12"/>
      <c r="AJ79" s="12"/>
      <c r="AK79" s="12"/>
      <c r="AL79" s="8"/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1:48" x14ac:dyDescent="0.25">
      <c r="A80" s="12"/>
      <c r="B80" s="12"/>
      <c r="C80" s="12"/>
      <c r="D80" s="12"/>
      <c r="E80" s="12"/>
      <c r="F80" s="12"/>
      <c r="G80" s="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6"/>
      <c r="AH80" s="8"/>
      <c r="AI80" s="12"/>
      <c r="AJ80" s="12"/>
      <c r="AK80" s="12"/>
      <c r="AL80" s="8"/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1:48" x14ac:dyDescent="0.25">
      <c r="A81" s="12"/>
      <c r="B81" s="12"/>
      <c r="C81" s="12"/>
      <c r="D81" s="12"/>
      <c r="E81" s="12"/>
      <c r="F81" s="12"/>
      <c r="G81" s="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6"/>
      <c r="AH81" s="8"/>
      <c r="AI81" s="12"/>
      <c r="AJ81" s="12"/>
      <c r="AK81" s="12"/>
      <c r="AL81" s="8"/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spans="1:48" x14ac:dyDescent="0.25">
      <c r="A82" s="12"/>
      <c r="B82" s="12"/>
      <c r="C82" s="12"/>
      <c r="D82" s="12"/>
      <c r="E82" s="12"/>
      <c r="F82" s="12"/>
      <c r="G82" s="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6"/>
      <c r="AH82" s="8"/>
      <c r="AI82" s="12"/>
      <c r="AJ82" s="12"/>
      <c r="AK82" s="12"/>
      <c r="AL82" s="8"/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1:48" x14ac:dyDescent="0.25">
      <c r="A83" s="12"/>
      <c r="B83" s="12"/>
      <c r="C83" s="12"/>
      <c r="D83" s="12"/>
      <c r="E83" s="12"/>
      <c r="F83" s="12"/>
      <c r="G83" s="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6"/>
      <c r="AH83" s="8"/>
      <c r="AI83" s="12"/>
      <c r="AJ83" s="12"/>
      <c r="AK83" s="12"/>
      <c r="AL83" s="8"/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spans="1:48" x14ac:dyDescent="0.25">
      <c r="A84" s="12"/>
      <c r="B84" s="12"/>
      <c r="C84" s="12"/>
      <c r="D84" s="12"/>
      <c r="E84" s="12"/>
      <c r="F84" s="12"/>
      <c r="G84" s="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6"/>
      <c r="AH84" s="8"/>
      <c r="AI84" s="12"/>
      <c r="AJ84" s="12"/>
      <c r="AK84" s="12"/>
      <c r="AL84" s="8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1:48" x14ac:dyDescent="0.25">
      <c r="A85" s="12"/>
      <c r="B85" s="12"/>
      <c r="C85" s="12"/>
      <c r="D85" s="12"/>
      <c r="E85" s="12"/>
      <c r="F85" s="12"/>
      <c r="G85" s="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6"/>
      <c r="AH85" s="8"/>
      <c r="AI85" s="12"/>
      <c r="AJ85" s="12"/>
      <c r="AK85" s="12"/>
      <c r="AL85" s="8"/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spans="1:48" x14ac:dyDescent="0.25">
      <c r="A86" s="12"/>
      <c r="B86" s="12"/>
      <c r="C86" s="12"/>
      <c r="D86" s="12"/>
      <c r="E86" s="12"/>
      <c r="F86" s="12"/>
      <c r="G86" s="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6"/>
      <c r="AH86" s="8"/>
      <c r="AI86" s="12"/>
      <c r="AJ86" s="12"/>
      <c r="AK86" s="12"/>
      <c r="AL86" s="8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1:48" x14ac:dyDescent="0.25">
      <c r="A87" s="12"/>
      <c r="B87" s="12"/>
      <c r="C87" s="12"/>
      <c r="D87" s="12"/>
      <c r="E87" s="12"/>
      <c r="F87" s="12"/>
      <c r="G87" s="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6"/>
      <c r="AH87" s="8"/>
      <c r="AI87" s="12"/>
      <c r="AJ87" s="12"/>
      <c r="AK87" s="12"/>
      <c r="AL87" s="8"/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spans="1:48" x14ac:dyDescent="0.25">
      <c r="A88" s="12"/>
      <c r="B88" s="12"/>
      <c r="C88" s="12"/>
      <c r="D88" s="12"/>
      <c r="E88" s="12"/>
      <c r="F88" s="12"/>
      <c r="G88" s="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6"/>
      <c r="AH88" s="8"/>
      <c r="AI88" s="12"/>
      <c r="AJ88" s="12"/>
      <c r="AK88" s="12"/>
      <c r="AL88" s="8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1:48" x14ac:dyDescent="0.25">
      <c r="A89" s="12"/>
      <c r="B89" s="12"/>
      <c r="C89" s="12"/>
      <c r="D89" s="12"/>
      <c r="E89" s="12"/>
      <c r="F89" s="12"/>
      <c r="G89" s="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6"/>
      <c r="AH89" s="8"/>
      <c r="AI89" s="12"/>
      <c r="AJ89" s="12"/>
      <c r="AK89" s="12"/>
      <c r="AL89" s="8"/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spans="1:48" x14ac:dyDescent="0.25">
      <c r="A90" s="12"/>
      <c r="B90" s="12"/>
      <c r="C90" s="12"/>
      <c r="D90" s="12"/>
      <c r="E90" s="12"/>
      <c r="F90" s="12"/>
      <c r="G90" s="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6"/>
      <c r="AH90" s="8"/>
      <c r="AI90" s="12"/>
      <c r="AJ90" s="12"/>
      <c r="AK90" s="12"/>
      <c r="AL90" s="8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1:48" x14ac:dyDescent="0.2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6"/>
      <c r="AH91" s="8"/>
      <c r="AI91" s="12"/>
      <c r="AJ91" s="12"/>
      <c r="AK91" s="12"/>
      <c r="AL91" s="8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spans="1:48" x14ac:dyDescent="0.2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6"/>
      <c r="AH92" s="8"/>
      <c r="AI92" s="12"/>
      <c r="AJ92" s="12"/>
      <c r="AK92" s="12"/>
      <c r="AL92" s="8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1:48" x14ac:dyDescent="0.2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6"/>
      <c r="AH93" s="8"/>
      <c r="AI93" s="12"/>
      <c r="AJ93" s="12"/>
      <c r="AK93" s="12"/>
      <c r="AL93" s="8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spans="1:48" x14ac:dyDescent="0.2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6"/>
      <c r="AH94" s="8"/>
      <c r="AI94" s="12"/>
      <c r="AJ94" s="12"/>
      <c r="AK94" s="12"/>
      <c r="AL94" s="8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1:48" x14ac:dyDescent="0.2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6"/>
      <c r="AH95" s="8"/>
      <c r="AI95" s="12"/>
      <c r="AJ95" s="12"/>
      <c r="AK95" s="12"/>
      <c r="AL95" s="8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spans="1:48" x14ac:dyDescent="0.2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6"/>
      <c r="AH96" s="8"/>
      <c r="AI96" s="12"/>
      <c r="AJ96" s="12"/>
      <c r="AK96" s="12"/>
      <c r="AL96" s="8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1:48" x14ac:dyDescent="0.2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6"/>
      <c r="AH97" s="8"/>
      <c r="AI97" s="12"/>
      <c r="AJ97" s="12"/>
      <c r="AK97" s="12"/>
      <c r="AL97" s="8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spans="1:48" x14ac:dyDescent="0.2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6"/>
      <c r="AH98" s="8"/>
      <c r="AI98" s="12"/>
      <c r="AJ98" s="12"/>
      <c r="AK98" s="12"/>
      <c r="AL98" s="8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 x14ac:dyDescent="0.2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6"/>
      <c r="AH99" s="8"/>
      <c r="AI99" s="12"/>
      <c r="AJ99" s="12"/>
      <c r="AK99" s="12"/>
      <c r="AL99" s="8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 x14ac:dyDescent="0.2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6"/>
      <c r="AH100" s="8"/>
      <c r="AI100" s="12"/>
      <c r="AJ100" s="12"/>
      <c r="AK100" s="12"/>
      <c r="AL100" s="8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 x14ac:dyDescent="0.2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6"/>
      <c r="AH101" s="8"/>
      <c r="AI101" s="12"/>
      <c r="AJ101" s="12"/>
      <c r="AK101" s="12"/>
      <c r="AL101" s="8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 x14ac:dyDescent="0.2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6"/>
      <c r="AH102" s="8"/>
      <c r="AI102" s="12"/>
      <c r="AJ102" s="12"/>
      <c r="AK102" s="12"/>
      <c r="AL102" s="8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 x14ac:dyDescent="0.2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6"/>
      <c r="AH103" s="8"/>
      <c r="AI103" s="12"/>
      <c r="AJ103" s="12"/>
      <c r="AK103" s="12"/>
      <c r="AL103" s="8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 x14ac:dyDescent="0.2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6"/>
      <c r="AH104" s="8"/>
      <c r="AI104" s="12"/>
      <c r="AJ104" s="12"/>
      <c r="AK104" s="12"/>
      <c r="AL104" s="8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 x14ac:dyDescent="0.2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6"/>
      <c r="AH105" s="8"/>
      <c r="AI105" s="12"/>
      <c r="AJ105" s="12"/>
      <c r="AK105" s="12"/>
      <c r="AL105" s="8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6"/>
      <c r="AH106" s="8"/>
      <c r="AI106" s="12"/>
      <c r="AJ106" s="12"/>
      <c r="AK106" s="12"/>
      <c r="AL106" s="8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6"/>
      <c r="AH107" s="8"/>
      <c r="AI107" s="12"/>
      <c r="AJ107" s="12"/>
      <c r="AK107" s="12"/>
      <c r="AL107" s="8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6"/>
      <c r="AH108" s="8"/>
      <c r="AI108" s="12"/>
      <c r="AJ108" s="12"/>
      <c r="AK108" s="12"/>
      <c r="AL108" s="8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6"/>
      <c r="AH109" s="8"/>
      <c r="AI109" s="12"/>
      <c r="AJ109" s="12"/>
      <c r="AK109" s="12"/>
      <c r="AL109" s="8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6"/>
      <c r="AH110" s="8"/>
      <c r="AI110" s="12"/>
      <c r="AJ110" s="12"/>
      <c r="AK110" s="12"/>
      <c r="AL110" s="8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6"/>
      <c r="AH111" s="8"/>
      <c r="AI111" s="12"/>
      <c r="AJ111" s="12"/>
      <c r="AK111" s="12"/>
      <c r="AL111" s="8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6"/>
      <c r="AH112" s="8"/>
      <c r="AI112" s="12"/>
      <c r="AJ112" s="12"/>
      <c r="AK112" s="12"/>
      <c r="AL112" s="8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6"/>
      <c r="AH113" s="8"/>
      <c r="AI113" s="12"/>
      <c r="AJ113" s="12"/>
      <c r="AK113" s="12"/>
      <c r="AL113" s="8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6"/>
      <c r="AH114" s="8"/>
      <c r="AI114" s="12"/>
      <c r="AJ114" s="12"/>
      <c r="AK114" s="12"/>
      <c r="AL114" s="8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6"/>
      <c r="AH115" s="8"/>
      <c r="AI115" s="12"/>
      <c r="AJ115" s="12"/>
      <c r="AK115" s="12"/>
      <c r="AL115" s="8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6"/>
      <c r="AH116" s="8"/>
      <c r="AI116" s="12"/>
      <c r="AJ116" s="12"/>
      <c r="AK116" s="12"/>
      <c r="AL116" s="8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6"/>
      <c r="AH117" s="8"/>
      <c r="AI117" s="12"/>
      <c r="AJ117" s="12"/>
      <c r="AK117" s="12"/>
      <c r="AL117" s="8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6"/>
      <c r="AH118" s="8"/>
      <c r="AI118" s="12"/>
      <c r="AJ118" s="12"/>
      <c r="AK118" s="12"/>
      <c r="AL118" s="8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6"/>
      <c r="AH119" s="8"/>
      <c r="AI119" s="12"/>
      <c r="AJ119" s="12"/>
      <c r="AK119" s="12"/>
      <c r="AL119" s="8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6"/>
      <c r="AH120" s="8"/>
      <c r="AI120" s="12"/>
      <c r="AJ120" s="12"/>
      <c r="AK120" s="12"/>
      <c r="AL120" s="8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6"/>
      <c r="AH121" s="8"/>
      <c r="AI121" s="12"/>
      <c r="AJ121" s="12"/>
      <c r="AK121" s="12"/>
      <c r="AL121" s="8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6"/>
      <c r="AH122" s="8"/>
      <c r="AI122" s="12"/>
      <c r="AJ122" s="12"/>
      <c r="AK122" s="12"/>
      <c r="AL122" s="8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6"/>
      <c r="AH123" s="8"/>
      <c r="AI123" s="12"/>
      <c r="AJ123" s="12"/>
      <c r="AK123" s="12"/>
      <c r="AL123" s="8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6"/>
      <c r="AH124" s="8"/>
      <c r="AI124" s="12"/>
      <c r="AJ124" s="12"/>
      <c r="AK124" s="12"/>
      <c r="AL124" s="8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6"/>
      <c r="AH125" s="8"/>
      <c r="AI125" s="12"/>
      <c r="AJ125" s="12"/>
      <c r="AK125" s="12"/>
      <c r="AL125" s="8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6"/>
      <c r="AH126" s="8"/>
      <c r="AI126" s="12"/>
      <c r="AJ126" s="12"/>
      <c r="AK126" s="12"/>
      <c r="AL126" s="8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6"/>
      <c r="AH127" s="8"/>
      <c r="AI127" s="12"/>
      <c r="AJ127" s="12"/>
      <c r="AK127" s="12"/>
      <c r="AL127" s="8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6"/>
      <c r="AH128" s="8"/>
      <c r="AI128" s="12"/>
      <c r="AJ128" s="12"/>
      <c r="AK128" s="12"/>
      <c r="AL128" s="8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6"/>
      <c r="AH129" s="8"/>
      <c r="AI129" s="12"/>
      <c r="AJ129" s="12"/>
      <c r="AK129" s="12"/>
      <c r="AL129" s="8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6"/>
      <c r="AH130" s="8"/>
      <c r="AI130" s="12"/>
      <c r="AJ130" s="12"/>
      <c r="AK130" s="12"/>
      <c r="AL130" s="8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6"/>
      <c r="AH131" s="8"/>
      <c r="AI131" s="12"/>
      <c r="AJ131" s="12"/>
      <c r="AK131" s="12"/>
      <c r="AL131" s="8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6"/>
      <c r="AH132" s="8"/>
      <c r="AI132" s="12"/>
      <c r="AJ132" s="12"/>
      <c r="AK132" s="12"/>
      <c r="AL132" s="8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6"/>
      <c r="AH133" s="8"/>
      <c r="AI133" s="12"/>
      <c r="AJ133" s="12"/>
      <c r="AK133" s="12"/>
      <c r="AL133" s="8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6"/>
      <c r="AH134" s="8"/>
      <c r="AI134" s="12"/>
      <c r="AJ134" s="12"/>
      <c r="AK134" s="12"/>
      <c r="AL134" s="8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6"/>
      <c r="AH135" s="8"/>
      <c r="AI135" s="12"/>
      <c r="AJ135" s="12"/>
      <c r="AK135" s="12"/>
      <c r="AL135" s="8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6"/>
      <c r="AH136" s="8"/>
      <c r="AI136" s="12"/>
      <c r="AJ136" s="12"/>
      <c r="AK136" s="12"/>
      <c r="AL136" s="8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6"/>
      <c r="AH137" s="8"/>
      <c r="AI137" s="12"/>
      <c r="AJ137" s="12"/>
      <c r="AK137" s="12"/>
      <c r="AL137" s="8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1:48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6"/>
      <c r="AH138" s="8"/>
      <c r="AI138" s="12"/>
      <c r="AJ138" s="12"/>
      <c r="AK138" s="12"/>
      <c r="AL138" s="8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1:48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6"/>
      <c r="AH139" s="8"/>
      <c r="AI139" s="12"/>
      <c r="AJ139" s="12"/>
      <c r="AK139" s="12"/>
      <c r="AL139" s="8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1:48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6"/>
      <c r="AH140" s="8"/>
      <c r="AI140" s="12"/>
      <c r="AJ140" s="12"/>
      <c r="AK140" s="12"/>
      <c r="AL140" s="8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1:48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6"/>
      <c r="AH141" s="8"/>
      <c r="AI141" s="12"/>
      <c r="AJ141" s="12"/>
      <c r="AK141" s="12"/>
      <c r="AL141" s="8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1:48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6"/>
      <c r="AH142" s="8"/>
      <c r="AI142" s="12"/>
      <c r="AJ142" s="12"/>
      <c r="AK142" s="12"/>
      <c r="AL142" s="8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1:48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6"/>
      <c r="AH143" s="8"/>
      <c r="AI143" s="12"/>
      <c r="AJ143" s="12"/>
      <c r="AK143" s="12"/>
      <c r="AL143" s="8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1:48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6"/>
      <c r="AH144" s="8"/>
      <c r="AI144" s="12"/>
      <c r="AJ144" s="12"/>
      <c r="AK144" s="12"/>
      <c r="AL144" s="8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1:48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6"/>
      <c r="AH145" s="8"/>
      <c r="AI145" s="12"/>
      <c r="AJ145" s="12"/>
      <c r="AK145" s="12"/>
      <c r="AL145" s="8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1:48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6"/>
      <c r="AH146" s="8"/>
      <c r="AI146" s="12"/>
      <c r="AJ146" s="12"/>
      <c r="AK146" s="12"/>
      <c r="AL146" s="8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1:48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6"/>
      <c r="AH147" s="8"/>
      <c r="AI147" s="12"/>
      <c r="AJ147" s="12"/>
      <c r="AK147" s="12"/>
      <c r="AL147" s="8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1:48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6"/>
      <c r="AH148" s="8"/>
      <c r="AI148" s="12"/>
      <c r="AJ148" s="12"/>
      <c r="AK148" s="12"/>
      <c r="AL148" s="8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1:48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6"/>
      <c r="AH149" s="8"/>
      <c r="AI149" s="12"/>
      <c r="AJ149" s="12"/>
      <c r="AK149" s="12"/>
      <c r="AL149" s="8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spans="1:48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6"/>
      <c r="AH150" s="8"/>
      <c r="AI150" s="12"/>
      <c r="AJ150" s="12"/>
      <c r="AK150" s="12"/>
      <c r="AL150" s="8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1:48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6"/>
      <c r="AH151" s="8"/>
      <c r="AI151" s="12"/>
      <c r="AJ151" s="12"/>
      <c r="AK151" s="12"/>
      <c r="AL151" s="8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spans="1:48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6"/>
      <c r="AH152" s="8"/>
      <c r="AI152" s="12"/>
      <c r="AJ152" s="12"/>
      <c r="AK152" s="12"/>
      <c r="AL152" s="8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1:48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6"/>
      <c r="AH153" s="8"/>
      <c r="AI153" s="12"/>
      <c r="AJ153" s="12"/>
      <c r="AK153" s="12"/>
      <c r="AL153" s="8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spans="1:48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6"/>
      <c r="AH154" s="8"/>
      <c r="AI154" s="12"/>
      <c r="AJ154" s="12"/>
      <c r="AK154" s="12"/>
      <c r="AL154" s="8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1:48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6"/>
      <c r="AH155" s="8"/>
      <c r="AI155" s="12"/>
      <c r="AJ155" s="12"/>
      <c r="AK155" s="12"/>
      <c r="AL155" s="8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spans="1:48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6"/>
      <c r="AH156" s="8"/>
      <c r="AI156" s="12"/>
      <c r="AJ156" s="12"/>
      <c r="AK156" s="12"/>
      <c r="AL156" s="8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1:48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6"/>
      <c r="AH157" s="8"/>
      <c r="AI157" s="12"/>
      <c r="AJ157" s="12"/>
      <c r="AK157" s="12"/>
      <c r="AL157" s="8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spans="1:48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6"/>
      <c r="AH158" s="8"/>
      <c r="AI158" s="12"/>
      <c r="AJ158" s="12"/>
      <c r="AK158" s="12"/>
      <c r="AL158" s="8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1:48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6"/>
      <c r="AH159" s="8"/>
      <c r="AI159" s="12"/>
      <c r="AJ159" s="12"/>
      <c r="AK159" s="12"/>
      <c r="AL159" s="8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 spans="1:48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6"/>
      <c r="AH160" s="8"/>
      <c r="AI160" s="12"/>
      <c r="AJ160" s="12"/>
      <c r="AK160" s="12"/>
      <c r="AL160" s="8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1:48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6"/>
      <c r="AH161" s="8"/>
      <c r="AI161" s="12"/>
      <c r="AJ161" s="12"/>
      <c r="AK161" s="12"/>
      <c r="AL161" s="8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 spans="1:48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6"/>
      <c r="AH162" s="8"/>
      <c r="AI162" s="12"/>
      <c r="AJ162" s="12"/>
      <c r="AK162" s="12"/>
      <c r="AL162" s="8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1:48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6"/>
      <c r="AH163" s="8"/>
      <c r="AI163" s="12"/>
      <c r="AJ163" s="12"/>
      <c r="AK163" s="12"/>
      <c r="AL163" s="8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 spans="1:48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6"/>
      <c r="AH164" s="8"/>
      <c r="AI164" s="12"/>
      <c r="AJ164" s="12"/>
      <c r="AK164" s="12"/>
      <c r="AL164" s="8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1:48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6"/>
      <c r="AH165" s="8"/>
      <c r="AI165" s="12"/>
      <c r="AJ165" s="12"/>
      <c r="AK165" s="12"/>
      <c r="AL165" s="8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 spans="1:48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6"/>
      <c r="AH166" s="8"/>
      <c r="AI166" s="12"/>
      <c r="AJ166" s="12"/>
      <c r="AK166" s="12"/>
      <c r="AL166" s="8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1:48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6"/>
      <c r="AH167" s="8"/>
      <c r="AI167" s="12"/>
      <c r="AJ167" s="12"/>
      <c r="AK167" s="12"/>
      <c r="AL167" s="8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 spans="1:48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6"/>
      <c r="AH168" s="8"/>
      <c r="AI168" s="12"/>
      <c r="AJ168" s="12"/>
      <c r="AK168" s="12"/>
      <c r="AL168" s="8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1:48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6"/>
      <c r="AH169" s="8"/>
      <c r="AI169" s="12"/>
      <c r="AJ169" s="12"/>
      <c r="AK169" s="12"/>
      <c r="AL169" s="8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 spans="1:48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6"/>
      <c r="AH170" s="8"/>
      <c r="AI170" s="12"/>
      <c r="AJ170" s="12"/>
      <c r="AK170" s="12"/>
      <c r="AL170" s="8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1:48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6"/>
      <c r="AH171" s="8"/>
      <c r="AI171" s="12"/>
      <c r="AJ171" s="12"/>
      <c r="AK171" s="12"/>
      <c r="AL171" s="8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 spans="1:48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6"/>
      <c r="AH172" s="8"/>
      <c r="AI172" s="12"/>
      <c r="AJ172" s="12"/>
      <c r="AK172" s="12"/>
      <c r="AL172" s="8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1:48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6"/>
      <c r="AH173" s="8"/>
      <c r="AI173" s="12"/>
      <c r="AJ173" s="12"/>
      <c r="AK173" s="12"/>
      <c r="AL173" s="8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 spans="1:48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6"/>
      <c r="AH174" s="8"/>
      <c r="AI174" s="12"/>
      <c r="AJ174" s="12"/>
      <c r="AK174" s="12"/>
      <c r="AL174" s="8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1:48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6"/>
      <c r="AH175" s="8"/>
      <c r="AI175" s="12"/>
      <c r="AJ175" s="12"/>
      <c r="AK175" s="12"/>
      <c r="AL175" s="8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 spans="1:48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6"/>
      <c r="AH176" s="8"/>
      <c r="AI176" s="12"/>
      <c r="AJ176" s="12"/>
      <c r="AK176" s="12"/>
      <c r="AL176" s="8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1:48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6"/>
      <c r="AH177" s="8"/>
      <c r="AI177" s="12"/>
      <c r="AJ177" s="12"/>
      <c r="AK177" s="12"/>
      <c r="AL177" s="8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 spans="1:48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6"/>
      <c r="AH178" s="8"/>
      <c r="AI178" s="12"/>
      <c r="AJ178" s="12"/>
      <c r="AK178" s="12"/>
      <c r="AL178" s="8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1:48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6"/>
      <c r="AH179" s="8"/>
      <c r="AI179" s="12"/>
      <c r="AJ179" s="12"/>
      <c r="AK179" s="12"/>
      <c r="AL179" s="8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 spans="1:48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6"/>
      <c r="AH180" s="8"/>
      <c r="AI180" s="12"/>
      <c r="AJ180" s="12"/>
      <c r="AK180" s="12"/>
      <c r="AL180" s="8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1:48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6"/>
      <c r="AH181" s="8"/>
      <c r="AI181" s="12"/>
      <c r="AJ181" s="12"/>
      <c r="AK181" s="12"/>
      <c r="AL181" s="8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 spans="1:48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6"/>
      <c r="AH182" s="8"/>
      <c r="AI182" s="12"/>
      <c r="AJ182" s="12"/>
      <c r="AK182" s="12"/>
      <c r="AL182" s="8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1:48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6"/>
      <c r="AH183" s="8"/>
      <c r="AI183" s="12"/>
      <c r="AJ183" s="12"/>
      <c r="AK183" s="12"/>
      <c r="AL183" s="8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 spans="1:48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6"/>
      <c r="AH184" s="8"/>
      <c r="AI184" s="12"/>
      <c r="AJ184" s="12"/>
      <c r="AK184" s="12"/>
      <c r="AL184" s="8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1:48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6"/>
      <c r="AH185" s="8"/>
      <c r="AI185" s="12"/>
      <c r="AJ185" s="12"/>
      <c r="AK185" s="12"/>
      <c r="AL185" s="8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 spans="1:48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6"/>
      <c r="AH186" s="8"/>
      <c r="AI186" s="12"/>
      <c r="AJ186" s="12"/>
      <c r="AK186" s="12"/>
      <c r="AL186" s="8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1:48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6"/>
      <c r="AH187" s="8"/>
      <c r="AI187" s="12"/>
      <c r="AJ187" s="12"/>
      <c r="AK187" s="12"/>
      <c r="AL187" s="8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 spans="1:48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6"/>
      <c r="AH188" s="8"/>
      <c r="AI188" s="12"/>
      <c r="AJ188" s="12"/>
      <c r="AK188" s="12"/>
      <c r="AL188" s="8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1:48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6"/>
      <c r="AH189" s="8"/>
      <c r="AI189" s="12"/>
      <c r="AJ189" s="12"/>
      <c r="AK189" s="12"/>
      <c r="AL189" s="8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 spans="1:48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6"/>
      <c r="AH190" s="8"/>
      <c r="AI190" s="12"/>
      <c r="AJ190" s="12"/>
      <c r="AK190" s="12"/>
      <c r="AL190" s="8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1:48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6"/>
      <c r="AH191" s="8"/>
      <c r="AI191" s="12"/>
      <c r="AJ191" s="12"/>
      <c r="AK191" s="12"/>
      <c r="AL191" s="8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 spans="1:48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6"/>
      <c r="AH192" s="8"/>
      <c r="AI192" s="12"/>
      <c r="AJ192" s="12"/>
      <c r="AK192" s="12"/>
      <c r="AL192" s="8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1:48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6"/>
      <c r="AH193" s="8"/>
      <c r="AI193" s="12"/>
      <c r="AJ193" s="12"/>
      <c r="AK193" s="12"/>
      <c r="AL193" s="8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 spans="1:48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6"/>
      <c r="AH194" s="8"/>
      <c r="AI194" s="12"/>
      <c r="AJ194" s="12"/>
      <c r="AK194" s="12"/>
      <c r="AL194" s="8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1:48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6"/>
      <c r="AH195" s="8"/>
      <c r="AI195" s="12"/>
      <c r="AJ195" s="12"/>
      <c r="AK195" s="12"/>
      <c r="AL195" s="8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 spans="1:48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6"/>
      <c r="AH196" s="8"/>
      <c r="AI196" s="12"/>
      <c r="AJ196" s="12"/>
      <c r="AK196" s="12"/>
      <c r="AL196" s="8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1:48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6"/>
      <c r="AH197" s="8"/>
      <c r="AI197" s="12"/>
      <c r="AJ197" s="12"/>
      <c r="AK197" s="12"/>
      <c r="AL197" s="8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 spans="1:48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6"/>
      <c r="AH198" s="8"/>
      <c r="AI198" s="12"/>
      <c r="AJ198" s="12"/>
      <c r="AK198" s="12"/>
      <c r="AL198" s="8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1:48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6"/>
      <c r="AH199" s="8"/>
      <c r="AI199" s="12"/>
      <c r="AJ199" s="12"/>
      <c r="AK199" s="12"/>
      <c r="AL199" s="8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 spans="1:48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6"/>
      <c r="AH200" s="8"/>
      <c r="AI200" s="12"/>
      <c r="AJ200" s="12"/>
      <c r="AK200" s="12"/>
      <c r="AL200" s="8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1:48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6"/>
      <c r="AH201" s="8"/>
      <c r="AI201" s="12"/>
      <c r="AJ201" s="12"/>
      <c r="AK201" s="12"/>
      <c r="AL201" s="8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 spans="1:48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6"/>
      <c r="AH202" s="8"/>
      <c r="AI202" s="12"/>
      <c r="AJ202" s="12"/>
      <c r="AK202" s="12"/>
      <c r="AL202" s="8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1:48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6"/>
      <c r="AH203" s="8"/>
      <c r="AI203" s="12"/>
      <c r="AJ203" s="12"/>
      <c r="AK203" s="12"/>
      <c r="AL203" s="8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 spans="1:48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6"/>
      <c r="AH204" s="8"/>
      <c r="AI204" s="12"/>
      <c r="AJ204" s="12"/>
      <c r="AK204" s="12"/>
      <c r="AL204" s="8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1:48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6"/>
      <c r="AH205" s="8"/>
      <c r="AI205" s="12"/>
      <c r="AJ205" s="12"/>
      <c r="AK205" s="12"/>
      <c r="AL205" s="8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 spans="1:48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6"/>
      <c r="AH206" s="8"/>
      <c r="AI206" s="12"/>
      <c r="AJ206" s="12"/>
      <c r="AK206" s="12"/>
      <c r="AL206" s="8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1:48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6"/>
      <c r="AH207" s="8"/>
      <c r="AI207" s="12"/>
      <c r="AJ207" s="12"/>
      <c r="AK207" s="12"/>
      <c r="AL207" s="8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 spans="1:48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6"/>
      <c r="AH208" s="8"/>
      <c r="AI208" s="12"/>
      <c r="AJ208" s="12"/>
      <c r="AK208" s="12"/>
      <c r="AL208" s="8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1:48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6"/>
      <c r="AH209" s="8"/>
      <c r="AI209" s="12"/>
      <c r="AJ209" s="12"/>
      <c r="AK209" s="12"/>
      <c r="AL209" s="8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 spans="1:48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6"/>
      <c r="AH210" s="8"/>
      <c r="AI210" s="12"/>
      <c r="AJ210" s="12"/>
      <c r="AK210" s="12"/>
      <c r="AL210" s="8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1:48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6"/>
      <c r="AH211" s="8"/>
      <c r="AI211" s="12"/>
      <c r="AJ211" s="12"/>
      <c r="AK211" s="12"/>
      <c r="AL211" s="8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 spans="1:48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6"/>
      <c r="AH212" s="8"/>
      <c r="AI212" s="12"/>
      <c r="AJ212" s="12"/>
      <c r="AK212" s="12"/>
      <c r="AL212" s="8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1:48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6"/>
      <c r="AH213" s="8"/>
      <c r="AI213" s="12"/>
      <c r="AJ213" s="12"/>
      <c r="AK213" s="12"/>
      <c r="AL213" s="8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 spans="1:48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6"/>
      <c r="AH214" s="8"/>
      <c r="AI214" s="12"/>
      <c r="AJ214" s="12"/>
      <c r="AK214" s="12"/>
      <c r="AL214" s="8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1:48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6"/>
      <c r="AH215" s="8"/>
      <c r="AI215" s="12"/>
      <c r="AJ215" s="12"/>
      <c r="AK215" s="12"/>
      <c r="AL215" s="8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 spans="1:48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6"/>
      <c r="AH216" s="8"/>
      <c r="AI216" s="12"/>
      <c r="AJ216" s="12"/>
      <c r="AK216" s="12"/>
      <c r="AL216" s="8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1:48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6"/>
      <c r="AH217" s="8"/>
      <c r="AI217" s="12"/>
      <c r="AJ217" s="12"/>
      <c r="AK217" s="12"/>
      <c r="AL217" s="8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 spans="1:48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6"/>
      <c r="AH218" s="8"/>
      <c r="AI218" s="12"/>
      <c r="AJ218" s="12"/>
      <c r="AK218" s="12"/>
      <c r="AL218" s="8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1:48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6"/>
      <c r="AH219" s="8"/>
      <c r="AI219" s="12"/>
      <c r="AJ219" s="12"/>
      <c r="AK219" s="12"/>
      <c r="AL219" s="8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 spans="1:48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6"/>
      <c r="AH220" s="8"/>
      <c r="AI220" s="12"/>
      <c r="AJ220" s="12"/>
      <c r="AK220" s="12"/>
      <c r="AL220" s="8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1:48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6"/>
      <c r="AH221" s="8"/>
      <c r="AI221" s="12"/>
      <c r="AJ221" s="12"/>
      <c r="AK221" s="12"/>
      <c r="AL221" s="8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 spans="1:48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6"/>
      <c r="AH222" s="8"/>
      <c r="AI222" s="12"/>
      <c r="AJ222" s="12"/>
      <c r="AK222" s="12"/>
      <c r="AL222" s="8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1:48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6"/>
      <c r="AH223" s="8"/>
      <c r="AI223" s="12"/>
      <c r="AJ223" s="12"/>
      <c r="AK223" s="12"/>
      <c r="AL223" s="8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 spans="1:48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6"/>
      <c r="AH224" s="8"/>
      <c r="AI224" s="12"/>
      <c r="AJ224" s="12"/>
      <c r="AK224" s="12"/>
      <c r="AL224" s="8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1:48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6"/>
      <c r="AH225" s="8"/>
      <c r="AI225" s="12"/>
      <c r="AJ225" s="12"/>
      <c r="AK225" s="12"/>
      <c r="AL225" s="8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 spans="1:48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6"/>
      <c r="AH226" s="8"/>
      <c r="AI226" s="12"/>
      <c r="AJ226" s="12"/>
      <c r="AK226" s="12"/>
      <c r="AL226" s="8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1:48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6"/>
      <c r="AH227" s="8"/>
      <c r="AI227" s="12"/>
      <c r="AJ227" s="12"/>
      <c r="AK227" s="12"/>
      <c r="AL227" s="8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 spans="1:48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6"/>
      <c r="AH228" s="8"/>
      <c r="AI228" s="12"/>
      <c r="AJ228" s="12"/>
      <c r="AK228" s="12"/>
      <c r="AL228" s="8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1:48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6"/>
      <c r="AH229" s="8"/>
      <c r="AI229" s="12"/>
      <c r="AJ229" s="12"/>
      <c r="AK229" s="12"/>
      <c r="AL229" s="8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 spans="1:48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6"/>
      <c r="AH230" s="8"/>
      <c r="AI230" s="12"/>
      <c r="AJ230" s="12"/>
      <c r="AK230" s="12"/>
      <c r="AL230" s="8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1:48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6"/>
      <c r="AH231" s="8"/>
      <c r="AI231" s="12"/>
      <c r="AJ231" s="12"/>
      <c r="AK231" s="12"/>
      <c r="AL231" s="8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 spans="1:48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6"/>
      <c r="AH232" s="8"/>
      <c r="AI232" s="12"/>
      <c r="AJ232" s="12"/>
      <c r="AK232" s="12"/>
      <c r="AL232" s="8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1:48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6"/>
      <c r="AH233" s="8"/>
      <c r="AI233" s="12"/>
      <c r="AJ233" s="12"/>
      <c r="AK233" s="12"/>
      <c r="AL233" s="8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 spans="1:48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6"/>
      <c r="AH234" s="8"/>
      <c r="AI234" s="12"/>
      <c r="AJ234" s="12"/>
      <c r="AK234" s="12"/>
      <c r="AL234" s="8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1:48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6"/>
      <c r="AH235" s="8"/>
      <c r="AI235" s="12"/>
      <c r="AJ235" s="12"/>
      <c r="AK235" s="12"/>
      <c r="AL235" s="8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 spans="1:48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6"/>
      <c r="AH236" s="8"/>
      <c r="AI236" s="12"/>
      <c r="AJ236" s="12"/>
      <c r="AK236" s="12"/>
      <c r="AL236" s="8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1:48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6"/>
      <c r="AH237" s="8"/>
      <c r="AI237" s="12"/>
      <c r="AJ237" s="12"/>
      <c r="AK237" s="12"/>
      <c r="AL237" s="8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 spans="1:48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6"/>
      <c r="AH238" s="8"/>
      <c r="AI238" s="12"/>
      <c r="AJ238" s="12"/>
      <c r="AK238" s="12"/>
      <c r="AL238" s="8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1:48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6"/>
      <c r="AH239" s="8"/>
      <c r="AI239" s="12"/>
      <c r="AJ239" s="12"/>
      <c r="AK239" s="12"/>
      <c r="AL239" s="8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 spans="1:48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6"/>
      <c r="AH240" s="8"/>
      <c r="AI240" s="12"/>
      <c r="AJ240" s="12"/>
      <c r="AK240" s="12"/>
      <c r="AL240" s="8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1:48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6"/>
      <c r="AH241" s="8"/>
      <c r="AI241" s="12"/>
      <c r="AJ241" s="12"/>
      <c r="AK241" s="12"/>
      <c r="AL241" s="8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 spans="1:48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6"/>
      <c r="AH242" s="8"/>
      <c r="AI242" s="12"/>
      <c r="AJ242" s="12"/>
      <c r="AK242" s="12"/>
      <c r="AL242" s="8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1:48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6"/>
      <c r="AH243" s="8"/>
      <c r="AI243" s="12"/>
      <c r="AJ243" s="12"/>
      <c r="AK243" s="12"/>
      <c r="AL243" s="8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 spans="1:48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6"/>
      <c r="AH244" s="8"/>
      <c r="AI244" s="12"/>
      <c r="AJ244" s="12"/>
      <c r="AK244" s="12"/>
      <c r="AL244" s="8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1:48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6"/>
      <c r="AH245" s="8"/>
      <c r="AI245" s="12"/>
      <c r="AJ245" s="12"/>
      <c r="AK245" s="12"/>
      <c r="AL245" s="8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 spans="1:48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6"/>
      <c r="AH246" s="8"/>
      <c r="AI246" s="12"/>
      <c r="AJ246" s="12"/>
      <c r="AK246" s="12"/>
      <c r="AL246" s="8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1:48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6"/>
      <c r="AH247" s="8"/>
      <c r="AI247" s="12"/>
      <c r="AJ247" s="12"/>
      <c r="AK247" s="12"/>
      <c r="AL247" s="8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 spans="1:48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6"/>
      <c r="AH248" s="8"/>
      <c r="AI248" s="12"/>
      <c r="AJ248" s="12"/>
      <c r="AK248" s="12"/>
      <c r="AL248" s="8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1:48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6"/>
      <c r="AH249" s="8"/>
      <c r="AI249" s="12"/>
      <c r="AJ249" s="12"/>
      <c r="AK249" s="12"/>
      <c r="AL249" s="8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 spans="1:48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6"/>
      <c r="AH250" s="8"/>
      <c r="AI250" s="12"/>
      <c r="AJ250" s="12"/>
      <c r="AK250" s="12"/>
      <c r="AL250" s="8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1:48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6"/>
      <c r="AH251" s="8"/>
      <c r="AI251" s="12"/>
      <c r="AJ251" s="12"/>
      <c r="AK251" s="12"/>
      <c r="AL251" s="8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 spans="1:48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6"/>
      <c r="AH252" s="8"/>
      <c r="AI252" s="12"/>
      <c r="AJ252" s="12"/>
      <c r="AK252" s="12"/>
      <c r="AL252" s="8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1:48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6"/>
      <c r="AH253" s="8"/>
      <c r="AI253" s="12"/>
      <c r="AJ253" s="12"/>
      <c r="AK253" s="12"/>
      <c r="AL253" s="8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 spans="1:48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6"/>
      <c r="AH254" s="8"/>
      <c r="AI254" s="12"/>
      <c r="AJ254" s="12"/>
      <c r="AK254" s="12"/>
      <c r="AL254" s="8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1:48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6"/>
      <c r="AH255" s="8"/>
      <c r="AI255" s="12"/>
      <c r="AJ255" s="12"/>
      <c r="AK255" s="12"/>
      <c r="AL255" s="8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 spans="1:48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6"/>
      <c r="AH256" s="8"/>
      <c r="AI256" s="12"/>
      <c r="AJ256" s="12"/>
      <c r="AK256" s="12"/>
      <c r="AL256" s="8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1:48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6"/>
      <c r="AH257" s="8"/>
      <c r="AI257" s="12"/>
      <c r="AJ257" s="12"/>
      <c r="AK257" s="12"/>
      <c r="AL257" s="8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 spans="1:48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6"/>
      <c r="AH258" s="8"/>
      <c r="AI258" s="12"/>
      <c r="AJ258" s="12"/>
      <c r="AK258" s="12"/>
      <c r="AL258" s="8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1:48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6"/>
      <c r="AH259" s="8"/>
      <c r="AI259" s="12"/>
      <c r="AJ259" s="12"/>
      <c r="AK259" s="12"/>
      <c r="AL259" s="8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 spans="1:48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6"/>
      <c r="AH260" s="8"/>
      <c r="AI260" s="12"/>
      <c r="AJ260" s="12"/>
      <c r="AK260" s="12"/>
      <c r="AL260" s="8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1:48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6"/>
      <c r="AH261" s="8"/>
      <c r="AI261" s="12"/>
      <c r="AJ261" s="12"/>
      <c r="AK261" s="12"/>
      <c r="AL261" s="8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 spans="1:48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6"/>
      <c r="AH262" s="8"/>
      <c r="AI262" s="12"/>
      <c r="AJ262" s="12"/>
      <c r="AK262" s="12"/>
      <c r="AL262" s="8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1:48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6"/>
      <c r="AH263" s="8"/>
      <c r="AI263" s="12"/>
      <c r="AJ263" s="12"/>
      <c r="AK263" s="12"/>
      <c r="AL263" s="8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 spans="1:48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6"/>
      <c r="AH264" s="8"/>
      <c r="AI264" s="12"/>
      <c r="AJ264" s="12"/>
      <c r="AK264" s="12"/>
      <c r="AL264" s="8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1:48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6"/>
      <c r="AH265" s="8"/>
      <c r="AI265" s="12"/>
      <c r="AJ265" s="12"/>
      <c r="AK265" s="12"/>
      <c r="AL265" s="8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 spans="1:48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6"/>
      <c r="AH266" s="8"/>
      <c r="AI266" s="12"/>
      <c r="AJ266" s="12"/>
      <c r="AK266" s="12"/>
      <c r="AL266" s="8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1:48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6"/>
      <c r="AH267" s="8"/>
      <c r="AI267" s="12"/>
      <c r="AJ267" s="12"/>
      <c r="AK267" s="12"/>
      <c r="AL267" s="8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 spans="1:48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6"/>
      <c r="AH268" s="8"/>
      <c r="AI268" s="12"/>
      <c r="AJ268" s="12"/>
      <c r="AK268" s="12"/>
      <c r="AL268" s="8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1:48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6"/>
      <c r="AH269" s="8"/>
      <c r="AI269" s="12"/>
      <c r="AJ269" s="12"/>
      <c r="AK269" s="12"/>
      <c r="AL269" s="8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 spans="1:48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6"/>
      <c r="AH270" s="8"/>
      <c r="AI270" s="12"/>
      <c r="AJ270" s="12"/>
      <c r="AK270" s="12"/>
      <c r="AL270" s="8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1:48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6"/>
      <c r="AH271" s="8"/>
      <c r="AI271" s="12"/>
      <c r="AJ271" s="12"/>
      <c r="AK271" s="12"/>
      <c r="AL271" s="8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 spans="1:48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6"/>
      <c r="AH272" s="8"/>
      <c r="AI272" s="12"/>
      <c r="AJ272" s="12"/>
      <c r="AK272" s="12"/>
      <c r="AL272" s="8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1:48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6"/>
      <c r="AH273" s="8"/>
      <c r="AI273" s="12"/>
      <c r="AJ273" s="12"/>
      <c r="AK273" s="12"/>
      <c r="AL273" s="8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 spans="1:48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6"/>
      <c r="AH274" s="8"/>
      <c r="AI274" s="12"/>
      <c r="AJ274" s="12"/>
      <c r="AK274" s="12"/>
      <c r="AL274" s="8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1:48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6"/>
      <c r="AH275" s="8"/>
      <c r="AI275" s="12"/>
      <c r="AJ275" s="12"/>
      <c r="AK275" s="12"/>
      <c r="AL275" s="8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 spans="1:48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6"/>
      <c r="AH276" s="8"/>
      <c r="AI276" s="12"/>
      <c r="AJ276" s="12"/>
      <c r="AK276" s="12"/>
      <c r="AL276" s="8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1:48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6"/>
      <c r="AH277" s="8"/>
      <c r="AI277" s="12"/>
      <c r="AJ277" s="12"/>
      <c r="AK277" s="12"/>
      <c r="AL277" s="8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 spans="1:48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6"/>
      <c r="AH278" s="8"/>
      <c r="AI278" s="12"/>
      <c r="AJ278" s="12"/>
      <c r="AK278" s="12"/>
      <c r="AL278" s="8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1:48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6"/>
      <c r="AH279" s="8"/>
      <c r="AI279" s="12"/>
      <c r="AJ279" s="12"/>
      <c r="AK279" s="12"/>
      <c r="AL279" s="8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spans="1:48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6"/>
      <c r="AH280" s="8"/>
      <c r="AI280" s="12"/>
      <c r="AJ280" s="12"/>
      <c r="AK280" s="12"/>
      <c r="AL280" s="8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1:48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6"/>
      <c r="AH281" s="8"/>
      <c r="AI281" s="12"/>
      <c r="AJ281" s="12"/>
      <c r="AK281" s="12"/>
      <c r="AL281" s="8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spans="1:48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6"/>
      <c r="AH282" s="8"/>
      <c r="AI282" s="12"/>
      <c r="AJ282" s="12"/>
      <c r="AK282" s="12"/>
      <c r="AL282" s="8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1:48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6"/>
      <c r="AH283" s="8"/>
      <c r="AI283" s="12"/>
      <c r="AJ283" s="12"/>
      <c r="AK283" s="12"/>
      <c r="AL283" s="8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spans="1:48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6"/>
      <c r="AH284" s="8"/>
      <c r="AI284" s="12"/>
      <c r="AJ284" s="12"/>
      <c r="AK284" s="12"/>
      <c r="AL284" s="8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1:48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6"/>
      <c r="AH285" s="8"/>
      <c r="AI285" s="12"/>
      <c r="AJ285" s="12"/>
      <c r="AK285" s="12"/>
      <c r="AL285" s="8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spans="1:48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6"/>
      <c r="AH286" s="8"/>
      <c r="AI286" s="12"/>
      <c r="AJ286" s="12"/>
      <c r="AK286" s="12"/>
      <c r="AL286" s="8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1:48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6"/>
      <c r="AH287" s="8"/>
      <c r="AI287" s="12"/>
      <c r="AJ287" s="12"/>
      <c r="AK287" s="12"/>
      <c r="AL287" s="8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spans="1:48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6"/>
      <c r="AH288" s="8"/>
      <c r="AI288" s="12"/>
      <c r="AJ288" s="12"/>
      <c r="AK288" s="12"/>
      <c r="AL288" s="8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1:48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6"/>
      <c r="AH289" s="8"/>
      <c r="AI289" s="12"/>
      <c r="AJ289" s="12"/>
      <c r="AK289" s="12"/>
      <c r="AL289" s="8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spans="1:48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6"/>
      <c r="AH290" s="8"/>
      <c r="AI290" s="12"/>
      <c r="AJ290" s="12"/>
      <c r="AK290" s="12"/>
      <c r="AL290" s="8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1:48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6"/>
      <c r="AH291" s="8"/>
      <c r="AI291" s="12"/>
      <c r="AJ291" s="12"/>
      <c r="AK291" s="12"/>
      <c r="AL291" s="8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spans="1:48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6"/>
      <c r="AH292" s="8"/>
      <c r="AI292" s="12"/>
      <c r="AJ292" s="12"/>
      <c r="AK292" s="12"/>
      <c r="AL292" s="8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1:48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6"/>
      <c r="AH293" s="8"/>
      <c r="AI293" s="12"/>
      <c r="AJ293" s="12"/>
      <c r="AK293" s="12"/>
      <c r="AL293" s="8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spans="1:48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6"/>
      <c r="AH294" s="8"/>
      <c r="AI294" s="12"/>
      <c r="AJ294" s="12"/>
      <c r="AK294" s="12"/>
      <c r="AL294" s="8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1:48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6"/>
      <c r="AH295" s="8"/>
      <c r="AI295" s="12"/>
      <c r="AJ295" s="12"/>
      <c r="AK295" s="12"/>
      <c r="AL295" s="8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spans="1:48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6"/>
      <c r="AH296" s="8"/>
      <c r="AI296" s="12"/>
      <c r="AJ296" s="12"/>
      <c r="AK296" s="12"/>
      <c r="AL296" s="8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1:48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6"/>
      <c r="AH297" s="8"/>
      <c r="AI297" s="12"/>
      <c r="AJ297" s="12"/>
      <c r="AK297" s="12"/>
      <c r="AL297" s="8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spans="1:48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6"/>
      <c r="AH298" s="8"/>
      <c r="AI298" s="12"/>
      <c r="AJ298" s="12"/>
      <c r="AK298" s="12"/>
      <c r="AL298" s="8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1:48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6"/>
      <c r="AH299" s="8"/>
      <c r="AI299" s="12"/>
      <c r="AJ299" s="12"/>
      <c r="AK299" s="12"/>
      <c r="AL299" s="8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spans="1:48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6"/>
      <c r="AH300" s="8"/>
      <c r="AI300" s="12"/>
      <c r="AJ300" s="12"/>
      <c r="AK300" s="12"/>
      <c r="AL300" s="8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1:48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6"/>
      <c r="AH301" s="8"/>
      <c r="AI301" s="12"/>
      <c r="AJ301" s="12"/>
      <c r="AK301" s="12"/>
      <c r="AL301" s="8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spans="1:48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6"/>
      <c r="AH302" s="8"/>
      <c r="AI302" s="12"/>
      <c r="AJ302" s="12"/>
      <c r="AK302" s="12"/>
      <c r="AL302" s="8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1:48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6"/>
      <c r="AH303" s="8"/>
      <c r="AI303" s="12"/>
      <c r="AJ303" s="12"/>
      <c r="AK303" s="12"/>
      <c r="AL303" s="8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spans="1:48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6"/>
      <c r="AH304" s="8"/>
      <c r="AI304" s="12"/>
      <c r="AJ304" s="12"/>
      <c r="AK304" s="12"/>
      <c r="AL304" s="8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1:48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6"/>
      <c r="AH305" s="8"/>
      <c r="AI305" s="12"/>
      <c r="AJ305" s="12"/>
      <c r="AK305" s="12"/>
      <c r="AL305" s="8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spans="1:48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6"/>
      <c r="AH306" s="8"/>
      <c r="AI306" s="12"/>
      <c r="AJ306" s="12"/>
      <c r="AK306" s="12"/>
      <c r="AL306" s="8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1:48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6"/>
      <c r="AH307" s="8"/>
      <c r="AI307" s="12"/>
      <c r="AJ307" s="12"/>
      <c r="AK307" s="12"/>
      <c r="AL307" s="8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spans="1:48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6"/>
      <c r="AH308" s="8"/>
      <c r="AI308" s="12"/>
      <c r="AJ308" s="12"/>
      <c r="AK308" s="12"/>
      <c r="AL308" s="8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1:48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6"/>
      <c r="AH309" s="8"/>
      <c r="AI309" s="12"/>
      <c r="AJ309" s="12"/>
      <c r="AK309" s="12"/>
      <c r="AL309" s="8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spans="1:48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6"/>
      <c r="AH310" s="8"/>
      <c r="AI310" s="12"/>
      <c r="AJ310" s="12"/>
      <c r="AK310" s="12"/>
      <c r="AL310" s="8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1:48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6"/>
      <c r="AH311" s="8"/>
      <c r="AI311" s="12"/>
      <c r="AJ311" s="12"/>
      <c r="AK311" s="12"/>
      <c r="AL311" s="8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spans="1:48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6"/>
      <c r="AH312" s="8"/>
      <c r="AI312" s="12"/>
      <c r="AJ312" s="12"/>
      <c r="AK312" s="12"/>
      <c r="AL312" s="8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1:48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6"/>
      <c r="AH313" s="8"/>
      <c r="AI313" s="12"/>
      <c r="AJ313" s="12"/>
      <c r="AK313" s="12"/>
      <c r="AL313" s="8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spans="1:48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6"/>
      <c r="AH314" s="8"/>
      <c r="AI314" s="12"/>
      <c r="AJ314" s="12"/>
      <c r="AK314" s="12"/>
      <c r="AL314" s="8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1:48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6"/>
      <c r="AH315" s="8"/>
      <c r="AI315" s="12"/>
      <c r="AJ315" s="12"/>
      <c r="AK315" s="12"/>
      <c r="AL315" s="8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spans="1:48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6"/>
      <c r="AH316" s="8"/>
      <c r="AI316" s="12"/>
      <c r="AJ316" s="12"/>
      <c r="AK316" s="12"/>
      <c r="AL316" s="8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1:48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6"/>
      <c r="AH317" s="8"/>
      <c r="AI317" s="12"/>
      <c r="AJ317" s="12"/>
      <c r="AK317" s="12"/>
      <c r="AL317" s="8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spans="1:48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6"/>
      <c r="AH318" s="8"/>
      <c r="AI318" s="12"/>
      <c r="AJ318" s="12"/>
      <c r="AK318" s="12"/>
      <c r="AL318" s="8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1:48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6"/>
      <c r="AH319" s="8"/>
      <c r="AI319" s="12"/>
      <c r="AJ319" s="12"/>
      <c r="AK319" s="12"/>
      <c r="AL319" s="8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spans="1:48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6"/>
      <c r="AH320" s="8"/>
      <c r="AI320" s="12"/>
      <c r="AJ320" s="12"/>
      <c r="AK320" s="12"/>
      <c r="AL320" s="8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1:48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6"/>
      <c r="AH321" s="8"/>
      <c r="AI321" s="12"/>
      <c r="AJ321" s="12"/>
      <c r="AK321" s="12"/>
      <c r="AL321" s="8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spans="1:48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6"/>
      <c r="AH322" s="8"/>
      <c r="AI322" s="12"/>
      <c r="AJ322" s="12"/>
      <c r="AK322" s="12"/>
      <c r="AL322" s="8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1:48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6"/>
      <c r="AH323" s="8"/>
      <c r="AI323" s="12"/>
      <c r="AJ323" s="12"/>
      <c r="AK323" s="12"/>
      <c r="AL323" s="8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spans="1:48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6"/>
      <c r="AH324" s="8"/>
      <c r="AI324" s="12"/>
      <c r="AJ324" s="12"/>
      <c r="AK324" s="12"/>
      <c r="AL324" s="8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1:48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6"/>
      <c r="AH325" s="8"/>
      <c r="AI325" s="12"/>
      <c r="AJ325" s="12"/>
      <c r="AK325" s="12"/>
      <c r="AL325" s="8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spans="1:48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6"/>
      <c r="AH326" s="8"/>
      <c r="AI326" s="12"/>
      <c r="AJ326" s="12"/>
      <c r="AK326" s="12"/>
      <c r="AL326" s="8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1:48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6"/>
      <c r="AH327" s="8"/>
      <c r="AI327" s="12"/>
      <c r="AJ327" s="12"/>
      <c r="AK327" s="12"/>
      <c r="AL327" s="8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spans="1:48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6"/>
      <c r="AH328" s="8"/>
      <c r="AI328" s="12"/>
      <c r="AJ328" s="12"/>
      <c r="AK328" s="12"/>
      <c r="AL328" s="8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1:48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6"/>
      <c r="AH329" s="8"/>
      <c r="AI329" s="12"/>
      <c r="AJ329" s="12"/>
      <c r="AK329" s="12"/>
      <c r="AL329" s="8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spans="1:48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6"/>
      <c r="AH330" s="8"/>
      <c r="AI330" s="12"/>
      <c r="AJ330" s="12"/>
      <c r="AK330" s="12"/>
      <c r="AL330" s="8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1:48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6"/>
      <c r="AH331" s="8"/>
      <c r="AI331" s="12"/>
      <c r="AJ331" s="12"/>
      <c r="AK331" s="12"/>
      <c r="AL331" s="8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spans="1:48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6"/>
      <c r="AH332" s="8"/>
      <c r="AI332" s="12"/>
      <c r="AJ332" s="12"/>
      <c r="AK332" s="12"/>
      <c r="AL332" s="8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1:48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6"/>
      <c r="AH333" s="8"/>
      <c r="AI333" s="12"/>
      <c r="AJ333" s="12"/>
      <c r="AK333" s="12"/>
      <c r="AL333" s="8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spans="1:48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6"/>
      <c r="AH334" s="8"/>
      <c r="AI334" s="12"/>
      <c r="AJ334" s="12"/>
      <c r="AK334" s="12"/>
      <c r="AL334" s="8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1:48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6"/>
      <c r="AH335" s="8"/>
      <c r="AI335" s="12"/>
      <c r="AJ335" s="12"/>
      <c r="AK335" s="12"/>
      <c r="AL335" s="8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spans="1:48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6"/>
      <c r="AH336" s="8"/>
      <c r="AI336" s="12"/>
      <c r="AJ336" s="12"/>
      <c r="AK336" s="12"/>
      <c r="AL336" s="8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1:48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6"/>
      <c r="AH337" s="8"/>
      <c r="AI337" s="12"/>
      <c r="AJ337" s="12"/>
      <c r="AK337" s="12"/>
      <c r="AL337" s="8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spans="1:48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6"/>
      <c r="AH338" s="8"/>
      <c r="AI338" s="12"/>
      <c r="AJ338" s="12"/>
      <c r="AK338" s="12"/>
      <c r="AL338" s="8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1:48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6"/>
      <c r="AH339" s="8"/>
      <c r="AI339" s="12"/>
      <c r="AJ339" s="12"/>
      <c r="AK339" s="12"/>
      <c r="AL339" s="8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spans="1:48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6"/>
      <c r="AH340" s="8"/>
      <c r="AI340" s="12"/>
      <c r="AJ340" s="12"/>
      <c r="AK340" s="12"/>
      <c r="AL340" s="8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1:48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6"/>
      <c r="AH341" s="8"/>
      <c r="AI341" s="12"/>
      <c r="AJ341" s="12"/>
      <c r="AK341" s="12"/>
      <c r="AL341" s="8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spans="1:48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6"/>
      <c r="AH342" s="8"/>
      <c r="AI342" s="12"/>
      <c r="AJ342" s="12"/>
      <c r="AK342" s="12"/>
      <c r="AL342" s="8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1:48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6"/>
      <c r="AH343" s="8"/>
      <c r="AI343" s="12"/>
      <c r="AJ343" s="12"/>
      <c r="AK343" s="12"/>
      <c r="AL343" s="8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spans="1:48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6"/>
      <c r="AH344" s="8"/>
      <c r="AI344" s="12"/>
      <c r="AJ344" s="12"/>
      <c r="AK344" s="12"/>
      <c r="AL344" s="8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1:48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6"/>
      <c r="AH345" s="8"/>
      <c r="AI345" s="12"/>
      <c r="AJ345" s="12"/>
      <c r="AK345" s="12"/>
      <c r="AL345" s="8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spans="1:48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6"/>
      <c r="AH346" s="8"/>
      <c r="AI346" s="12"/>
      <c r="AJ346" s="12"/>
      <c r="AK346" s="12"/>
      <c r="AL346" s="8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1:48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6"/>
      <c r="AH347" s="8"/>
      <c r="AI347" s="12"/>
      <c r="AJ347" s="12"/>
      <c r="AK347" s="12"/>
      <c r="AL347" s="8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spans="1:48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6"/>
      <c r="AH348" s="8"/>
      <c r="AI348" s="12"/>
      <c r="AJ348" s="12"/>
      <c r="AK348" s="12"/>
      <c r="AL348" s="8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1:48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6"/>
      <c r="AH349" s="8"/>
      <c r="AI349" s="12"/>
      <c r="AJ349" s="12"/>
      <c r="AK349" s="12"/>
      <c r="AL349" s="8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spans="1:48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6"/>
      <c r="AH350" s="8"/>
      <c r="AI350" s="12"/>
      <c r="AJ350" s="12"/>
      <c r="AK350" s="12"/>
      <c r="AL350" s="8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1:48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6"/>
      <c r="AH351" s="8"/>
      <c r="AI351" s="12"/>
      <c r="AJ351" s="12"/>
      <c r="AK351" s="12"/>
      <c r="AL351" s="8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spans="1:48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6"/>
      <c r="AH352" s="8"/>
      <c r="AI352" s="12"/>
      <c r="AJ352" s="12"/>
      <c r="AK352" s="12"/>
      <c r="AL352" s="8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1:48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6"/>
      <c r="AH353" s="8"/>
      <c r="AI353" s="12"/>
      <c r="AJ353" s="12"/>
      <c r="AK353" s="12"/>
      <c r="AL353" s="8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spans="1:48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6"/>
      <c r="AH354" s="8"/>
      <c r="AI354" s="12"/>
      <c r="AJ354" s="12"/>
      <c r="AK354" s="12"/>
      <c r="AL354" s="8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1:48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6"/>
      <c r="AH355" s="8"/>
      <c r="AI355" s="12"/>
      <c r="AJ355" s="12"/>
      <c r="AK355" s="12"/>
      <c r="AL355" s="8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spans="1:48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6"/>
      <c r="AH356" s="8"/>
      <c r="AI356" s="12"/>
      <c r="AJ356" s="12"/>
      <c r="AK356" s="12"/>
      <c r="AL356" s="8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1:48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6"/>
      <c r="AH357" s="8"/>
      <c r="AI357" s="12"/>
      <c r="AJ357" s="12"/>
      <c r="AK357" s="12"/>
      <c r="AL357" s="8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spans="1:48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6"/>
      <c r="AH358" s="8"/>
      <c r="AI358" s="12"/>
      <c r="AJ358" s="12"/>
      <c r="AK358" s="12"/>
      <c r="AL358" s="8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1:48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6"/>
      <c r="AH359" s="8"/>
      <c r="AI359" s="12"/>
      <c r="AJ359" s="12"/>
      <c r="AK359" s="12"/>
      <c r="AL359" s="8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spans="1:48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6"/>
      <c r="AH360" s="8"/>
      <c r="AI360" s="12"/>
      <c r="AJ360" s="12"/>
      <c r="AK360" s="12"/>
      <c r="AL360" s="8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1:48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6"/>
      <c r="AH361" s="8"/>
      <c r="AI361" s="12"/>
      <c r="AJ361" s="12"/>
      <c r="AK361" s="12"/>
      <c r="AL361" s="8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spans="1:48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6"/>
      <c r="AH362" s="8"/>
      <c r="AI362" s="12"/>
      <c r="AJ362" s="12"/>
      <c r="AK362" s="12"/>
      <c r="AL362" s="8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1:48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6"/>
      <c r="AH363" s="8"/>
      <c r="AI363" s="12"/>
      <c r="AJ363" s="12"/>
      <c r="AK363" s="12"/>
      <c r="AL363" s="8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spans="1:48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6"/>
      <c r="AH364" s="8"/>
      <c r="AI364" s="12"/>
      <c r="AJ364" s="12"/>
      <c r="AK364" s="12"/>
      <c r="AL364" s="8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1:48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6"/>
      <c r="AH365" s="8"/>
      <c r="AI365" s="12"/>
      <c r="AJ365" s="12"/>
      <c r="AK365" s="12"/>
      <c r="AL365" s="8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spans="1:48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6"/>
      <c r="AH366" s="8"/>
      <c r="AI366" s="12"/>
      <c r="AJ366" s="12"/>
      <c r="AK366" s="12"/>
      <c r="AL366" s="8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1:48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6"/>
      <c r="AH367" s="8"/>
      <c r="AI367" s="12"/>
      <c r="AJ367" s="12"/>
      <c r="AK367" s="12"/>
      <c r="AL367" s="8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spans="1:48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6"/>
      <c r="AH368" s="8"/>
      <c r="AI368" s="12"/>
      <c r="AJ368" s="12"/>
      <c r="AK368" s="12"/>
      <c r="AL368" s="8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1:48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6"/>
      <c r="AH369" s="8"/>
      <c r="AI369" s="12"/>
      <c r="AJ369" s="12"/>
      <c r="AK369" s="12"/>
      <c r="AL369" s="8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spans="1:48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6"/>
      <c r="AH370" s="8"/>
      <c r="AI370" s="12"/>
      <c r="AJ370" s="12"/>
      <c r="AK370" s="12"/>
      <c r="AL370" s="8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1:48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6"/>
      <c r="AH371" s="8"/>
      <c r="AI371" s="12"/>
      <c r="AJ371" s="12"/>
      <c r="AK371" s="12"/>
      <c r="AL371" s="8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spans="1:48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6"/>
      <c r="AH372" s="8"/>
      <c r="AI372" s="12"/>
      <c r="AJ372" s="12"/>
      <c r="AK372" s="12"/>
      <c r="AL372" s="8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1:48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6"/>
      <c r="AH373" s="8"/>
      <c r="AI373" s="12"/>
      <c r="AJ373" s="12"/>
      <c r="AK373" s="12"/>
      <c r="AL373" s="8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spans="1:48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6"/>
      <c r="AH374" s="8"/>
      <c r="AI374" s="12"/>
      <c r="AJ374" s="12"/>
      <c r="AK374" s="12"/>
      <c r="AL374" s="8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1:48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6"/>
      <c r="AH375" s="8"/>
      <c r="AI375" s="12"/>
      <c r="AJ375" s="12"/>
      <c r="AK375" s="12"/>
      <c r="AL375" s="8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spans="1:48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6"/>
      <c r="AH376" s="8"/>
      <c r="AI376" s="12"/>
      <c r="AJ376" s="12"/>
      <c r="AK376" s="12"/>
      <c r="AL376" s="8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1:48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6"/>
      <c r="AH377" s="8"/>
      <c r="AI377" s="12"/>
      <c r="AJ377" s="12"/>
      <c r="AK377" s="12"/>
      <c r="AL377" s="8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spans="1:48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6"/>
      <c r="AH378" s="8"/>
      <c r="AI378" s="12"/>
      <c r="AJ378" s="12"/>
      <c r="AK378" s="12"/>
      <c r="AL378" s="8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1:48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6"/>
      <c r="AH379" s="8"/>
      <c r="AI379" s="12"/>
      <c r="AJ379" s="12"/>
      <c r="AK379" s="12"/>
      <c r="AL379" s="8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spans="1:48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6"/>
      <c r="AH380" s="8"/>
      <c r="AI380" s="12"/>
      <c r="AJ380" s="12"/>
      <c r="AK380" s="12"/>
      <c r="AL380" s="8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1:48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6"/>
      <c r="AH381" s="8"/>
      <c r="AI381" s="12"/>
      <c r="AJ381" s="12"/>
      <c r="AK381" s="12"/>
      <c r="AL381" s="8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spans="1:48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6"/>
      <c r="AH382" s="8"/>
      <c r="AI382" s="12"/>
      <c r="AJ382" s="12"/>
      <c r="AK382" s="12"/>
      <c r="AL382" s="8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1:48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6"/>
      <c r="AH383" s="8"/>
      <c r="AI383" s="12"/>
      <c r="AJ383" s="12"/>
      <c r="AK383" s="12"/>
      <c r="AL383" s="8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spans="1:48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6"/>
      <c r="AH384" s="8"/>
      <c r="AI384" s="12"/>
      <c r="AJ384" s="12"/>
      <c r="AK384" s="12"/>
      <c r="AL384" s="8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1:48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6"/>
      <c r="AH385" s="8"/>
      <c r="AI385" s="12"/>
      <c r="AJ385" s="12"/>
      <c r="AK385" s="12"/>
      <c r="AL385" s="8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spans="1:48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6"/>
      <c r="AH386" s="8"/>
      <c r="AI386" s="12"/>
      <c r="AJ386" s="12"/>
      <c r="AK386" s="12"/>
      <c r="AL386" s="8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1:48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6"/>
      <c r="AH387" s="8"/>
      <c r="AI387" s="12"/>
      <c r="AJ387" s="12"/>
      <c r="AK387" s="12"/>
      <c r="AL387" s="8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spans="1:48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6"/>
      <c r="AH388" s="8"/>
      <c r="AI388" s="12"/>
      <c r="AJ388" s="12"/>
      <c r="AK388" s="12"/>
      <c r="AL388" s="8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1:48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6"/>
      <c r="AH389" s="8"/>
      <c r="AI389" s="12"/>
      <c r="AJ389" s="12"/>
      <c r="AK389" s="12"/>
      <c r="AL389" s="8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spans="1:48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6"/>
      <c r="AH390" s="8"/>
      <c r="AI390" s="12"/>
      <c r="AJ390" s="12"/>
      <c r="AK390" s="12"/>
      <c r="AL390" s="8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1:48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6"/>
      <c r="AH391" s="8"/>
      <c r="AI391" s="12"/>
      <c r="AJ391" s="12"/>
      <c r="AK391" s="12"/>
      <c r="AL391" s="8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spans="1:48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6"/>
      <c r="AH392" s="8"/>
      <c r="AI392" s="12"/>
      <c r="AJ392" s="12"/>
      <c r="AK392" s="12"/>
      <c r="AL392" s="8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1:48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6"/>
      <c r="AH393" s="8"/>
      <c r="AI393" s="12"/>
      <c r="AJ393" s="12"/>
      <c r="AK393" s="12"/>
      <c r="AL393" s="8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spans="1:48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6"/>
      <c r="AH394" s="8"/>
      <c r="AI394" s="12"/>
      <c r="AJ394" s="12"/>
      <c r="AK394" s="12"/>
      <c r="AL394" s="8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1:48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6"/>
      <c r="AH395" s="8"/>
      <c r="AI395" s="12"/>
      <c r="AJ395" s="12"/>
      <c r="AK395" s="12"/>
      <c r="AL395" s="8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spans="1:48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6"/>
      <c r="AH396" s="8"/>
      <c r="AI396" s="12"/>
      <c r="AJ396" s="12"/>
      <c r="AK396" s="12"/>
      <c r="AL396" s="8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1:48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6"/>
      <c r="AH397" s="8"/>
      <c r="AI397" s="12"/>
      <c r="AJ397" s="12"/>
      <c r="AK397" s="12"/>
      <c r="AL397" s="8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spans="1:48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6"/>
      <c r="AH398" s="8"/>
      <c r="AI398" s="12"/>
      <c r="AJ398" s="12"/>
      <c r="AK398" s="12"/>
      <c r="AL398" s="8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1:48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6"/>
      <c r="AH399" s="8"/>
      <c r="AI399" s="12"/>
      <c r="AJ399" s="12"/>
      <c r="AK399" s="12"/>
      <c r="AL399" s="8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spans="1:48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6"/>
      <c r="AH400" s="8"/>
      <c r="AI400" s="12"/>
      <c r="AJ400" s="12"/>
      <c r="AK400" s="12"/>
      <c r="AL400" s="8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1:48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6"/>
      <c r="AH401" s="8"/>
      <c r="AI401" s="12"/>
      <c r="AJ401" s="12"/>
      <c r="AK401" s="12"/>
      <c r="AL401" s="8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spans="1:48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6"/>
      <c r="AH402" s="8"/>
      <c r="AI402" s="12"/>
      <c r="AJ402" s="12"/>
      <c r="AK402" s="12"/>
      <c r="AL402" s="8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1:48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6"/>
      <c r="AH403" s="8"/>
      <c r="AI403" s="12"/>
      <c r="AJ403" s="12"/>
      <c r="AK403" s="12"/>
      <c r="AL403" s="8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spans="1:48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6"/>
      <c r="AH404" s="8"/>
      <c r="AI404" s="12"/>
      <c r="AJ404" s="12"/>
      <c r="AK404" s="12"/>
      <c r="AL404" s="8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1:48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6"/>
      <c r="AH405" s="8"/>
      <c r="AI405" s="12"/>
      <c r="AJ405" s="12"/>
      <c r="AK405" s="12"/>
      <c r="AL405" s="8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spans="1:48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6"/>
      <c r="AH406" s="8"/>
      <c r="AI406" s="12"/>
      <c r="AJ406" s="12"/>
      <c r="AK406" s="12"/>
      <c r="AL406" s="8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1:48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6"/>
      <c r="AH407" s="8"/>
      <c r="AI407" s="12"/>
      <c r="AJ407" s="12"/>
      <c r="AK407" s="12"/>
      <c r="AL407" s="8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spans="1:48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6"/>
      <c r="AH408" s="8"/>
      <c r="AI408" s="12"/>
      <c r="AJ408" s="12"/>
      <c r="AK408" s="12"/>
      <c r="AL408" s="8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1:48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6"/>
      <c r="AH409" s="8"/>
      <c r="AI409" s="12"/>
      <c r="AJ409" s="12"/>
      <c r="AK409" s="12"/>
      <c r="AL409" s="8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spans="1:48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6"/>
      <c r="AH410" s="8"/>
      <c r="AI410" s="12"/>
      <c r="AJ410" s="12"/>
      <c r="AK410" s="12"/>
      <c r="AL410" s="8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1:48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6"/>
      <c r="AH411" s="8"/>
      <c r="AI411" s="12"/>
      <c r="AJ411" s="12"/>
      <c r="AK411" s="12"/>
      <c r="AL411" s="8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spans="1:48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6"/>
      <c r="AH412" s="8"/>
      <c r="AI412" s="12"/>
      <c r="AJ412" s="12"/>
      <c r="AK412" s="12"/>
      <c r="AL412" s="8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1:48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6"/>
      <c r="AH413" s="8"/>
      <c r="AI413" s="12"/>
      <c r="AJ413" s="12"/>
      <c r="AK413" s="12"/>
      <c r="AL413" s="8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spans="1:48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6"/>
      <c r="AH414" s="8"/>
      <c r="AI414" s="12"/>
      <c r="AJ414" s="12"/>
      <c r="AK414" s="12"/>
      <c r="AL414" s="8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1:48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6"/>
      <c r="AH415" s="8"/>
      <c r="AI415" s="12"/>
      <c r="AJ415" s="12"/>
      <c r="AK415" s="12"/>
      <c r="AL415" s="8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spans="1:48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6"/>
      <c r="AH416" s="8"/>
      <c r="AI416" s="12"/>
      <c r="AJ416" s="12"/>
      <c r="AK416" s="12"/>
      <c r="AL416" s="8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1:48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6"/>
      <c r="AH417" s="8"/>
      <c r="AI417" s="12"/>
      <c r="AJ417" s="12"/>
      <c r="AK417" s="12"/>
      <c r="AL417" s="8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spans="1:48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6"/>
      <c r="AH418" s="8"/>
      <c r="AI418" s="12"/>
      <c r="AJ418" s="12"/>
      <c r="AK418" s="12"/>
      <c r="AL418" s="8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1:48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6"/>
      <c r="AH419" s="8"/>
      <c r="AI419" s="12"/>
      <c r="AJ419" s="12"/>
      <c r="AK419" s="12"/>
      <c r="AL419" s="8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spans="1:48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6"/>
      <c r="AH420" s="8"/>
      <c r="AI420" s="12"/>
      <c r="AJ420" s="12"/>
      <c r="AK420" s="12"/>
      <c r="AL420" s="8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1:48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6"/>
      <c r="AH421" s="8"/>
      <c r="AI421" s="12"/>
      <c r="AJ421" s="12"/>
      <c r="AK421" s="12"/>
      <c r="AL421" s="8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spans="1:48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6"/>
      <c r="AH422" s="8"/>
      <c r="AI422" s="12"/>
      <c r="AJ422" s="12"/>
      <c r="AK422" s="12"/>
      <c r="AL422" s="8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1:48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6"/>
      <c r="AH423" s="8"/>
      <c r="AI423" s="12"/>
      <c r="AJ423" s="12"/>
      <c r="AK423" s="12"/>
      <c r="AL423" s="8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spans="1:48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6"/>
      <c r="AH424" s="8"/>
      <c r="AI424" s="12"/>
      <c r="AJ424" s="12"/>
      <c r="AK424" s="12"/>
      <c r="AL424" s="8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1:48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6"/>
      <c r="AH425" s="8"/>
      <c r="AI425" s="12"/>
      <c r="AJ425" s="12"/>
      <c r="AK425" s="12"/>
      <c r="AL425" s="8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spans="1:48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6"/>
      <c r="AH426" s="8"/>
      <c r="AI426" s="12"/>
      <c r="AJ426" s="12"/>
      <c r="AK426" s="12"/>
      <c r="AL426" s="8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1:48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6"/>
      <c r="AH427" s="8"/>
      <c r="AI427" s="12"/>
      <c r="AJ427" s="12"/>
      <c r="AK427" s="12"/>
      <c r="AL427" s="8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spans="1:48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6"/>
      <c r="AH428" s="8"/>
      <c r="AI428" s="12"/>
      <c r="AJ428" s="12"/>
      <c r="AK428" s="12"/>
      <c r="AL428" s="8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1:48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6"/>
      <c r="AH429" s="8"/>
      <c r="AI429" s="12"/>
      <c r="AJ429" s="12"/>
      <c r="AK429" s="12"/>
      <c r="AL429" s="8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spans="1:48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6"/>
      <c r="AH430" s="8"/>
      <c r="AI430" s="12"/>
      <c r="AJ430" s="12"/>
      <c r="AK430" s="12"/>
      <c r="AL430" s="8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1:48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6"/>
      <c r="AH431" s="8"/>
      <c r="AI431" s="12"/>
      <c r="AJ431" s="12"/>
      <c r="AK431" s="12"/>
      <c r="AL431" s="8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spans="1:48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6"/>
      <c r="AH432" s="8"/>
      <c r="AI432" s="12"/>
      <c r="AJ432" s="12"/>
      <c r="AK432" s="12"/>
      <c r="AL432" s="8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1:48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6"/>
      <c r="AH433" s="8"/>
      <c r="AI433" s="12"/>
      <c r="AJ433" s="12"/>
      <c r="AK433" s="12"/>
      <c r="AL433" s="8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spans="1:48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6"/>
      <c r="AH434" s="8"/>
      <c r="AI434" s="12"/>
      <c r="AJ434" s="12"/>
      <c r="AK434" s="12"/>
      <c r="AL434" s="8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1:48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6"/>
      <c r="AH435" s="8"/>
      <c r="AI435" s="12"/>
      <c r="AJ435" s="12"/>
      <c r="AK435" s="12"/>
      <c r="AL435" s="8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spans="1:48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6"/>
      <c r="AH436" s="8"/>
      <c r="AI436" s="12"/>
      <c r="AJ436" s="12"/>
      <c r="AK436" s="12"/>
      <c r="AL436" s="8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1:48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6"/>
      <c r="AH437" s="8"/>
      <c r="AI437" s="12"/>
      <c r="AJ437" s="12"/>
      <c r="AK437" s="12"/>
      <c r="AL437" s="8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spans="1:48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6"/>
      <c r="AH438" s="8"/>
      <c r="AI438" s="12"/>
      <c r="AJ438" s="12"/>
      <c r="AK438" s="12"/>
      <c r="AL438" s="8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1:48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6"/>
      <c r="AH439" s="8"/>
      <c r="AI439" s="12"/>
      <c r="AJ439" s="12"/>
      <c r="AK439" s="12"/>
      <c r="AL439" s="8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spans="1:48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6"/>
      <c r="AH440" s="8"/>
      <c r="AI440" s="12"/>
      <c r="AJ440" s="12"/>
      <c r="AK440" s="12"/>
      <c r="AL440" s="8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1:48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6"/>
      <c r="AH441" s="8"/>
      <c r="AI441" s="12"/>
      <c r="AJ441" s="12"/>
      <c r="AK441" s="12"/>
      <c r="AL441" s="8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spans="1:48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6"/>
      <c r="AH442" s="8"/>
      <c r="AI442" s="12"/>
      <c r="AJ442" s="12"/>
      <c r="AK442" s="12"/>
      <c r="AL442" s="8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1:48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6"/>
      <c r="AH443" s="8"/>
      <c r="AI443" s="12"/>
      <c r="AJ443" s="12"/>
      <c r="AK443" s="12"/>
      <c r="AL443" s="8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spans="1:48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6"/>
      <c r="AH444" s="8"/>
      <c r="AI444" s="12"/>
      <c r="AJ444" s="12"/>
      <c r="AK444" s="12"/>
      <c r="AL444" s="8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1:48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6"/>
      <c r="AH445" s="8"/>
      <c r="AI445" s="12"/>
      <c r="AJ445" s="12"/>
      <c r="AK445" s="12"/>
      <c r="AL445" s="8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spans="1:48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6"/>
      <c r="AH446" s="8"/>
      <c r="AI446" s="12"/>
      <c r="AJ446" s="12"/>
      <c r="AK446" s="12"/>
      <c r="AL446" s="8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1:48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6"/>
      <c r="AH447" s="8"/>
      <c r="AI447" s="12"/>
      <c r="AJ447" s="12"/>
      <c r="AK447" s="12"/>
      <c r="AL447" s="8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spans="1:48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6"/>
      <c r="AH448" s="8"/>
      <c r="AI448" s="12"/>
      <c r="AJ448" s="12"/>
      <c r="AK448" s="12"/>
      <c r="AL448" s="8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1:48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6"/>
      <c r="AH449" s="8"/>
      <c r="AI449" s="12"/>
      <c r="AJ449" s="12"/>
      <c r="AK449" s="12"/>
      <c r="AL449" s="8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spans="1:48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6"/>
      <c r="AH450" s="8"/>
      <c r="AI450" s="12"/>
      <c r="AJ450" s="12"/>
      <c r="AK450" s="12"/>
      <c r="AL450" s="8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1:48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6"/>
      <c r="AH451" s="8"/>
      <c r="AI451" s="12"/>
      <c r="AJ451" s="12"/>
      <c r="AK451" s="12"/>
      <c r="AL451" s="8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spans="1:48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6"/>
      <c r="AH452" s="8"/>
      <c r="AI452" s="12"/>
      <c r="AJ452" s="12"/>
      <c r="AK452" s="12"/>
      <c r="AL452" s="8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1:48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6"/>
      <c r="AH453" s="8"/>
      <c r="AI453" s="12"/>
      <c r="AJ453" s="12"/>
      <c r="AK453" s="12"/>
      <c r="AL453" s="8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spans="1:48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6"/>
      <c r="AH454" s="8"/>
      <c r="AI454" s="12"/>
      <c r="AJ454" s="12"/>
      <c r="AK454" s="12"/>
      <c r="AL454" s="8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1:48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6"/>
      <c r="AH455" s="8"/>
      <c r="AI455" s="12"/>
      <c r="AJ455" s="12"/>
      <c r="AK455" s="12"/>
      <c r="AL455" s="8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spans="1:48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6"/>
      <c r="AH456" s="8"/>
      <c r="AI456" s="12"/>
      <c r="AJ456" s="12"/>
      <c r="AK456" s="12"/>
      <c r="AL456" s="8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1:48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6"/>
      <c r="AH457" s="8"/>
      <c r="AI457" s="12"/>
      <c r="AJ457" s="12"/>
      <c r="AK457" s="12"/>
      <c r="AL457" s="8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spans="1:48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6"/>
      <c r="AH458" s="8"/>
      <c r="AI458" s="12"/>
      <c r="AJ458" s="12"/>
      <c r="AK458" s="12"/>
      <c r="AL458" s="8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1:48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6"/>
      <c r="AH459" s="8"/>
      <c r="AI459" s="12"/>
      <c r="AJ459" s="12"/>
      <c r="AK459" s="12"/>
      <c r="AL459" s="8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spans="1:48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6"/>
      <c r="AH460" s="8"/>
      <c r="AI460" s="12"/>
      <c r="AJ460" s="12"/>
      <c r="AK460" s="12"/>
      <c r="AL460" s="8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1:48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6"/>
      <c r="AH461" s="8"/>
      <c r="AI461" s="12"/>
      <c r="AJ461" s="12"/>
      <c r="AK461" s="12"/>
      <c r="AL461" s="8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spans="1:48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6"/>
      <c r="AH462" s="8"/>
      <c r="AI462" s="12"/>
      <c r="AJ462" s="12"/>
      <c r="AK462" s="12"/>
      <c r="AL462" s="8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1:48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6"/>
      <c r="AH463" s="8"/>
      <c r="AI463" s="12"/>
      <c r="AJ463" s="12"/>
      <c r="AK463" s="12"/>
      <c r="AL463" s="8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spans="1:48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6"/>
      <c r="AH464" s="8"/>
      <c r="AI464" s="12"/>
      <c r="AJ464" s="12"/>
      <c r="AK464" s="12"/>
      <c r="AL464" s="8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1:48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6"/>
      <c r="AH465" s="8"/>
      <c r="AI465" s="12"/>
      <c r="AJ465" s="12"/>
      <c r="AK465" s="12"/>
      <c r="AL465" s="8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spans="1:48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6"/>
      <c r="AH466" s="8"/>
      <c r="AI466" s="12"/>
      <c r="AJ466" s="12"/>
      <c r="AK466" s="12"/>
      <c r="AL466" s="8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1:48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6"/>
      <c r="AH467" s="8"/>
      <c r="AI467" s="12"/>
      <c r="AJ467" s="12"/>
      <c r="AK467" s="12"/>
      <c r="AL467" s="8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spans="1:48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6"/>
      <c r="AH468" s="8"/>
      <c r="AI468" s="12"/>
      <c r="AJ468" s="12"/>
      <c r="AK468" s="12"/>
      <c r="AL468" s="8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1:48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6"/>
      <c r="AH469" s="8"/>
      <c r="AI469" s="12"/>
      <c r="AJ469" s="12"/>
      <c r="AK469" s="12"/>
      <c r="AL469" s="8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spans="1:48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6"/>
      <c r="AH470" s="8"/>
      <c r="AI470" s="12"/>
      <c r="AJ470" s="12"/>
      <c r="AK470" s="12"/>
      <c r="AL470" s="8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1:48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6"/>
      <c r="AH471" s="8"/>
      <c r="AI471" s="12"/>
      <c r="AJ471" s="12"/>
      <c r="AK471" s="12"/>
      <c r="AL471" s="8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spans="1:48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6"/>
      <c r="AH472" s="8"/>
      <c r="AI472" s="12"/>
      <c r="AJ472" s="12"/>
      <c r="AK472" s="12"/>
      <c r="AL472" s="8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1:48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6"/>
      <c r="AH473" s="8"/>
      <c r="AI473" s="12"/>
      <c r="AJ473" s="12"/>
      <c r="AK473" s="12"/>
      <c r="AL473" s="8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spans="1:48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6"/>
      <c r="AH474" s="8"/>
      <c r="AI474" s="12"/>
      <c r="AJ474" s="12"/>
      <c r="AK474" s="12"/>
      <c r="AL474" s="8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1:48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6"/>
      <c r="AH475" s="8"/>
      <c r="AI475" s="12"/>
      <c r="AJ475" s="12"/>
      <c r="AK475" s="12"/>
      <c r="AL475" s="8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spans="1:48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6"/>
      <c r="AH476" s="8"/>
      <c r="AI476" s="12"/>
      <c r="AJ476" s="12"/>
      <c r="AK476" s="12"/>
      <c r="AL476" s="8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1:48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6"/>
      <c r="AH477" s="8"/>
      <c r="AI477" s="12"/>
      <c r="AJ477" s="12"/>
      <c r="AK477" s="12"/>
      <c r="AL477" s="8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spans="1:48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6"/>
      <c r="AH478" s="8"/>
      <c r="AI478" s="12"/>
      <c r="AJ478" s="12"/>
      <c r="AK478" s="12"/>
      <c r="AL478" s="8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1:48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6"/>
      <c r="AH479" s="8"/>
      <c r="AI479" s="12"/>
      <c r="AJ479" s="12"/>
      <c r="AK479" s="12"/>
      <c r="AL479" s="8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spans="1:48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6"/>
      <c r="AH480" s="8"/>
      <c r="AI480" s="12"/>
      <c r="AJ480" s="12"/>
      <c r="AK480" s="12"/>
      <c r="AL480" s="8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1:48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6"/>
      <c r="AH481" s="8"/>
      <c r="AI481" s="12"/>
      <c r="AJ481" s="12"/>
      <c r="AK481" s="12"/>
      <c r="AL481" s="8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spans="1:48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6"/>
      <c r="AH482" s="8"/>
      <c r="AI482" s="12"/>
      <c r="AJ482" s="12"/>
      <c r="AK482" s="12"/>
      <c r="AL482" s="8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1:48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6"/>
      <c r="AH483" s="8"/>
      <c r="AI483" s="12"/>
      <c r="AJ483" s="12"/>
      <c r="AK483" s="12"/>
      <c r="AL483" s="8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spans="1:48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6"/>
      <c r="AH484" s="8"/>
      <c r="AI484" s="12"/>
      <c r="AJ484" s="12"/>
      <c r="AK484" s="12"/>
      <c r="AL484" s="8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1:48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6"/>
      <c r="AH485" s="8"/>
      <c r="AI485" s="12"/>
      <c r="AJ485" s="12"/>
      <c r="AK485" s="12"/>
      <c r="AL485" s="8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spans="1:48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6"/>
      <c r="AH486" s="8"/>
      <c r="AI486" s="12"/>
      <c r="AJ486" s="12"/>
      <c r="AK486" s="12"/>
      <c r="AL486" s="8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1:48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6"/>
      <c r="AH487" s="8"/>
      <c r="AI487" s="12"/>
      <c r="AJ487" s="12"/>
      <c r="AK487" s="12"/>
      <c r="AL487" s="8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spans="1:48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6"/>
      <c r="AH488" s="8"/>
      <c r="AI488" s="12"/>
      <c r="AJ488" s="12"/>
      <c r="AK488" s="12"/>
      <c r="AL488" s="8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1:48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6"/>
      <c r="AH489" s="8"/>
      <c r="AI489" s="12"/>
      <c r="AJ489" s="12"/>
      <c r="AK489" s="12"/>
      <c r="AL489" s="8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spans="1:48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6"/>
      <c r="AH490" s="8"/>
      <c r="AI490" s="12"/>
      <c r="AJ490" s="12"/>
      <c r="AK490" s="12"/>
      <c r="AL490" s="8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1:48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6"/>
      <c r="AH491" s="8"/>
      <c r="AI491" s="12"/>
      <c r="AJ491" s="12"/>
      <c r="AK491" s="12"/>
      <c r="AL491" s="8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spans="1:48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6"/>
      <c r="AH492" s="8"/>
      <c r="AI492" s="12"/>
      <c r="AJ492" s="12"/>
      <c r="AK492" s="12"/>
      <c r="AL492" s="8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1:48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6"/>
      <c r="AH493" s="8"/>
      <c r="AI493" s="12"/>
      <c r="AJ493" s="12"/>
      <c r="AK493" s="12"/>
      <c r="AL493" s="8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spans="1:48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6"/>
      <c r="AH494" s="8"/>
      <c r="AI494" s="12"/>
      <c r="AJ494" s="12"/>
      <c r="AK494" s="12"/>
      <c r="AL494" s="8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1:48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6"/>
      <c r="AH495" s="8"/>
      <c r="AI495" s="12"/>
      <c r="AJ495" s="12"/>
      <c r="AK495" s="12"/>
      <c r="AL495" s="8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spans="1:48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6"/>
      <c r="AH496" s="8"/>
      <c r="AI496" s="12"/>
      <c r="AJ496" s="12"/>
      <c r="AK496" s="12"/>
      <c r="AL496" s="8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1:48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6"/>
      <c r="AH497" s="8"/>
      <c r="AI497" s="12"/>
      <c r="AJ497" s="12"/>
      <c r="AK497" s="12"/>
      <c r="AL497" s="8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  <row r="498" spans="1:48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6"/>
      <c r="AH498" s="8"/>
      <c r="AI498" s="12"/>
      <c r="AJ498" s="12"/>
      <c r="AK498" s="12"/>
      <c r="AL498" s="8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  <row r="499" spans="1:48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6"/>
      <c r="AH499" s="8"/>
      <c r="AI499" s="12"/>
      <c r="AJ499" s="12"/>
      <c r="AK499" s="12"/>
      <c r="AL499" s="8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</row>
    <row r="500" spans="1:48" x14ac:dyDescent="0.25">
      <c r="A500" s="12"/>
      <c r="B500" s="12"/>
      <c r="C500" s="12"/>
      <c r="D500" s="12"/>
      <c r="E500" s="12"/>
      <c r="F500" s="12"/>
      <c r="G500" s="6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6"/>
      <c r="AH500" s="8"/>
      <c r="AI500" s="12"/>
      <c r="AJ500" s="12"/>
      <c r="AK500" s="12"/>
      <c r="AL500" s="8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</row>
  </sheetData>
  <autoFilter ref="A3:AL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2026-08-20T09:36:27Z</dcterms:created>
  <dcterms:modified xsi:type="dcterms:W3CDTF">2026-08-27T09:34:30Z</dcterms:modified>
</cp:coreProperties>
</file>