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20590016-40D9-4209-9CE1-FE3F03BC094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Z281" i="1" s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X255" i="1"/>
  <c r="Y254" i="1"/>
  <c r="X254" i="1"/>
  <c r="BP253" i="1"/>
  <c r="BO253" i="1"/>
  <c r="BN253" i="1"/>
  <c r="BM253" i="1"/>
  <c r="Z253" i="1"/>
  <c r="Z254" i="1" s="1"/>
  <c r="Y253" i="1"/>
  <c r="Y255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Z217" i="1" s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Z205" i="1" s="1"/>
  <c r="Y202" i="1"/>
  <c r="P202" i="1"/>
  <c r="BO201" i="1"/>
  <c r="BM201" i="1"/>
  <c r="Z201" i="1"/>
  <c r="Y201" i="1"/>
  <c r="Y205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Y182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Z160" i="1" s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BP140" i="1" s="1"/>
  <c r="P140" i="1"/>
  <c r="BP139" i="1"/>
  <c r="BO139" i="1"/>
  <c r="BN139" i="1"/>
  <c r="BM139" i="1"/>
  <c r="Z139" i="1"/>
  <c r="Z142" i="1" s="1"/>
  <c r="Y139" i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Y116" i="1" s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Y105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7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7" i="1" s="1"/>
  <c r="Y54" i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P48" i="1"/>
  <c r="BO47" i="1"/>
  <c r="BM47" i="1"/>
  <c r="Z47" i="1"/>
  <c r="Y47" i="1"/>
  <c r="Y49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P35" i="1"/>
  <c r="BO34" i="1"/>
  <c r="BM34" i="1"/>
  <c r="Z34" i="1"/>
  <c r="Y34" i="1"/>
  <c r="Y36" i="1" s="1"/>
  <c r="P34" i="1"/>
  <c r="X31" i="1"/>
  <c r="X283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4" i="1" s="1"/>
  <c r="Z22" i="1"/>
  <c r="Y22" i="1"/>
  <c r="Y30" i="1" s="1"/>
  <c r="P22" i="1"/>
  <c r="H10" i="1"/>
  <c r="A9" i="1"/>
  <c r="A10" i="1" s="1"/>
  <c r="D7" i="1"/>
  <c r="Q6" i="1"/>
  <c r="P2" i="1"/>
  <c r="Y161" i="1" l="1"/>
  <c r="Y206" i="1"/>
  <c r="Z30" i="1"/>
  <c r="X285" i="1"/>
  <c r="X286" i="1" s="1"/>
  <c r="Z36" i="1"/>
  <c r="BN34" i="1"/>
  <c r="BP34" i="1"/>
  <c r="Y37" i="1"/>
  <c r="Z43" i="1"/>
  <c r="Z49" i="1"/>
  <c r="BN47" i="1"/>
  <c r="BP47" i="1"/>
  <c r="Y50" i="1"/>
  <c r="Z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H9" i="1"/>
  <c r="Y58" i="1"/>
  <c r="Y62" i="1"/>
  <c r="BP61" i="1"/>
  <c r="BN61" i="1"/>
  <c r="Y72" i="1"/>
  <c r="BP69" i="1"/>
  <c r="BN69" i="1"/>
  <c r="Y73" i="1"/>
  <c r="BP71" i="1"/>
  <c r="BN71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7" i="1"/>
  <c r="Y283" i="1"/>
  <c r="Y284" i="1"/>
  <c r="Y285" i="1"/>
  <c r="B296" i="1" l="1"/>
  <c r="Y286" i="1"/>
  <c r="A296" i="1"/>
  <c r="C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<sst xmlns="http://schemas.openxmlformats.org/spreadsheetml/2006/main" count="1313" uniqueCount="435">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</sst>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48</v>
      </c>
      <c r="Y23" s="279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1.3019999999999998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547.20000000000005</v>
      </c>
      <c r="Y31" s="280">
        <f>IFERROR(SUMPRODUCT(Y22:Y29*H22:H29),"0")</f>
        <v>547.20000000000005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56</v>
      </c>
      <c r="Y41" s="279">
        <f>IFERROR(IF(X41="","",X41),"")</f>
        <v>56</v>
      </c>
      <c r="Z41" s="36">
        <f>IFERROR(IF(X41="","",X41*0.00941),"")</f>
        <v>0.52695999999999998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107.6208</v>
      </c>
      <c r="BN41" s="67">
        <f>IFERROR(Y41*I41,"0")</f>
        <v>107.6208</v>
      </c>
      <c r="BO41" s="67">
        <f>IFERROR(X41/J41,"0")</f>
        <v>0.4</v>
      </c>
      <c r="BP41" s="67">
        <f>IFERROR(Y41/J41,"0")</f>
        <v>0.4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14</v>
      </c>
      <c r="Y42" s="279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70</v>
      </c>
      <c r="Y43" s="280">
        <f>IFERROR(SUM(Y41:Y42),"0")</f>
        <v>70</v>
      </c>
      <c r="Z43" s="280">
        <f>IFERROR(IF(Z41="",0,Z41),"0")+IFERROR(IF(Z42="",0,Z42),"0")</f>
        <v>0.65869999999999995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105</v>
      </c>
      <c r="Y44" s="280">
        <f>IFERROR(SUMPRODUCT(Y41:Y42*H41:H42),"0")</f>
        <v>105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hidden="1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0</v>
      </c>
      <c r="Y50" s="280">
        <f>IFERROR(SUMPRODUCT(Y47:Y48*H47:H48),"0")</f>
        <v>0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48</v>
      </c>
      <c r="Y53" s="279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350.4</v>
      </c>
      <c r="BN53" s="67">
        <f>IFERROR(Y53*I53,"0")</f>
        <v>350.4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48</v>
      </c>
      <c r="Y57" s="280">
        <f>IFERROR(SUM(Y53:Y56),"0")</f>
        <v>48</v>
      </c>
      <c r="Z57" s="280">
        <f>IFERROR(IF(Z53="",0,Z53),"0")+IFERROR(IF(Z54="",0,Z54),"0")+IFERROR(IF(Z55="",0,Z55),"0")+IFERROR(IF(Z56="",0,Z56),"0")</f>
        <v>0.74399999999999999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336</v>
      </c>
      <c r="Y58" s="280">
        <f>IFERROR(SUMPRODUCT(Y53:Y56*H53:H56),"0")</f>
        <v>336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120</v>
      </c>
      <c r="Y77" s="279">
        <f>IFERROR(IF(X77="","",X77),"")</f>
        <v>120</v>
      </c>
      <c r="Z77" s="36">
        <f>IFERROR(IF(X77="","",X77*0.00866),"")</f>
        <v>1.0391999999999999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625.58399999999995</v>
      </c>
      <c r="BN77" s="67">
        <f>IFERROR(Y77*I77,"0")</f>
        <v>625.58399999999995</v>
      </c>
      <c r="BO77" s="67">
        <f>IFERROR(X77/J77,"0")</f>
        <v>0.83333333333333337</v>
      </c>
      <c r="BP77" s="67">
        <f>IFERROR(Y77/J77,"0")</f>
        <v>0.83333333333333337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120</v>
      </c>
      <c r="Y78" s="280">
        <f>IFERROR(SUM(Y76:Y77),"0")</f>
        <v>120</v>
      </c>
      <c r="Z78" s="280">
        <f>IFERROR(IF(Z76="",0,Z76),"0")+IFERROR(IF(Z77="",0,Z77),"0")</f>
        <v>1.0391999999999999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600</v>
      </c>
      <c r="Y79" s="280">
        <f>IFERROR(SUMPRODUCT(Y76:Y77*H76:H77),"0")</f>
        <v>600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70</v>
      </c>
      <c r="Y87" s="279">
        <f>IFERROR(IF(X87="","",X87),"")</f>
        <v>70</v>
      </c>
      <c r="Z87" s="36">
        <f>IFERROR(IF(X87="","",X87*0.01788),"")</f>
        <v>1.2516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301.25200000000001</v>
      </c>
      <c r="BN87" s="67">
        <f>IFERROR(Y87*I87,"0")</f>
        <v>301.25200000000001</v>
      </c>
      <c r="BO87" s="67">
        <f>IFERROR(X87/J87,"0")</f>
        <v>1</v>
      </c>
      <c r="BP87" s="67">
        <f>IFERROR(Y87/J87,"0")</f>
        <v>1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70</v>
      </c>
      <c r="Y89" s="280">
        <f>IFERROR(SUM(Y87:Y88),"0")</f>
        <v>70</v>
      </c>
      <c r="Z89" s="280">
        <f>IFERROR(IF(Z87="",0,Z87),"0")+IFERROR(IF(Z88="",0,Z88),"0")</f>
        <v>1.2516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252</v>
      </c>
      <c r="Y90" s="280">
        <f>IFERROR(SUMPRODUCT(Y87:Y88*H87:H88),"0")</f>
        <v>252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28</v>
      </c>
      <c r="Y93" s="279">
        <f t="shared" ref="Y93:Y98" si="6">IFERROR(IF(X93="","",X93),"")</f>
        <v>28</v>
      </c>
      <c r="Z93" s="36">
        <f t="shared" ref="Z93:Z98" si="7">IFERROR(IF(X93="","",X93*0.01788),"")</f>
        <v>0.50063999999999997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100.3408</v>
      </c>
      <c r="BN93" s="67">
        <f t="shared" ref="BN93:BN98" si="9">IFERROR(Y93*I93,"0")</f>
        <v>100.3408</v>
      </c>
      <c r="BO93" s="67">
        <f t="shared" ref="BO93:BO98" si="10">IFERROR(X93/J93,"0")</f>
        <v>0.4</v>
      </c>
      <c r="BP93" s="67">
        <f t="shared" ref="BP93:BP98" si="11">IFERROR(Y93/J93,"0")</f>
        <v>0.4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28</v>
      </c>
      <c r="Y96" s="279">
        <f t="shared" si="6"/>
        <v>28</v>
      </c>
      <c r="Z96" s="36">
        <f t="shared" si="7"/>
        <v>0.50063999999999997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84</v>
      </c>
      <c r="Y99" s="280">
        <f>IFERROR(SUM(Y93:Y98),"0")</f>
        <v>84</v>
      </c>
      <c r="Z99" s="280">
        <f>IFERROR(IF(Z93="",0,Z93),"0")+IFERROR(IF(Z94="",0,Z94),"0")+IFERROR(IF(Z95="",0,Z95),"0")+IFERROR(IF(Z96="",0,Z96),"0")+IFERROR(IF(Z97="",0,Z97),"0")+IFERROR(IF(Z98="",0,Z98),"0")</f>
        <v>1.5019199999999999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241.92000000000002</v>
      </c>
      <c r="Y100" s="280">
        <f>IFERROR(SUMPRODUCT(Y93:Y98*H93:H98),"0")</f>
        <v>241.92000000000002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48</v>
      </c>
      <c r="Y114" s="279">
        <f t="shared" si="12"/>
        <v>48</v>
      </c>
      <c r="Z114" s="36">
        <f t="shared" si="13"/>
        <v>0.74399999999999999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322.54079999999999</v>
      </c>
      <c r="BN114" s="67">
        <f t="shared" si="15"/>
        <v>322.54079999999999</v>
      </c>
      <c r="BO114" s="67">
        <f t="shared" si="16"/>
        <v>0.5714285714285714</v>
      </c>
      <c r="BP114" s="67">
        <f t="shared" si="17"/>
        <v>0.5714285714285714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120</v>
      </c>
      <c r="Y115" s="279">
        <f t="shared" si="12"/>
        <v>120</v>
      </c>
      <c r="Z115" s="36">
        <f t="shared" si="13"/>
        <v>1.8599999999999999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876</v>
      </c>
      <c r="BN115" s="67">
        <f t="shared" si="15"/>
        <v>876</v>
      </c>
      <c r="BO115" s="67">
        <f t="shared" si="16"/>
        <v>1.4285714285714286</v>
      </c>
      <c r="BP115" s="67">
        <f t="shared" si="17"/>
        <v>1.4285714285714286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180</v>
      </c>
      <c r="Y116" s="280">
        <f>IFERROR(SUM(Y109:Y115),"0")</f>
        <v>180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2.79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1224</v>
      </c>
      <c r="Y117" s="280">
        <f>IFERROR(SUMPRODUCT(Y109:Y115*H109:H115),"0")</f>
        <v>1224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42</v>
      </c>
      <c r="Y132" s="279">
        <f>IFERROR(IF(X132="","",X132),"")</f>
        <v>42</v>
      </c>
      <c r="Z132" s="36">
        <f>IFERROR(IF(X132="","",X132*0.00941),"")</f>
        <v>0.39522000000000002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75.600000000000009</v>
      </c>
      <c r="BN132" s="67">
        <f>IFERROR(Y132*I132,"0")</f>
        <v>75.600000000000009</v>
      </c>
      <c r="BO132" s="67">
        <f>IFERROR(X132/J132,"0")</f>
        <v>0.3</v>
      </c>
      <c r="BP132" s="67">
        <f>IFERROR(Y132/J132,"0")</f>
        <v>0.3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84</v>
      </c>
      <c r="Y136" s="280">
        <f>IFERROR(SUM(Y132:Y135),"0")</f>
        <v>84</v>
      </c>
      <c r="Z136" s="280">
        <f>IFERROR(IF(Z132="",0,Z132),"0")+IFERROR(IF(Z133="",0,Z133),"0")+IFERROR(IF(Z134="",0,Z134),"0")+IFERROR(IF(Z135="",0,Z135),"0")</f>
        <v>0.79044000000000003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115.08</v>
      </c>
      <c r="Y137" s="280">
        <f>IFERROR(SUMPRODUCT(Y132:Y135*H132:H135),"0")</f>
        <v>115.08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hidden="1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0</v>
      </c>
      <c r="Y146" s="279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28</v>
      </c>
      <c r="Y147" s="279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103.70079999999999</v>
      </c>
      <c r="BN147" s="67">
        <f>IFERROR(Y147*I147,"0")</f>
        <v>103.70079999999999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28</v>
      </c>
      <c r="Y148" s="280">
        <f>IFERROR(SUM(Y146:Y147),"0")</f>
        <v>28</v>
      </c>
      <c r="Z148" s="280">
        <f>IFERROR(IF(Z146="",0,Z146),"0")+IFERROR(IF(Z147="",0,Z147),"0")</f>
        <v>0.50063999999999997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84</v>
      </c>
      <c r="Y149" s="280">
        <f>IFERROR(SUMPRODUCT(Y146:Y147*H146:H147),"0")</f>
        <v>84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14</v>
      </c>
      <c r="Y152" s="27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52.472000000000001</v>
      </c>
      <c r="BN152" s="67">
        <f>IFERROR(Y152*I152,"0")</f>
        <v>52.472000000000001</v>
      </c>
      <c r="BO152" s="67">
        <f>IFERROR(X152/J152,"0")</f>
        <v>0.2</v>
      </c>
      <c r="BP152" s="67">
        <f>IFERROR(Y152/J152,"0")</f>
        <v>0.2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14</v>
      </c>
      <c r="Y154" s="280">
        <f>IFERROR(SUM(Y152:Y153),"0")</f>
        <v>14</v>
      </c>
      <c r="Z154" s="280">
        <f>IFERROR(IF(Z152="",0,Z152),"0")+IFERROR(IF(Z153="",0,Z153),"0")</f>
        <v>0.25031999999999999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42</v>
      </c>
      <c r="Y155" s="280">
        <f>IFERROR(SUMPRODUCT(Y152:Y153*H152:H153),"0")</f>
        <v>42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0</v>
      </c>
      <c r="Y160" s="280">
        <f>IFERROR(SUM(Y158:Y159),"0")</f>
        <v>0</v>
      </c>
      <c r="Z160" s="280">
        <f>IFERROR(IF(Z158="",0,Z158),"0")+IFERROR(IF(Z159="",0,Z159),"0")</f>
        <v>0</v>
      </c>
      <c r="AA160" s="281"/>
      <c r="AB160" s="281"/>
      <c r="AC160" s="281"/>
    </row>
    <row r="161" spans="1:68" hidden="1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0</v>
      </c>
      <c r="Y161" s="280">
        <f>IFERROR(SUMPRODUCT(Y158:Y159*H158:H159),"0")</f>
        <v>0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70</v>
      </c>
      <c r="Y174" s="279">
        <f>IFERROR(IF(X174="","",X174),"")</f>
        <v>70</v>
      </c>
      <c r="Z174" s="36">
        <f>IFERROR(IF(X174="","",X174*0.00941),"")</f>
        <v>0.65869999999999995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147.126</v>
      </c>
      <c r="BN174" s="67">
        <f>IFERROR(Y174*I174,"0")</f>
        <v>147.126</v>
      </c>
      <c r="BO174" s="67">
        <f>IFERROR(X174/J174,"0")</f>
        <v>0.5</v>
      </c>
      <c r="BP174" s="67">
        <f>IFERROR(Y174/J174,"0")</f>
        <v>0.5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70</v>
      </c>
      <c r="Y175" s="280">
        <f>IFERROR(SUM(Y174:Y174),"0")</f>
        <v>70</v>
      </c>
      <c r="Z175" s="280">
        <f>IFERROR(IF(Z174="",0,Z174),"0")</f>
        <v>0.65869999999999995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117.6</v>
      </c>
      <c r="Y176" s="280">
        <f>IFERROR(SUMPRODUCT(Y174:Y174*H174:H174),"0")</f>
        <v>117.6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24</v>
      </c>
      <c r="Y180" s="279">
        <f>IFERROR(IF(X180="","",X180),"")</f>
        <v>24</v>
      </c>
      <c r="Z180" s="36">
        <f>IFERROR(IF(X180="","",X180*0.0155),"")</f>
        <v>0.372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149.64000000000001</v>
      </c>
      <c r="BN180" s="67">
        <f>IFERROR(Y180*I180,"0")</f>
        <v>149.64000000000001</v>
      </c>
      <c r="BO180" s="67">
        <f>IFERROR(X180/J180,"0")</f>
        <v>0.2857142857142857</v>
      </c>
      <c r="BP180" s="67">
        <f>IFERROR(Y180/J180,"0")</f>
        <v>0.2857142857142857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24</v>
      </c>
      <c r="Y181" s="280">
        <f>IFERROR(SUM(Y180:Y180),"0")</f>
        <v>24</v>
      </c>
      <c r="Z181" s="280">
        <f>IFERROR(IF(Z180="",0,Z180),"0")</f>
        <v>0.372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144</v>
      </c>
      <c r="Y182" s="280">
        <f>IFERROR(SUMPRODUCT(Y180:Y180*H180:H180),"0")</f>
        <v>144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156</v>
      </c>
      <c r="Y190" s="279">
        <f>IFERROR(IF(X190="","",X190),"")</f>
        <v>156</v>
      </c>
      <c r="Z190" s="36">
        <f>IFERROR(IF(X190="","",X190*0.00866),"")</f>
        <v>1.3509599999999999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813.25919999999996</v>
      </c>
      <c r="BN190" s="67">
        <f>IFERROR(Y190*I190,"0")</f>
        <v>813.25919999999996</v>
      </c>
      <c r="BO190" s="67">
        <f>IFERROR(X190/J190,"0")</f>
        <v>1.0833333333333333</v>
      </c>
      <c r="BP190" s="67">
        <f>IFERROR(Y190/J190,"0")</f>
        <v>1.0833333333333333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156</v>
      </c>
      <c r="Y191" s="280">
        <f>IFERROR(SUM(Y189:Y190),"0")</f>
        <v>156</v>
      </c>
      <c r="Z191" s="280">
        <f>IFERROR(IF(Z189="",0,Z189),"0")+IFERROR(IF(Z190="",0,Z190),"0")</f>
        <v>1.3509599999999999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780</v>
      </c>
      <c r="Y192" s="280">
        <f>IFERROR(SUMPRODUCT(Y189:Y190*H189:H190),"0")</f>
        <v>780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47.432000000000002</v>
      </c>
      <c r="BN201" s="67">
        <f>IFERROR(Y201*I201,"0")</f>
        <v>47.432000000000002</v>
      </c>
      <c r="BO201" s="67">
        <f>IFERROR(X201/J201,"0")</f>
        <v>0.2</v>
      </c>
      <c r="BP201" s="67">
        <f>IFERROR(Y201/J201,"0")</f>
        <v>0.2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42</v>
      </c>
      <c r="Y202" s="279">
        <f>IFERROR(IF(X202="","",X202),"")</f>
        <v>42</v>
      </c>
      <c r="Z202" s="36">
        <f>IFERROR(IF(X202="","",X202*0.01788),"")</f>
        <v>0.75095999999999996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142.29599999999999</v>
      </c>
      <c r="BN202" s="67">
        <f>IFERROR(Y202*I202,"0")</f>
        <v>142.29599999999999</v>
      </c>
      <c r="BO202" s="67">
        <f>IFERROR(X202/J202,"0")</f>
        <v>0.6</v>
      </c>
      <c r="BP202" s="67">
        <f>IFERROR(Y202/J202,"0")</f>
        <v>0.6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hidden="1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0</v>
      </c>
      <c r="Y227" s="279">
        <f>IFERROR(IF(X227="","",X227),"")</f>
        <v>0</v>
      </c>
      <c r="Z227" s="36">
        <f>IFERROR(IF(X227="","",X227*0.0155),"")</f>
        <v>0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168</v>
      </c>
      <c r="Y265" s="279">
        <f>IFERROR(IF(X265="","",X265),"")</f>
        <v>168</v>
      </c>
      <c r="Z265" s="36">
        <f>IFERROR(IF(X265="","",X265*0.0155),"")</f>
        <v>2.6040000000000001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879.48</v>
      </c>
      <c r="BN265" s="67">
        <f>IFERROR(Y265*I265,"0")</f>
        <v>879.48</v>
      </c>
      <c r="BO265" s="67">
        <f>IFERROR(X265/J265,"0")</f>
        <v>2</v>
      </c>
      <c r="BP265" s="67">
        <f>IFERROR(Y265/J265,"0")</f>
        <v>2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168</v>
      </c>
      <c r="Y267" s="280">
        <f>IFERROR(SUM(Y264:Y266),"0")</f>
        <v>168</v>
      </c>
      <c r="Z267" s="280">
        <f>IFERROR(IF(Z264="",0,Z264),"0")+IFERROR(IF(Z265="",0,Z265),"0")+IFERROR(IF(Z266="",0,Z266),"0")</f>
        <v>2.6040000000000001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840</v>
      </c>
      <c r="Y268" s="280">
        <f>IFERROR(SUMPRODUCT(Y264:Y266*H264:H266),"0")</f>
        <v>840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14</v>
      </c>
      <c r="Y274" s="279">
        <f t="shared" si="18"/>
        <v>14</v>
      </c>
      <c r="Z274" s="36">
        <f t="shared" si="23"/>
        <v>0.13103999999999999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44.688000000000002</v>
      </c>
      <c r="BN274" s="67">
        <f t="shared" si="20"/>
        <v>44.688000000000002</v>
      </c>
      <c r="BO274" s="67">
        <f t="shared" si="21"/>
        <v>0.1111111111111111</v>
      </c>
      <c r="BP274" s="67">
        <f t="shared" si="22"/>
        <v>0.1111111111111111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14</v>
      </c>
      <c r="Y281" s="280">
        <f>IFERROR(SUM(Y270:Y280),"0")</f>
        <v>14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42</v>
      </c>
      <c r="Y282" s="280">
        <f>IFERROR(SUMPRODUCT(Y270:Y280*H270:H280),"0")</f>
        <v>42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5655.6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5655.6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6112.2144000000008</v>
      </c>
      <c r="Y284" s="280">
        <f>IFERROR(SUM(BN22:BN280),"0")</f>
        <v>6112.2144000000008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14</v>
      </c>
      <c r="Y285" s="38">
        <f>ROUNDUP(SUM(BP22:BP280),0)</f>
        <v>14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6462.2144000000008</v>
      </c>
      <c r="Y286" s="280">
        <f>GrossWeightTotalR+PalletQtyTotalR*25</f>
        <v>6462.2144000000008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1284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1284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17.07854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547.20000000000005</v>
      </c>
      <c r="C293" s="46">
        <f>IFERROR(X34*H34,"0")+IFERROR(X35*H35,"0")</f>
        <v>0</v>
      </c>
      <c r="D293" s="46">
        <f>IFERROR(X41*H41,"0")+IFERROR(X42*H42,"0")</f>
        <v>105</v>
      </c>
      <c r="E293" s="46">
        <f>IFERROR(X47*H47,"0")+IFERROR(X48*H48,"0")</f>
        <v>0</v>
      </c>
      <c r="F293" s="46">
        <f>IFERROR(X53*H53,"0")+IFERROR(X54*H54,"0")+IFERROR(X55*H55,"0")+IFERROR(X56*H56,"0")</f>
        <v>336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600</v>
      </c>
      <c r="I293" s="46">
        <f>IFERROR(X82*H82,"0")</f>
        <v>0</v>
      </c>
      <c r="J293" s="46">
        <f>IFERROR(X87*H87,"0")+IFERROR(X88*H88,"0")</f>
        <v>252</v>
      </c>
      <c r="K293" s="46">
        <f>IFERROR(X93*H93,"0")+IFERROR(X94*H94,"0")+IFERROR(X95*H95,"0")+IFERROR(X96*H96,"0")+IFERROR(X97*H97,"0")+IFERROR(X98*H98,"0")</f>
        <v>241.92000000000002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1224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115.08</v>
      </c>
      <c r="P293" s="46">
        <f>IFERROR(X146*H146,"0")+IFERROR(X147*H147,"0")</f>
        <v>84</v>
      </c>
      <c r="Q293" s="46">
        <f>IFERROR(X152*H152,"0")+IFERROR(X153*H153,"0")</f>
        <v>42</v>
      </c>
      <c r="R293" s="46">
        <f>IFERROR(X158*H158,"0")+IFERROR(X159*H159,"0")</f>
        <v>0</v>
      </c>
      <c r="S293" s="46">
        <f>IFERROR(X164*H164,"0")</f>
        <v>0</v>
      </c>
      <c r="T293" s="46">
        <f>IFERROR(X169*H169,"0")</f>
        <v>0</v>
      </c>
      <c r="U293" s="46">
        <f>IFERROR(X174*H174,"0")</f>
        <v>117.6</v>
      </c>
      <c r="V293" s="46">
        <f>IFERROR(X180*H180,"0")+IFERROR(X184*H184,"0")</f>
        <v>144</v>
      </c>
      <c r="W293" s="46">
        <f>IFERROR(X189*H189,"0")+IFERROR(X190*H190,"0")</f>
        <v>780</v>
      </c>
      <c r="X293" s="46">
        <f>IFERROR(X195*H195,"0")</f>
        <v>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882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3487.2</v>
      </c>
      <c r="B296" s="60">
        <f>SUMPRODUCT(--(BB:BB="ПГП"),--(W:W="кор"),H:H,Y:Y)+SUMPRODUCT(--(BB:BB="ПГП"),--(W:W="кг"),Y:Y)</f>
        <v>2168.4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 284,00"/>
        <filter val="105,00"/>
        <filter val="115,08"/>
        <filter val="117,60"/>
        <filter val="12,00"/>
        <filter val="120,00"/>
        <filter val="14"/>
        <filter val="14,00"/>
        <filter val="144,00"/>
        <filter val="156,00"/>
        <filter val="16,80"/>
        <filter val="168,00"/>
        <filter val="180,00"/>
        <filter val="24,00"/>
        <filter val="241,92"/>
        <filter val="252,00"/>
        <filter val="28,00"/>
        <filter val="336,00"/>
        <filter val="42,00"/>
        <filter val="48,00"/>
        <filter val="5 655,60"/>
        <filter val="547,20"/>
        <filter val="56,00"/>
        <filter val="6 112,21"/>
        <filter val="6 462,21"/>
        <filter val="600,00"/>
        <filter val="70,00"/>
        <filter val="780,00"/>
        <filter val="84,00"/>
        <filter val="840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