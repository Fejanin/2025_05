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2AB5A169-D428-404E-ABFC-AD63DF9581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BP276" i="1"/>
  <c r="BO276" i="1"/>
  <c r="BN276" i="1"/>
  <c r="BM276" i="1"/>
  <c r="Z276" i="1"/>
  <c r="Y276" i="1"/>
  <c r="BP275" i="1"/>
  <c r="BO275" i="1"/>
  <c r="BN275" i="1"/>
  <c r="BM275" i="1"/>
  <c r="Z275" i="1"/>
  <c r="Z281" i="1" s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X268" i="1"/>
  <c r="Y267" i="1"/>
  <c r="X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Z267" i="1" s="1"/>
  <c r="Y264" i="1"/>
  <c r="Y268" i="1" s="1"/>
  <c r="X262" i="1"/>
  <c r="X261" i="1"/>
  <c r="BO260" i="1"/>
  <c r="BM260" i="1"/>
  <c r="Z260" i="1"/>
  <c r="Z261" i="1" s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P222" i="1"/>
  <c r="BO222" i="1"/>
  <c r="BN222" i="1"/>
  <c r="BM222" i="1"/>
  <c r="Z222" i="1"/>
  <c r="Y222" i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Y212" i="1" s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Y202" i="1"/>
  <c r="P202" i="1"/>
  <c r="BO201" i="1"/>
  <c r="BM201" i="1"/>
  <c r="Z201" i="1"/>
  <c r="Y201" i="1"/>
  <c r="P201" i="1"/>
  <c r="X197" i="1"/>
  <c r="X196" i="1"/>
  <c r="BO195" i="1"/>
  <c r="BM195" i="1"/>
  <c r="Z195" i="1"/>
  <c r="Z196" i="1" s="1"/>
  <c r="Y195" i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6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Y176" i="1" s="1"/>
  <c r="P174" i="1"/>
  <c r="X171" i="1"/>
  <c r="X170" i="1"/>
  <c r="BO169" i="1"/>
  <c r="BM169" i="1"/>
  <c r="Z169" i="1"/>
  <c r="Z170" i="1" s="1"/>
  <c r="Y169" i="1"/>
  <c r="P169" i="1"/>
  <c r="Y166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P158" i="1"/>
  <c r="BO158" i="1"/>
  <c r="BN158" i="1"/>
  <c r="BM158" i="1"/>
  <c r="Z158" i="1"/>
  <c r="Z160" i="1" s="1"/>
  <c r="Y158" i="1"/>
  <c r="P158" i="1"/>
  <c r="X155" i="1"/>
  <c r="X154" i="1"/>
  <c r="BO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BP141" i="1" s="1"/>
  <c r="P141" i="1"/>
  <c r="BP140" i="1"/>
  <c r="BO140" i="1"/>
  <c r="BN140" i="1"/>
  <c r="BM140" i="1"/>
  <c r="Z140" i="1"/>
  <c r="Z142" i="1" s="1"/>
  <c r="Y140" i="1"/>
  <c r="P140" i="1"/>
  <c r="BO139" i="1"/>
  <c r="BM139" i="1"/>
  <c r="Z139" i="1"/>
  <c r="Y139" i="1"/>
  <c r="Y142" i="1" s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BO133" i="1"/>
  <c r="BM133" i="1"/>
  <c r="Z133" i="1"/>
  <c r="Y133" i="1"/>
  <c r="BP133" i="1" s="1"/>
  <c r="P133" i="1"/>
  <c r="BO132" i="1"/>
  <c r="BM132" i="1"/>
  <c r="Z132" i="1"/>
  <c r="Y132" i="1"/>
  <c r="P132" i="1"/>
  <c r="X130" i="1"/>
  <c r="X129" i="1"/>
  <c r="BO128" i="1"/>
  <c r="BM128" i="1"/>
  <c r="Z128" i="1"/>
  <c r="Z129" i="1" s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BP94" i="1" s="1"/>
  <c r="P94" i="1"/>
  <c r="BP93" i="1"/>
  <c r="BO93" i="1"/>
  <c r="BN93" i="1"/>
  <c r="BM93" i="1"/>
  <c r="Z93" i="1"/>
  <c r="Z99" i="1" s="1"/>
  <c r="Y93" i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8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85" i="1" s="1"/>
  <c r="BM22" i="1"/>
  <c r="Z22" i="1"/>
  <c r="Z30" i="1" s="1"/>
  <c r="Y22" i="1"/>
  <c r="P22" i="1"/>
  <c r="H10" i="1"/>
  <c r="A9" i="1"/>
  <c r="F10" i="1" s="1"/>
  <c r="D7" i="1"/>
  <c r="Q6" i="1"/>
  <c r="P2" i="1"/>
  <c r="Y67" i="1" l="1"/>
  <c r="Y66" i="1"/>
  <c r="BP65" i="1"/>
  <c r="BN65" i="1"/>
  <c r="Y125" i="1"/>
  <c r="Y124" i="1"/>
  <c r="BP123" i="1"/>
  <c r="BN123" i="1"/>
  <c r="Y136" i="1"/>
  <c r="BP132" i="1"/>
  <c r="BN132" i="1"/>
  <c r="BP134" i="1"/>
  <c r="BN134" i="1"/>
  <c r="BP147" i="1"/>
  <c r="BN147" i="1"/>
  <c r="BP153" i="1"/>
  <c r="BN153" i="1"/>
  <c r="BP201" i="1"/>
  <c r="BN201" i="1"/>
  <c r="BP203" i="1"/>
  <c r="BN203" i="1"/>
  <c r="BP215" i="1"/>
  <c r="BN215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Y261" i="1"/>
  <c r="BP259" i="1"/>
  <c r="BN259" i="1"/>
  <c r="Y262" i="1"/>
  <c r="Y31" i="1"/>
  <c r="X284" i="1"/>
  <c r="X286" i="1" s="1"/>
  <c r="BN23" i="1"/>
  <c r="BN25" i="1"/>
  <c r="BN27" i="1"/>
  <c r="BN29" i="1"/>
  <c r="X283" i="1"/>
  <c r="Y36" i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0" i="1"/>
  <c r="Y129" i="1"/>
  <c r="BP128" i="1"/>
  <c r="BN128" i="1"/>
  <c r="Y197" i="1"/>
  <c r="Y196" i="1"/>
  <c r="BP195" i="1"/>
  <c r="BN195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36" i="1"/>
  <c r="Z43" i="1"/>
  <c r="Z49" i="1"/>
  <c r="Z57" i="1"/>
  <c r="Z72" i="1"/>
  <c r="Y78" i="1"/>
  <c r="Y90" i="1"/>
  <c r="Y99" i="1"/>
  <c r="Y106" i="1"/>
  <c r="Y117" i="1"/>
  <c r="Z136" i="1"/>
  <c r="Y148" i="1"/>
  <c r="Z148" i="1"/>
  <c r="Z205" i="1"/>
  <c r="Z217" i="1"/>
  <c r="Z223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7" i="1"/>
  <c r="Y143" i="1"/>
  <c r="Y149" i="1"/>
  <c r="Y155" i="1"/>
  <c r="BP152" i="1"/>
  <c r="BN152" i="1"/>
  <c r="Y154" i="1"/>
  <c r="BP159" i="1"/>
  <c r="BN159" i="1"/>
  <c r="Y170" i="1"/>
  <c r="BP169" i="1"/>
  <c r="BN169" i="1"/>
  <c r="Y181" i="1"/>
  <c r="BP180" i="1"/>
  <c r="BN180" i="1"/>
  <c r="Y192" i="1"/>
  <c r="BP189" i="1"/>
  <c r="BN189" i="1"/>
  <c r="Y191" i="1"/>
  <c r="BP202" i="1"/>
  <c r="BN202" i="1"/>
  <c r="BP204" i="1"/>
  <c r="BN204" i="1"/>
  <c r="Y217" i="1"/>
  <c r="BP214" i="1"/>
  <c r="BN214" i="1"/>
  <c r="BP216" i="1"/>
  <c r="BN216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F9" i="1"/>
  <c r="J9" i="1"/>
  <c r="BN22" i="1"/>
  <c r="BP22" i="1"/>
  <c r="BN24" i="1"/>
  <c r="BN26" i="1"/>
  <c r="BN28" i="1"/>
  <c r="X287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33" i="1"/>
  <c r="BN135" i="1"/>
  <c r="BN139" i="1"/>
  <c r="BP139" i="1"/>
  <c r="BN141" i="1"/>
  <c r="BN146" i="1"/>
  <c r="BP146" i="1"/>
  <c r="Z154" i="1"/>
  <c r="Y160" i="1"/>
  <c r="Y161" i="1"/>
  <c r="Y165" i="1"/>
  <c r="BP164" i="1"/>
  <c r="BN164" i="1"/>
  <c r="Y171" i="1"/>
  <c r="Y175" i="1"/>
  <c r="BP174" i="1"/>
  <c r="BN174" i="1"/>
  <c r="Y182" i="1"/>
  <c r="Y185" i="1"/>
  <c r="BP184" i="1"/>
  <c r="BN184" i="1"/>
  <c r="Z191" i="1"/>
  <c r="Y205" i="1"/>
  <c r="Y206" i="1"/>
  <c r="Y211" i="1"/>
  <c r="BP210" i="1"/>
  <c r="BN210" i="1"/>
  <c r="Y218" i="1"/>
  <c r="Y224" i="1"/>
  <c r="BP221" i="1"/>
  <c r="BN221" i="1"/>
  <c r="Y223" i="1"/>
  <c r="BP260" i="1"/>
  <c r="BN260" i="1"/>
  <c r="Y282" i="1"/>
  <c r="Z288" i="1" l="1"/>
  <c r="Y283" i="1"/>
  <c r="Y284" i="1"/>
  <c r="Y285" i="1"/>
  <c r="Y287" i="1"/>
  <c r="A296" i="1" l="1"/>
  <c r="Y286" i="1"/>
  <c r="C296" i="1" s="1"/>
  <c r="B296" i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<sst xmlns="http://schemas.openxmlformats.org/spreadsheetml/2006/main" count="1313" uniqueCount="435">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</sst>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153.60000000000002</v>
      </c>
      <c r="Y31" s="280">
        <f>IFERROR(SUMPRODUCT(Y22:Y29*H22:H29),"0")</f>
        <v>153.60000000000002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84</v>
      </c>
      <c r="Y42" s="279">
        <f>IFERROR(IF(X42="","",X42),"")</f>
        <v>84</v>
      </c>
      <c r="Z42" s="36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84</v>
      </c>
      <c r="Y43" s="280">
        <f>IFERROR(SUM(Y41:Y42),"0")</f>
        <v>84</v>
      </c>
      <c r="Z43" s="280">
        <f>IFERROR(IF(Z41="",0,Z41),"0")+IFERROR(IF(Z42="",0,Z42),"0")</f>
        <v>0.79044000000000003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126</v>
      </c>
      <c r="Y44" s="280">
        <f>IFERROR(SUMPRODUCT(Y41:Y42*H41:H42),"0")</f>
        <v>126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12</v>
      </c>
      <c r="Y47" s="27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36</v>
      </c>
      <c r="Y49" s="280">
        <f>IFERROR(SUM(Y47:Y48),"0")</f>
        <v>36</v>
      </c>
      <c r="Z49" s="280">
        <f>IFERROR(IF(Z47="",0,Z47),"0")+IFERROR(IF(Z48="",0,Z48),"0")</f>
        <v>0.55800000000000005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201.59999999999997</v>
      </c>
      <c r="Y50" s="280">
        <f>IFERROR(SUMPRODUCT(Y47:Y48*H47:H48),"0")</f>
        <v>201.59999999999997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36</v>
      </c>
      <c r="Y53" s="27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60</v>
      </c>
      <c r="Y54" s="279">
        <f>IFERROR(IF(X54="","",X54),"")</f>
        <v>60</v>
      </c>
      <c r="Z54" s="36">
        <f>IFERROR(IF(X54="","",X54*0.0155),"")</f>
        <v>0.92999999999999994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437.15999999999997</v>
      </c>
      <c r="BN54" s="67">
        <f>IFERROR(Y54*I54,"0")</f>
        <v>437.15999999999997</v>
      </c>
      <c r="BO54" s="67">
        <f>IFERROR(X54/J54,"0")</f>
        <v>0.7142857142857143</v>
      </c>
      <c r="BP54" s="67">
        <f>IFERROR(Y54/J54,"0")</f>
        <v>0.7142857142857143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36</v>
      </c>
      <c r="Y56" s="279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132</v>
      </c>
      <c r="Y57" s="280">
        <f>IFERROR(SUM(Y53:Y56),"0")</f>
        <v>132</v>
      </c>
      <c r="Z57" s="280">
        <f>IFERROR(IF(Z53="",0,Z53),"0")+IFERROR(IF(Z54="",0,Z54),"0")+IFERROR(IF(Z55="",0,Z55),"0")+IFERROR(IF(Z56="",0,Z56),"0")</f>
        <v>2.0460000000000003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924</v>
      </c>
      <c r="Y58" s="280">
        <f>IFERROR(SUMPRODUCT(Y53:Y56*H53:H56),"0")</f>
        <v>924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14</v>
      </c>
      <c r="Y71" s="279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14</v>
      </c>
      <c r="Y72" s="280">
        <f>IFERROR(SUM(Y69:Y71),"0")</f>
        <v>14</v>
      </c>
      <c r="Z72" s="280">
        <f>IFERROR(IF(Z69="",0,Z69),"0")+IFERROR(IF(Z70="",0,Z70),"0")+IFERROR(IF(Z71="",0,Z71),"0")</f>
        <v>0.13174</v>
      </c>
      <c r="AA72" s="281"/>
      <c r="AB72" s="281"/>
      <c r="AC72" s="281"/>
    </row>
    <row r="73" spans="1:68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16.8</v>
      </c>
      <c r="Y73" s="280">
        <f>IFERROR(SUMPRODUCT(Y69:Y71*H69:H71),"0")</f>
        <v>16.8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36</v>
      </c>
      <c r="Y77" s="279">
        <f>IFERROR(IF(X77="","",X77),"")</f>
        <v>36</v>
      </c>
      <c r="Z77" s="36">
        <f>IFERROR(IF(X77="","",X77*0.00866),"")</f>
        <v>0.31175999999999998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187.67519999999999</v>
      </c>
      <c r="BN77" s="67">
        <f>IFERROR(Y77*I77,"0")</f>
        <v>187.67519999999999</v>
      </c>
      <c r="BO77" s="67">
        <f>IFERROR(X77/J77,"0")</f>
        <v>0.25</v>
      </c>
      <c r="BP77" s="67">
        <f>IFERROR(Y77/J77,"0")</f>
        <v>0.25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36</v>
      </c>
      <c r="Y78" s="280">
        <f>IFERROR(SUM(Y76:Y77),"0")</f>
        <v>36</v>
      </c>
      <c r="Z78" s="280">
        <f>IFERROR(IF(Z76="",0,Z76),"0")+IFERROR(IF(Z77="",0,Z77),"0")</f>
        <v>0.31175999999999998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180</v>
      </c>
      <c r="Y79" s="280">
        <f>IFERROR(SUMPRODUCT(Y76:Y77*H76:H77),"0")</f>
        <v>180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28</v>
      </c>
      <c r="Y87" s="279">
        <f>IFERROR(IF(X87="","",X87),"")</f>
        <v>28</v>
      </c>
      <c r="Z87" s="36">
        <f>IFERROR(IF(X87="","",X87*0.01788),"")</f>
        <v>0.50063999999999997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120.50080000000001</v>
      </c>
      <c r="BN87" s="67">
        <f>IFERROR(Y87*I87,"0")</f>
        <v>120.50080000000001</v>
      </c>
      <c r="BO87" s="67">
        <f>IFERROR(X87/J87,"0")</f>
        <v>0.4</v>
      </c>
      <c r="BP87" s="67">
        <f>IFERROR(Y87/J87,"0")</f>
        <v>0.4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42</v>
      </c>
      <c r="Y89" s="280">
        <f>IFERROR(SUM(Y87:Y88),"0")</f>
        <v>42</v>
      </c>
      <c r="Z89" s="280">
        <f>IFERROR(IF(Z87="",0,Z87),"0")+IFERROR(IF(Z88="",0,Z88),"0")</f>
        <v>0.75095999999999996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151.19999999999999</v>
      </c>
      <c r="Y90" s="280">
        <f>IFERROR(SUMPRODUCT(Y87:Y88*H87:H88),"0")</f>
        <v>151.19999999999999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0</v>
      </c>
      <c r="Y95" s="279">
        <f t="shared" si="6"/>
        <v>0</v>
      </c>
      <c r="Z95" s="36">
        <f t="shared" si="7"/>
        <v>0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56</v>
      </c>
      <c r="Y96" s="279">
        <f t="shared" si="6"/>
        <v>56</v>
      </c>
      <c r="Z96" s="36">
        <f t="shared" si="7"/>
        <v>1.0012799999999999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84</v>
      </c>
      <c r="Y99" s="280">
        <f>IFERROR(SUM(Y93:Y98),"0")</f>
        <v>84</v>
      </c>
      <c r="Z99" s="280">
        <f>IFERROR(IF(Z93="",0,Z93),"0")+IFERROR(IF(Z94="",0,Z94),"0")+IFERROR(IF(Z95="",0,Z95),"0")+IFERROR(IF(Z96="",0,Z96),"0")+IFERROR(IF(Z97="",0,Z97),"0")+IFERROR(IF(Z98="",0,Z98),"0")</f>
        <v>1.5019199999999997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273.83999999999997</v>
      </c>
      <c r="Y100" s="280">
        <f>IFERROR(SUMPRODUCT(Y93:Y98*H93:H98),"0")</f>
        <v>273.83999999999997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28</v>
      </c>
      <c r="Y103" s="279">
        <f>IFERROR(IF(X103="","",X103),"")</f>
        <v>28</v>
      </c>
      <c r="Z103" s="36">
        <f>IFERROR(IF(X103="","",X103*0.00936),"")</f>
        <v>0.26207999999999998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69.753600000000006</v>
      </c>
      <c r="BN103" s="67">
        <f>IFERROR(Y103*I103,"0")</f>
        <v>69.753600000000006</v>
      </c>
      <c r="BO103" s="67">
        <f>IFERROR(X103/J103,"0")</f>
        <v>0.22222222222222221</v>
      </c>
      <c r="BP103" s="67">
        <f>IFERROR(Y103/J103,"0")</f>
        <v>0.22222222222222221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28</v>
      </c>
      <c r="Y105" s="280">
        <f>IFERROR(SUM(Y103:Y104),"0")</f>
        <v>28</v>
      </c>
      <c r="Z105" s="280">
        <f>IFERROR(IF(Z103="",0,Z103),"0")+IFERROR(IF(Z104="",0,Z104),"0")</f>
        <v>0.26207999999999998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60.480000000000004</v>
      </c>
      <c r="Y106" s="280">
        <f>IFERROR(SUMPRODUCT(Y103:Y104*H103:H104),"0")</f>
        <v>60.480000000000004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12</v>
      </c>
      <c r="Y109" s="279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24</v>
      </c>
      <c r="Y111" s="279">
        <f t="shared" si="12"/>
        <v>24</v>
      </c>
      <c r="Z111" s="36">
        <f t="shared" si="13"/>
        <v>0.372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161.2704</v>
      </c>
      <c r="BN111" s="67">
        <f t="shared" si="15"/>
        <v>161.2704</v>
      </c>
      <c r="BO111" s="67">
        <f t="shared" si="16"/>
        <v>0.2857142857142857</v>
      </c>
      <c r="BP111" s="67">
        <f t="shared" si="17"/>
        <v>0.2857142857142857</v>
      </c>
    </row>
    <row r="112" spans="1:68" ht="27" hidden="1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60</v>
      </c>
      <c r="Y115" s="279">
        <f t="shared" si="12"/>
        <v>60</v>
      </c>
      <c r="Z115" s="36">
        <f t="shared" si="13"/>
        <v>0.92999999999999994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438</v>
      </c>
      <c r="BN115" s="67">
        <f t="shared" si="15"/>
        <v>438</v>
      </c>
      <c r="BO115" s="67">
        <f t="shared" si="16"/>
        <v>0.7142857142857143</v>
      </c>
      <c r="BP115" s="67">
        <f t="shared" si="17"/>
        <v>0.7142857142857143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120</v>
      </c>
      <c r="Y116" s="280">
        <f>IFERROR(SUM(Y109:Y115),"0")</f>
        <v>120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1.8599999999999999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811.2</v>
      </c>
      <c r="Y117" s="280">
        <f>IFERROR(SUMPRODUCT(Y109:Y115*H109:H115),"0")</f>
        <v>811.2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56</v>
      </c>
      <c r="Y135" s="279">
        <f>IFERROR(IF(X135="","",X135),"")</f>
        <v>56</v>
      </c>
      <c r="Z135" s="36">
        <f>IFERROR(IF(X135="","",X135*0.00941),"")</f>
        <v>0.52695999999999998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100.8</v>
      </c>
      <c r="BN135" s="67">
        <f>IFERROR(Y135*I135,"0")</f>
        <v>100.8</v>
      </c>
      <c r="BO135" s="67">
        <f>IFERROR(X135/J135,"0")</f>
        <v>0.4</v>
      </c>
      <c r="BP135" s="67">
        <f>IFERROR(Y135/J135,"0")</f>
        <v>0.4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70</v>
      </c>
      <c r="Y136" s="280">
        <f>IFERROR(SUM(Y132:Y135),"0")</f>
        <v>70</v>
      </c>
      <c r="Z136" s="280">
        <f>IFERROR(IF(Z132="",0,Z132),"0")+IFERROR(IF(Z133="",0,Z133),"0")+IFERROR(IF(Z134="",0,Z134),"0")+IFERROR(IF(Z135="",0,Z135),"0")</f>
        <v>0.65869999999999995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96.6</v>
      </c>
      <c r="Y137" s="280">
        <f>IFERROR(SUMPRODUCT(Y132:Y135*H132:H135),"0")</f>
        <v>96.6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hidden="1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0</v>
      </c>
      <c r="Y146" s="279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hidden="1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0</v>
      </c>
      <c r="Y147" s="279">
        <f>IFERROR(IF(X147="","",X147),"")</f>
        <v>0</v>
      </c>
      <c r="Z147" s="36">
        <f>IFERROR(IF(X147="","",X147*0.01788),"")</f>
        <v>0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hidden="1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0</v>
      </c>
      <c r="Y148" s="280">
        <f>IFERROR(SUM(Y146:Y147),"0")</f>
        <v>0</v>
      </c>
      <c r="Z148" s="280">
        <f>IFERROR(IF(Z146="",0,Z146),"0")+IFERROR(IF(Z147="",0,Z147),"0")</f>
        <v>0</v>
      </c>
      <c r="AA148" s="281"/>
      <c r="AB148" s="281"/>
      <c r="AC148" s="281"/>
    </row>
    <row r="149" spans="1:68" hidden="1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0</v>
      </c>
      <c r="Y149" s="280">
        <f>IFERROR(SUMPRODUCT(Y146:Y147*H146:H147),"0")</f>
        <v>0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0</v>
      </c>
      <c r="Y154" s="280">
        <f>IFERROR(SUM(Y152:Y153),"0")</f>
        <v>0</v>
      </c>
      <c r="Z154" s="280">
        <f>IFERROR(IF(Z152="",0,Z152),"0")+IFERROR(IF(Z153="",0,Z153),"0")</f>
        <v>0</v>
      </c>
      <c r="AA154" s="281"/>
      <c r="AB154" s="281"/>
      <c r="AC154" s="281"/>
    </row>
    <row r="155" spans="1:68" hidden="1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0</v>
      </c>
      <c r="Y155" s="280">
        <f>IFERROR(SUMPRODUCT(Y152:Y153*H152:H153),"0")</f>
        <v>0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0</v>
      </c>
      <c r="Y160" s="280">
        <f>IFERROR(SUM(Y158:Y159),"0")</f>
        <v>0</v>
      </c>
      <c r="Z160" s="280">
        <f>IFERROR(IF(Z158="",0,Z158),"0")+IFERROR(IF(Z159="",0,Z159),"0")</f>
        <v>0</v>
      </c>
      <c r="AA160" s="281"/>
      <c r="AB160" s="281"/>
      <c r="AC160" s="281"/>
    </row>
    <row r="161" spans="1:68" hidden="1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0</v>
      </c>
      <c r="Y161" s="280">
        <f>IFERROR(SUMPRODUCT(Y158:Y159*H158:H159),"0")</f>
        <v>0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28</v>
      </c>
      <c r="Y174" s="279">
        <f>IFERROR(IF(X174="","",X174),"")</f>
        <v>28</v>
      </c>
      <c r="Z174" s="36">
        <f>IFERROR(IF(X174="","",X174*0.00941),"")</f>
        <v>0.26347999999999999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58.850399999999993</v>
      </c>
      <c r="BN174" s="67">
        <f>IFERROR(Y174*I174,"0")</f>
        <v>58.850399999999993</v>
      </c>
      <c r="BO174" s="67">
        <f>IFERROR(X174/J174,"0")</f>
        <v>0.2</v>
      </c>
      <c r="BP174" s="67">
        <f>IFERROR(Y174/J174,"0")</f>
        <v>0.2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28</v>
      </c>
      <c r="Y175" s="280">
        <f>IFERROR(SUM(Y174:Y174),"0")</f>
        <v>28</v>
      </c>
      <c r="Z175" s="280">
        <f>IFERROR(IF(Z174="",0,Z174),"0")</f>
        <v>0.26347999999999999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47.04</v>
      </c>
      <c r="Y176" s="280">
        <f>IFERROR(SUMPRODUCT(Y174:Y174*H174:H174),"0")</f>
        <v>47.04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36</v>
      </c>
      <c r="Y180" s="279">
        <f>IFERROR(IF(X180="","",X180),"")</f>
        <v>36</v>
      </c>
      <c r="Z180" s="36">
        <f>IFERROR(IF(X180="","",X180*0.0155),"")</f>
        <v>0.55800000000000005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224.46</v>
      </c>
      <c r="BN180" s="67">
        <f>IFERROR(Y180*I180,"0")</f>
        <v>224.46</v>
      </c>
      <c r="BO180" s="67">
        <f>IFERROR(X180/J180,"0")</f>
        <v>0.42857142857142855</v>
      </c>
      <c r="BP180" s="67">
        <f>IFERROR(Y180/J180,"0")</f>
        <v>0.42857142857142855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36</v>
      </c>
      <c r="Y181" s="280">
        <f>IFERROR(SUM(Y180:Y180),"0")</f>
        <v>36</v>
      </c>
      <c r="Z181" s="280">
        <f>IFERROR(IF(Z180="",0,Z180),"0")</f>
        <v>0.55800000000000005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216</v>
      </c>
      <c r="Y182" s="280">
        <f>IFERROR(SUMPRODUCT(Y180:Y180*H180:H180),"0")</f>
        <v>216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12</v>
      </c>
      <c r="Y190" s="279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62.558399999999992</v>
      </c>
      <c r="BN190" s="67">
        <f>IFERROR(Y190*I190,"0")</f>
        <v>62.558399999999992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12</v>
      </c>
      <c r="Y191" s="280">
        <f>IFERROR(SUM(Y189:Y190),"0")</f>
        <v>12</v>
      </c>
      <c r="Z191" s="280">
        <f>IFERROR(IF(Z189="",0,Z189),"0")+IFERROR(IF(Z190="",0,Z190),"0")</f>
        <v>0.10391999999999998</v>
      </c>
      <c r="AA191" s="281"/>
      <c r="AB191" s="281"/>
      <c r="AC191" s="281"/>
    </row>
    <row r="192" spans="1:68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60</v>
      </c>
      <c r="Y192" s="280">
        <f>IFERROR(SUMPRODUCT(Y189:Y190*H189:H190),"0")</f>
        <v>60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hidden="1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0</v>
      </c>
      <c r="Y201" s="279">
        <f>IFERROR(IF(X201="","",X201),"")</f>
        <v>0</v>
      </c>
      <c r="Z201" s="36">
        <f>IFERROR(IF(X201="","",X201*0.01788),"")</f>
        <v>0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94.864000000000004</v>
      </c>
      <c r="BN202" s="67">
        <f>IFERROR(Y202*I202,"0")</f>
        <v>94.864000000000004</v>
      </c>
      <c r="BO202" s="67">
        <f>IFERROR(X202/J202,"0")</f>
        <v>0.4</v>
      </c>
      <c r="BP202" s="67">
        <f>IFERROR(Y202/J202,"0")</f>
        <v>0.4</v>
      </c>
    </row>
    <row r="203" spans="1:68" ht="27" hidden="1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28</v>
      </c>
      <c r="Y205" s="280">
        <f>IFERROR(SUM(Y201:Y204),"0")</f>
        <v>28</v>
      </c>
      <c r="Z205" s="280">
        <f>IFERROR(IF(Z201="",0,Z201),"0")+IFERROR(IF(Z202="",0,Z202),"0")+IFERROR(IF(Z203="",0,Z203),"0")+IFERROR(IF(Z204="",0,Z204),"0")</f>
        <v>0.50063999999999997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84</v>
      </c>
      <c r="Y206" s="280">
        <f>IFERROR(SUMPRODUCT(Y201:Y204*H201:H204),"0")</f>
        <v>84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14</v>
      </c>
      <c r="Y214" s="279">
        <f>IFERROR(IF(X214="","",X214),"")</f>
        <v>14</v>
      </c>
      <c r="Z214" s="36">
        <f>IFERROR(IF(X214="","",X214*0.01788),"")</f>
        <v>0.25031999999999999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43.450400000000002</v>
      </c>
      <c r="BN214" s="67">
        <f>IFERROR(Y214*I214,"0")</f>
        <v>43.450400000000002</v>
      </c>
      <c r="BO214" s="67">
        <f>IFERROR(X214/J214,"0")</f>
        <v>0.2</v>
      </c>
      <c r="BP214" s="67">
        <f>IFERROR(Y214/J214,"0")</f>
        <v>0.2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14</v>
      </c>
      <c r="Y217" s="280">
        <f>IFERROR(SUM(Y214:Y216),"0")</f>
        <v>14</v>
      </c>
      <c r="Z217" s="280">
        <f>IFERROR(IF(Z214="",0,Z214),"0")+IFERROR(IF(Z215="",0,Z215),"0")+IFERROR(IF(Z216="",0,Z216),"0")</f>
        <v>0.25031999999999999</v>
      </c>
      <c r="AA217" s="281"/>
      <c r="AB217" s="281"/>
      <c r="AC217" s="281"/>
    </row>
    <row r="218" spans="1:68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33.6</v>
      </c>
      <c r="Y218" s="280">
        <f>IFERROR(SUMPRODUCT(Y214:Y216*H214:H216),"0")</f>
        <v>33.6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24</v>
      </c>
      <c r="Y227" s="279">
        <f>IFERROR(IF(X227="","",X227),"")</f>
        <v>24</v>
      </c>
      <c r="Z227" s="36">
        <f>IFERROR(IF(X227="","",X227*0.0155),"")</f>
        <v>0.372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125.52000000000001</v>
      </c>
      <c r="BN227" s="67">
        <f>IFERROR(Y227*I227,"0")</f>
        <v>125.52000000000001</v>
      </c>
      <c r="BO227" s="67">
        <f>IFERROR(X227/J227,"0")</f>
        <v>0.2857142857142857</v>
      </c>
      <c r="BP227" s="67">
        <f>IFERROR(Y227/J227,"0")</f>
        <v>0.2857142857142857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24</v>
      </c>
      <c r="Y228" s="280">
        <f>IFERROR(SUM(Y227:Y227),"0")</f>
        <v>24</v>
      </c>
      <c r="Z228" s="280">
        <f>IFERROR(IF(Z227="",0,Z227),"0")</f>
        <v>0.372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120</v>
      </c>
      <c r="Y229" s="280">
        <f>IFERROR(SUMPRODUCT(Y227:Y227*H227:H227),"0")</f>
        <v>120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hidden="1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0</v>
      </c>
      <c r="Y265" s="279">
        <f>IFERROR(IF(X265="","",X265),"")</f>
        <v>0</v>
      </c>
      <c r="Z265" s="36">
        <f>IFERROR(IF(X265="","",X265*0.0155),"")</f>
        <v>0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hidden="1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0</v>
      </c>
      <c r="Y267" s="280">
        <f>IFERROR(SUM(Y264:Y266),"0")</f>
        <v>0</v>
      </c>
      <c r="Z267" s="280">
        <f>IFERROR(IF(Z264="",0,Z264),"0")+IFERROR(IF(Z265="",0,Z265),"0")+IFERROR(IF(Z266="",0,Z266),"0")</f>
        <v>0</v>
      </c>
      <c r="AA267" s="281"/>
      <c r="AB267" s="281"/>
      <c r="AC267" s="281"/>
    </row>
    <row r="268" spans="1:68" hidden="1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0</v>
      </c>
      <c r="Y268" s="280">
        <f>IFERROR(SUMPRODUCT(Y264:Y266*H264:H266),"0")</f>
        <v>0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idden="1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0</v>
      </c>
      <c r="Y281" s="280">
        <f>IFERROR(SUM(Y270:Y280),"0")</f>
        <v>0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281"/>
      <c r="AB281" s="281"/>
      <c r="AC281" s="281"/>
    </row>
    <row r="282" spans="1:68" hidden="1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0</v>
      </c>
      <c r="Y282" s="280">
        <f>IFERROR(SUMPRODUCT(Y270:Y280*H270:H280),"0")</f>
        <v>0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3639.96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3639.96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3952.9487999999997</v>
      </c>
      <c r="Y284" s="280">
        <f>IFERROR(SUM(BN22:BN280),"0")</f>
        <v>3952.9487999999997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9</v>
      </c>
      <c r="Y285" s="38">
        <f>ROUNDUP(SUM(BP22:BP280),0)</f>
        <v>9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4177.9488000000001</v>
      </c>
      <c r="Y286" s="280">
        <f>GrossWeightTotalR+PalletQtyTotalR*25</f>
        <v>4177.9488000000001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824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824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11.477960000000001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153.60000000000002</v>
      </c>
      <c r="C293" s="46">
        <f>IFERROR(X34*H34,"0")+IFERROR(X35*H35,"0")</f>
        <v>0</v>
      </c>
      <c r="D293" s="46">
        <f>IFERROR(X41*H41,"0")+IFERROR(X42*H42,"0")</f>
        <v>126</v>
      </c>
      <c r="E293" s="46">
        <f>IFERROR(X47*H47,"0")+IFERROR(X48*H48,"0")</f>
        <v>201.59999999999997</v>
      </c>
      <c r="F293" s="46">
        <f>IFERROR(X53*H53,"0")+IFERROR(X54*H54,"0")+IFERROR(X55*H55,"0")+IFERROR(X56*H56,"0")</f>
        <v>924</v>
      </c>
      <c r="G293" s="46">
        <f>IFERROR(X61*H61,"0")+IFERROR(X65*H65,"0")+IFERROR(X69*H69,"0")+IFERROR(X70*H70,"0")+IFERROR(X71*H71,"0")</f>
        <v>16.8</v>
      </c>
      <c r="H293" s="46">
        <f>IFERROR(X76*H76,"0")+IFERROR(X77*H77,"0")</f>
        <v>180</v>
      </c>
      <c r="I293" s="46">
        <f>IFERROR(X82*H82,"0")</f>
        <v>0</v>
      </c>
      <c r="J293" s="46">
        <f>IFERROR(X87*H87,"0")+IFERROR(X88*H88,"0")</f>
        <v>151.19999999999999</v>
      </c>
      <c r="K293" s="46">
        <f>IFERROR(X93*H93,"0")+IFERROR(X94*H94,"0")+IFERROR(X95*H95,"0")+IFERROR(X96*H96,"0")+IFERROR(X97*H97,"0")+IFERROR(X98*H98,"0")</f>
        <v>273.83999999999997</v>
      </c>
      <c r="L293" s="46">
        <f>IFERROR(X103*H103,"0")+IFERROR(X104*H104,"0")</f>
        <v>60.480000000000004</v>
      </c>
      <c r="M293" s="46">
        <f>IFERROR(X109*H109,"0")+IFERROR(X110*H110,"0")+IFERROR(X111*H111,"0")+IFERROR(X112*H112,"0")+IFERROR(X113*H113,"0")+IFERROR(X114*H114,"0")+IFERROR(X115*H115,"0")+IFERROR(X119*H119,"0")+IFERROR(X123*H123,"0")</f>
        <v>811.2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96.6</v>
      </c>
      <c r="P293" s="46">
        <f>IFERROR(X146*H146,"0")+IFERROR(X147*H147,"0")</f>
        <v>0</v>
      </c>
      <c r="Q293" s="46">
        <f>IFERROR(X152*H152,"0")+IFERROR(X153*H153,"0")</f>
        <v>0</v>
      </c>
      <c r="R293" s="46">
        <f>IFERROR(X158*H158,"0")+IFERROR(X159*H159,"0")</f>
        <v>0</v>
      </c>
      <c r="S293" s="46">
        <f>IFERROR(X164*H164,"0")</f>
        <v>0</v>
      </c>
      <c r="T293" s="46">
        <f>IFERROR(X169*H169,"0")</f>
        <v>0</v>
      </c>
      <c r="U293" s="46">
        <f>IFERROR(X174*H174,"0")</f>
        <v>47.04</v>
      </c>
      <c r="V293" s="46">
        <f>IFERROR(X180*H180,"0")+IFERROR(X184*H184,"0")</f>
        <v>216</v>
      </c>
      <c r="W293" s="46">
        <f>IFERROR(X189*H189,"0")+IFERROR(X190*H190,"0")</f>
        <v>60</v>
      </c>
      <c r="X293" s="46">
        <f>IFERROR(X195*H195,"0")</f>
        <v>0</v>
      </c>
      <c r="Y293" s="46">
        <f>IFERROR(X201*H201,"0")+IFERROR(X202*H202,"0")+IFERROR(X203*H203,"0")+IFERROR(X204*H204,"0")</f>
        <v>84</v>
      </c>
      <c r="Z293" s="46">
        <f>IFERROR(X210*H210,"0")+IFERROR(X214*H214,"0")+IFERROR(X215*H215,"0")+IFERROR(X216*H216,"0")</f>
        <v>33.6</v>
      </c>
      <c r="AA293" s="46">
        <f>IFERROR(X221*H221,"0")+IFERROR(X222*H222,"0")</f>
        <v>0</v>
      </c>
      <c r="AB293" s="46">
        <f>IFERROR(X227*H227,"0")</f>
        <v>120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84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2534.4</v>
      </c>
      <c r="B296" s="60">
        <f>SUMPRODUCT(--(BB:BB="ПГП"),--(W:W="кор"),H:H,Y:Y)+SUMPRODUCT(--(BB:BB="ПГП"),--(W:W="кг"),Y:Y)</f>
        <v>1105.56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,00"/>
        <filter val="120,00"/>
        <filter val="126,00"/>
        <filter val="132,00"/>
        <filter val="14,00"/>
        <filter val="151,20"/>
        <filter val="153,60"/>
        <filter val="16,80"/>
        <filter val="180,00"/>
        <filter val="201,60"/>
        <filter val="216,00"/>
        <filter val="24,00"/>
        <filter val="273,84"/>
        <filter val="28,00"/>
        <filter val="3 639,96"/>
        <filter val="3 952,95"/>
        <filter val="33,60"/>
        <filter val="36,00"/>
        <filter val="4 177,95"/>
        <filter val="42,00"/>
        <filter val="47,04"/>
        <filter val="56,00"/>
        <filter val="60,00"/>
        <filter val="60,48"/>
        <filter val="70,00"/>
        <filter val="811,20"/>
        <filter val="824,00"/>
        <filter val="84,00"/>
        <filter val="9"/>
        <filter val="924,00"/>
        <filter val="96,6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