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D3BC3BD-7CAE-473D-BC36-AAF51E70F19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Y548" i="2" s="1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P527" i="2" s="1"/>
  <c r="P527" i="2"/>
  <c r="BO526" i="2"/>
  <c r="BM526" i="2"/>
  <c r="Y526" i="2"/>
  <c r="BN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AA570" i="2" s="1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P493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BP461" i="2" s="1"/>
  <c r="P461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P424" i="2"/>
  <c r="BO424" i="2"/>
  <c r="BN424" i="2"/>
  <c r="BM424" i="2"/>
  <c r="Z424" i="2"/>
  <c r="Y424" i="2"/>
  <c r="P424" i="2"/>
  <c r="X421" i="2"/>
  <c r="X420" i="2"/>
  <c r="BO419" i="2"/>
  <c r="BM419" i="2"/>
  <c r="Y419" i="2"/>
  <c r="BN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BN376" i="2" s="1"/>
  <c r="P376" i="2"/>
  <c r="BP375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N340" i="2" s="1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Z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Z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Y258" i="2"/>
  <c r="X258" i="2"/>
  <c r="BP257" i="2"/>
  <c r="BO257" i="2"/>
  <c r="BN257" i="2"/>
  <c r="BM257" i="2"/>
  <c r="Z257" i="2"/>
  <c r="Z258" i="2" s="1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BN252" i="2" s="1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P226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BN211" i="2" s="1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Y202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BN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P138" i="2"/>
  <c r="BO138" i="2"/>
  <c r="BN138" i="2"/>
  <c r="BM138" i="2"/>
  <c r="Z138" i="2"/>
  <c r="Y138" i="2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Z125" i="2" s="1"/>
  <c r="P125" i="2"/>
  <c r="BO124" i="2"/>
  <c r="BM124" i="2"/>
  <c r="Y124" i="2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P104" i="2"/>
  <c r="BO103" i="2"/>
  <c r="BM103" i="2"/>
  <c r="Y103" i="2"/>
  <c r="BP103" i="2" s="1"/>
  <c r="P103" i="2"/>
  <c r="X100" i="2"/>
  <c r="X99" i="2"/>
  <c r="BP98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F570" i="2" s="1"/>
  <c r="P85" i="2"/>
  <c r="X82" i="2"/>
  <c r="X81" i="2"/>
  <c r="BO80" i="2"/>
  <c r="BM80" i="2"/>
  <c r="Y80" i="2"/>
  <c r="Z80" i="2" s="1"/>
  <c r="P80" i="2"/>
  <c r="BP79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P27" i="2"/>
  <c r="BO27" i="2"/>
  <c r="BM27" i="2"/>
  <c r="Y27" i="2"/>
  <c r="BN27" i="2" s="1"/>
  <c r="P27" i="2"/>
  <c r="X25" i="2"/>
  <c r="X24" i="2"/>
  <c r="X564" i="2" s="1"/>
  <c r="BO23" i="2"/>
  <c r="BM23" i="2"/>
  <c r="Y23" i="2"/>
  <c r="Z23" i="2" s="1"/>
  <c r="P23" i="2"/>
  <c r="BO22" i="2"/>
  <c r="BM22" i="2"/>
  <c r="X561" i="2" s="1"/>
  <c r="Y22" i="2"/>
  <c r="BN22" i="2" s="1"/>
  <c r="P22" i="2"/>
  <c r="H10" i="2"/>
  <c r="A9" i="2"/>
  <c r="F10" i="2" s="1"/>
  <c r="D7" i="2"/>
  <c r="Q6" i="2"/>
  <c r="P2" i="2"/>
  <c r="Z57" i="2" l="1"/>
  <c r="BN57" i="2"/>
  <c r="Z191" i="2"/>
  <c r="Z236" i="2"/>
  <c r="BN236" i="2"/>
  <c r="Z244" i="2"/>
  <c r="BN244" i="2"/>
  <c r="Z288" i="2"/>
  <c r="BN288" i="2"/>
  <c r="Z388" i="2"/>
  <c r="BN388" i="2"/>
  <c r="Z470" i="2"/>
  <c r="BN470" i="2"/>
  <c r="Z480" i="2"/>
  <c r="Z524" i="2"/>
  <c r="Z40" i="2"/>
  <c r="Z67" i="2"/>
  <c r="BN67" i="2"/>
  <c r="Z108" i="2"/>
  <c r="BP114" i="2"/>
  <c r="Z155" i="2"/>
  <c r="Y177" i="2"/>
  <c r="Z214" i="2"/>
  <c r="BN214" i="2"/>
  <c r="Z233" i="2"/>
  <c r="Z284" i="2"/>
  <c r="Z304" i="2"/>
  <c r="Z310" i="2"/>
  <c r="BP345" i="2"/>
  <c r="Z387" i="2"/>
  <c r="Z394" i="2"/>
  <c r="Y427" i="2"/>
  <c r="BP435" i="2"/>
  <c r="Z481" i="2"/>
  <c r="BN481" i="2"/>
  <c r="Z513" i="2"/>
  <c r="BP418" i="2"/>
  <c r="BN72" i="2"/>
  <c r="BN87" i="2"/>
  <c r="BP104" i="2"/>
  <c r="BN104" i="2"/>
  <c r="BP117" i="2"/>
  <c r="BN117" i="2"/>
  <c r="Z117" i="2"/>
  <c r="BN126" i="2"/>
  <c r="BP126" i="2"/>
  <c r="X562" i="2"/>
  <c r="X563" i="2" s="1"/>
  <c r="X560" i="2"/>
  <c r="Z31" i="2"/>
  <c r="BN31" i="2"/>
  <c r="Z48" i="2"/>
  <c r="BN48" i="2"/>
  <c r="Z64" i="2"/>
  <c r="BN73" i="2"/>
  <c r="Z77" i="2"/>
  <c r="BN77" i="2"/>
  <c r="Z86" i="2"/>
  <c r="BN89" i="2"/>
  <c r="Z93" i="2"/>
  <c r="BN93" i="2"/>
  <c r="Z97" i="2"/>
  <c r="Z104" i="2"/>
  <c r="BN124" i="2"/>
  <c r="BP124" i="2"/>
  <c r="Y151" i="2"/>
  <c r="BP148" i="2"/>
  <c r="BN148" i="2"/>
  <c r="Z148" i="2"/>
  <c r="BP160" i="2"/>
  <c r="BN181" i="2"/>
  <c r="Y203" i="2"/>
  <c r="BN215" i="2"/>
  <c r="BN246" i="2"/>
  <c r="BN267" i="2"/>
  <c r="Y270" i="2"/>
  <c r="BP277" i="2"/>
  <c r="BN292" i="2"/>
  <c r="BN308" i="2"/>
  <c r="BN333" i="2"/>
  <c r="BN361" i="2"/>
  <c r="BP367" i="2"/>
  <c r="BN368" i="2"/>
  <c r="BN370" i="2"/>
  <c r="BP392" i="2"/>
  <c r="Y395" i="2"/>
  <c r="BN405" i="2"/>
  <c r="BN412" i="2"/>
  <c r="BN426" i="2"/>
  <c r="BN436" i="2"/>
  <c r="BP456" i="2"/>
  <c r="BN482" i="2"/>
  <c r="BP505" i="2"/>
  <c r="BN510" i="2"/>
  <c r="BP526" i="2"/>
  <c r="Y541" i="2"/>
  <c r="BN552" i="2"/>
  <c r="BP156" i="2"/>
  <c r="Z160" i="2"/>
  <c r="BN176" i="2"/>
  <c r="BN189" i="2"/>
  <c r="BP201" i="2"/>
  <c r="BP211" i="2"/>
  <c r="Z229" i="2"/>
  <c r="BN229" i="2"/>
  <c r="Z234" i="2"/>
  <c r="BN234" i="2"/>
  <c r="Y255" i="2"/>
  <c r="BP252" i="2"/>
  <c r="BN263" i="2"/>
  <c r="Z273" i="2"/>
  <c r="Y280" i="2"/>
  <c r="Z277" i="2"/>
  <c r="Z279" i="2"/>
  <c r="BN279" i="2"/>
  <c r="BP285" i="2"/>
  <c r="BN294" i="2"/>
  <c r="BP306" i="2"/>
  <c r="Z331" i="2"/>
  <c r="BN331" i="2"/>
  <c r="BN332" i="2"/>
  <c r="BP340" i="2"/>
  <c r="Z346" i="2"/>
  <c r="BN346" i="2"/>
  <c r="BN348" i="2"/>
  <c r="Z353" i="2"/>
  <c r="Z355" i="2" s="1"/>
  <c r="BN359" i="2"/>
  <c r="Y362" i="2"/>
  <c r="Z367" i="2"/>
  <c r="BN369" i="2"/>
  <c r="Z376" i="2"/>
  <c r="BN377" i="2"/>
  <c r="Z379" i="2"/>
  <c r="BP387" i="2"/>
  <c r="Z392" i="2"/>
  <c r="Z393" i="2"/>
  <c r="Z395" i="2" s="1"/>
  <c r="BN400" i="2"/>
  <c r="BN406" i="2"/>
  <c r="Z419" i="2"/>
  <c r="BN438" i="2"/>
  <c r="Z443" i="2"/>
  <c r="BN450" i="2"/>
  <c r="Z456" i="2"/>
  <c r="Z461" i="2"/>
  <c r="Z463" i="2" s="1"/>
  <c r="BN461" i="2"/>
  <c r="BP480" i="2"/>
  <c r="BN498" i="2"/>
  <c r="Z505" i="2"/>
  <c r="Z506" i="2"/>
  <c r="BN506" i="2"/>
  <c r="BN507" i="2"/>
  <c r="Z517" i="2"/>
  <c r="Z520" i="2" s="1"/>
  <c r="BN517" i="2"/>
  <c r="BN518" i="2"/>
  <c r="BP523" i="2"/>
  <c r="Z526" i="2"/>
  <c r="Z527" i="2"/>
  <c r="BN527" i="2"/>
  <c r="Z539" i="2"/>
  <c r="Z540" i="2" s="1"/>
  <c r="BP547" i="2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Z473" i="2" s="1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Z457" i="2" s="1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Z300" i="2" s="1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Z140" i="2" s="1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Y372" i="2"/>
  <c r="Y382" i="2"/>
  <c r="Y390" i="2"/>
  <c r="Z399" i="2"/>
  <c r="Y414" i="2"/>
  <c r="Z435" i="2"/>
  <c r="Z445" i="2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BP557" i="2"/>
  <c r="C570" i="2"/>
  <c r="V570" i="2"/>
  <c r="Y130" i="2"/>
  <c r="Z22" i="2"/>
  <c r="Z24" i="2" s="1"/>
  <c r="Y51" i="2"/>
  <c r="Z79" i="2"/>
  <c r="Z81" i="2" s="1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75" i="2"/>
  <c r="Z285" i="2"/>
  <c r="Y296" i="2"/>
  <c r="Z306" i="2"/>
  <c r="BN318" i="2"/>
  <c r="Z329" i="2"/>
  <c r="Z340" i="2"/>
  <c r="BN353" i="2"/>
  <c r="Z375" i="2"/>
  <c r="Z385" i="2"/>
  <c r="BN407" i="2"/>
  <c r="Z418" i="2"/>
  <c r="BN433" i="2"/>
  <c r="BN443" i="2"/>
  <c r="Y446" i="2"/>
  <c r="BN466" i="2"/>
  <c r="Z478" i="2"/>
  <c r="Z488" i="2"/>
  <c r="Z489" i="2" s="1"/>
  <c r="Y494" i="2"/>
  <c r="BN513" i="2"/>
  <c r="Z523" i="2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Z74" i="2" s="1"/>
  <c r="BN85" i="2"/>
  <c r="Z88" i="2"/>
  <c r="BP95" i="2"/>
  <c r="Z143" i="2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172" i="2" l="1"/>
  <c r="Z427" i="2"/>
  <c r="Z145" i="2"/>
  <c r="Z530" i="2"/>
  <c r="Z484" i="2"/>
  <c r="Z382" i="2"/>
  <c r="Z341" i="2"/>
  <c r="Z280" i="2"/>
  <c r="Z192" i="2"/>
  <c r="Z119" i="2"/>
  <c r="Z32" i="2"/>
  <c r="Z414" i="2"/>
  <c r="Z68" i="2"/>
  <c r="Z402" i="2"/>
  <c r="Z350" i="2"/>
  <c r="Z514" i="2"/>
  <c r="Z553" i="2"/>
  <c r="Z420" i="2"/>
  <c r="Z389" i="2"/>
  <c r="Z334" i="2"/>
  <c r="Z311" i="2"/>
  <c r="Z295" i="2"/>
  <c r="Z254" i="2"/>
  <c r="Z372" i="2"/>
  <c r="Z325" i="2"/>
  <c r="Z248" i="2"/>
  <c r="Z61" i="2"/>
  <c r="Z446" i="2"/>
  <c r="Z150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<sst xmlns="http://schemas.openxmlformats.org/spreadsheetml/2006/main" count="4317" uniqueCount="904">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</sst>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566" sqref="AA56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/>
      <c r="I5" s="1001"/>
      <c r="J5" s="1001"/>
      <c r="K5" s="1001"/>
      <c r="L5" s="1001"/>
      <c r="M5" s="1001"/>
      <c r="N5" s="72"/>
      <c r="P5" s="27" t="s">
        <v>4</v>
      </c>
      <c r="Q5" s="1003">
        <v>46268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Четверг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0.41666666666666669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234</v>
      </c>
      <c r="Y418" s="55">
        <f>IFERROR(IF(X418="",0,CEILING((X418/$H418),1)*$H418),"")</f>
        <v>234</v>
      </c>
      <c r="Z418" s="41">
        <f>IFERROR(IF(Y418=0,"",ROUNDUP(Y418/H418,0)*0.01898),"")</f>
        <v>0.56940000000000002</v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246.3</v>
      </c>
      <c r="BN418" s="78">
        <f>IFERROR(Y418*I418/H418,"0")</f>
        <v>246.3</v>
      </c>
      <c r="BO418" s="78">
        <f>IFERROR(1/J418*(X418/H418),"0")</f>
        <v>0.46875</v>
      </c>
      <c r="BP418" s="78">
        <f>IFERROR(1/J418*(Y418/H418),"0")</f>
        <v>0.46875</v>
      </c>
    </row>
    <row r="419" spans="1:68" ht="16.5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78</v>
      </c>
      <c r="Y419" s="55">
        <f>IFERROR(IF(X419="",0,CEILING((X419/$H419),1)*$H419),"")</f>
        <v>78</v>
      </c>
      <c r="Z419" s="41">
        <f>IFERROR(IF(Y419=0,"",ROUNDUP(Y419/H419,0)*0.01898),"")</f>
        <v>0.1898</v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82.100000000000023</v>
      </c>
      <c r="BN419" s="78">
        <f>IFERROR(Y419*I419/H419,"0")</f>
        <v>82.100000000000023</v>
      </c>
      <c r="BO419" s="78">
        <f>IFERROR(1/J419*(X419/H419),"0")</f>
        <v>0.15625</v>
      </c>
      <c r="BP419" s="78">
        <f>IFERROR(1/J419*(Y419/H419),"0")</f>
        <v>0.15625</v>
      </c>
    </row>
    <row r="420" spans="1:68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40</v>
      </c>
      <c r="Y420" s="43">
        <f>IFERROR(Y418/H418,"0")+IFERROR(Y419/H419,"0")</f>
        <v>40</v>
      </c>
      <c r="Z420" s="43">
        <f>IFERROR(IF(Z418="",0,Z418),"0")+IFERROR(IF(Z419="",0,Z419),"0")</f>
        <v>0.75919999999999999</v>
      </c>
      <c r="AA420" s="67"/>
      <c r="AB420" s="67"/>
      <c r="AC420" s="67"/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312</v>
      </c>
      <c r="Y421" s="43">
        <f>IFERROR(SUM(Y418:Y419),"0")</f>
        <v>312</v>
      </c>
      <c r="Z421" s="42"/>
      <c r="AA421" s="67"/>
      <c r="AB421" s="67"/>
      <c r="AC421" s="67"/>
    </row>
    <row r="422" spans="1:68" ht="16.5" hidden="1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312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312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328.40000000000003</v>
      </c>
      <c r="Y561" s="43">
        <f>IFERROR(SUM(BN22:BN557),"0")</f>
        <v>328.40000000000003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1</v>
      </c>
      <c r="Y562" s="44">
        <f>ROUNDUP(SUM(BP22:BP557),0)</f>
        <v>1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353.40000000000003</v>
      </c>
      <c r="Y563" s="43">
        <f>GrossWeightTotalR+PalletQtyTotalR*25</f>
        <v>353.40000000000003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40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40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0.75919999999999999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312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34,00"/>
        <filter val="312,00"/>
        <filter val="328,40"/>
        <filter val="353,40"/>
        <filter val="40,00"/>
        <filter val="78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2026-09-01T10:50:46Z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