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680A320-EA06-4888-8A87-DF5503279E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122" i="2" l="1"/>
  <c r="Z195" i="2"/>
  <c r="Z67" i="2"/>
  <c r="Z90" i="2"/>
  <c r="BN116" i="2"/>
  <c r="BN118" i="2"/>
  <c r="Z43" i="2"/>
  <c r="Y30" i="2"/>
  <c r="Z36" i="2"/>
  <c r="Z257" i="2"/>
  <c r="BN256" i="2"/>
  <c r="Z267" i="2"/>
  <c r="BN264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Z287" i="2" l="1"/>
  <c r="X285" i="2"/>
  <c r="Y286" i="2"/>
  <c r="Y284" i="2"/>
  <c r="Y283" i="2"/>
  <c r="Y282" i="2"/>
  <c r="Y285" i="2" l="1"/>
  <c r="A295" i="2" s="1"/>
  <c r="C295" i="2" l="1"/>
  <c r="B295" i="2"/>
</calcChain>
</file>

<file path=xl/sharedStrings.xml><?xml version="1.0" encoding="utf-8"?>
<sst xmlns="http://schemas.openxmlformats.org/spreadsheetml/2006/main" count="1761" uniqueCount="407">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</sst>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5"/>
  <sheetViews>
    <sheetView showGridLines="0" tabSelected="1" topLeftCell="A274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8" t="s">
        <v>26</v>
      </c>
      <c r="E1" s="468"/>
      <c r="F1" s="468"/>
      <c r="G1" s="14" t="s">
        <v>70</v>
      </c>
      <c r="H1" s="468" t="s">
        <v>47</v>
      </c>
      <c r="I1" s="468"/>
      <c r="J1" s="468"/>
      <c r="K1" s="468"/>
      <c r="L1" s="468"/>
      <c r="M1" s="468"/>
      <c r="N1" s="468"/>
      <c r="O1" s="468"/>
      <c r="P1" s="468"/>
      <c r="Q1" s="468"/>
      <c r="R1" s="469" t="s">
        <v>71</v>
      </c>
      <c r="S1" s="470"/>
      <c r="T1" s="47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1"/>
      <c r="R2" s="471"/>
      <c r="S2" s="471"/>
      <c r="T2" s="471"/>
      <c r="U2" s="471"/>
      <c r="V2" s="471"/>
      <c r="W2" s="47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1"/>
      <c r="Q3" s="471"/>
      <c r="R3" s="471"/>
      <c r="S3" s="471"/>
      <c r="T3" s="471"/>
      <c r="U3" s="471"/>
      <c r="V3" s="471"/>
      <c r="W3" s="47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50" t="s">
        <v>8</v>
      </c>
      <c r="B5" s="450"/>
      <c r="C5" s="450"/>
      <c r="D5" s="472"/>
      <c r="E5" s="472"/>
      <c r="F5" s="473" t="s">
        <v>14</v>
      </c>
      <c r="G5" s="473"/>
      <c r="H5" s="472"/>
      <c r="I5" s="472"/>
      <c r="J5" s="472"/>
      <c r="K5" s="472"/>
      <c r="L5" s="472"/>
      <c r="M5" s="472"/>
      <c r="N5" s="75"/>
      <c r="P5" s="27" t="s">
        <v>4</v>
      </c>
      <c r="Q5" s="474">
        <v>46272</v>
      </c>
      <c r="R5" s="474"/>
      <c r="T5" s="475" t="s">
        <v>3</v>
      </c>
      <c r="U5" s="476"/>
      <c r="V5" s="477" t="s">
        <v>393</v>
      </c>
      <c r="W5" s="478"/>
      <c r="AB5" s="59"/>
      <c r="AC5" s="59"/>
      <c r="AD5" s="59"/>
      <c r="AE5" s="59"/>
    </row>
    <row r="6" spans="1:32" s="17" customFormat="1" ht="24" customHeight="1" x14ac:dyDescent="0.2">
      <c r="A6" s="450" t="s">
        <v>1</v>
      </c>
      <c r="B6" s="450"/>
      <c r="C6" s="450"/>
      <c r="D6" s="451" t="s">
        <v>79</v>
      </c>
      <c r="E6" s="451"/>
      <c r="F6" s="451"/>
      <c r="G6" s="451"/>
      <c r="H6" s="451"/>
      <c r="I6" s="451"/>
      <c r="J6" s="451"/>
      <c r="K6" s="451"/>
      <c r="L6" s="451"/>
      <c r="M6" s="451"/>
      <c r="N6" s="76"/>
      <c r="P6" s="27" t="s">
        <v>27</v>
      </c>
      <c r="Q6" s="452" t="str">
        <f>IF(Q5=0," ",CHOOSE(WEEKDAY(Q5,2),"Понедельник","Вторник","Среда","Четверг","Пятница","Суббота","Воскресенье"))</f>
        <v>Понедельник</v>
      </c>
      <c r="R6" s="452"/>
      <c r="T6" s="453" t="s">
        <v>5</v>
      </c>
      <c r="U6" s="454"/>
      <c r="V6" s="455" t="s">
        <v>73</v>
      </c>
      <c r="W6" s="45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61" t="str">
        <f>IFERROR(VLOOKUP(DeliveryAddress,Table,3,0),1)</f>
        <v>1</v>
      </c>
      <c r="E7" s="462"/>
      <c r="F7" s="462"/>
      <c r="G7" s="462"/>
      <c r="H7" s="462"/>
      <c r="I7" s="462"/>
      <c r="J7" s="462"/>
      <c r="K7" s="462"/>
      <c r="L7" s="462"/>
      <c r="M7" s="463"/>
      <c r="N7" s="77"/>
      <c r="P7" s="29"/>
      <c r="Q7" s="48"/>
      <c r="R7" s="48"/>
      <c r="T7" s="453"/>
      <c r="U7" s="454"/>
      <c r="V7" s="457"/>
      <c r="W7" s="458"/>
      <c r="AB7" s="59"/>
      <c r="AC7" s="59"/>
      <c r="AD7" s="59"/>
      <c r="AE7" s="59"/>
    </row>
    <row r="8" spans="1:32" s="17" customFormat="1" ht="25.5" customHeight="1" x14ac:dyDescent="0.2">
      <c r="A8" s="464" t="s">
        <v>58</v>
      </c>
      <c r="B8" s="464"/>
      <c r="C8" s="464"/>
      <c r="D8" s="465" t="s">
        <v>80</v>
      </c>
      <c r="E8" s="465"/>
      <c r="F8" s="465"/>
      <c r="G8" s="465"/>
      <c r="H8" s="465"/>
      <c r="I8" s="465"/>
      <c r="J8" s="465"/>
      <c r="K8" s="465"/>
      <c r="L8" s="465"/>
      <c r="M8" s="465"/>
      <c r="N8" s="78"/>
      <c r="P8" s="27" t="s">
        <v>11</v>
      </c>
      <c r="Q8" s="448">
        <v>0.41666666666666669</v>
      </c>
      <c r="R8" s="448"/>
      <c r="T8" s="453"/>
      <c r="U8" s="454"/>
      <c r="V8" s="457"/>
      <c r="W8" s="458"/>
      <c r="AB8" s="59"/>
      <c r="AC8" s="59"/>
      <c r="AD8" s="59"/>
      <c r="AE8" s="59"/>
    </row>
    <row r="9" spans="1:32" s="17" customFormat="1" ht="39.950000000000003" customHeight="1" x14ac:dyDescent="0.2">
      <c r="A9" s="4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0"/>
      <c r="C9" s="440"/>
      <c r="D9" s="441" t="s">
        <v>46</v>
      </c>
      <c r="E9" s="442"/>
      <c r="F9" s="4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0"/>
      <c r="H9" s="466" t="str">
        <f>IF(AND($A$9="Тип доверенности/получателя при получении в адресе перегруза:",$D$9="Разовая доверенность"),"Введите ФИО","")</f>
        <v/>
      </c>
      <c r="I9" s="466"/>
      <c r="J9" s="4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6"/>
      <c r="L9" s="466"/>
      <c r="M9" s="466"/>
      <c r="N9" s="73"/>
      <c r="P9" s="31" t="s">
        <v>15</v>
      </c>
      <c r="Q9" s="467"/>
      <c r="R9" s="467"/>
      <c r="T9" s="453"/>
      <c r="U9" s="454"/>
      <c r="V9" s="459"/>
      <c r="W9" s="46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0"/>
      <c r="C10" s="440"/>
      <c r="D10" s="441"/>
      <c r="E10" s="442"/>
      <c r="F10" s="4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0"/>
      <c r="H10" s="443" t="str">
        <f>IFERROR(VLOOKUP($D$10,Proxy,2,FALSE),"")</f>
        <v/>
      </c>
      <c r="I10" s="443"/>
      <c r="J10" s="443"/>
      <c r="K10" s="443"/>
      <c r="L10" s="443"/>
      <c r="M10" s="443"/>
      <c r="N10" s="74"/>
      <c r="P10" s="31" t="s">
        <v>32</v>
      </c>
      <c r="Q10" s="444"/>
      <c r="R10" s="444"/>
      <c r="U10" s="29" t="s">
        <v>12</v>
      </c>
      <c r="V10" s="445" t="s">
        <v>74</v>
      </c>
      <c r="W10" s="4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7"/>
      <c r="R11" s="447"/>
      <c r="U11" s="29" t="s">
        <v>28</v>
      </c>
      <c r="V11" s="426" t="s">
        <v>55</v>
      </c>
      <c r="W11" s="4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5" t="s">
        <v>75</v>
      </c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79"/>
      <c r="P12" s="27" t="s">
        <v>30</v>
      </c>
      <c r="Q12" s="448"/>
      <c r="R12" s="448"/>
      <c r="S12" s="28"/>
      <c r="T12"/>
      <c r="U12" s="29" t="s">
        <v>46</v>
      </c>
      <c r="V12" s="449"/>
      <c r="W12" s="449"/>
      <c r="X12"/>
      <c r="AB12" s="59"/>
      <c r="AC12" s="59"/>
      <c r="AD12" s="59"/>
      <c r="AE12" s="59"/>
    </row>
    <row r="13" spans="1:32" s="17" customFormat="1" ht="23.25" customHeight="1" x14ac:dyDescent="0.2">
      <c r="A13" s="425" t="s">
        <v>76</v>
      </c>
      <c r="B13" s="425"/>
      <c r="C13" s="425"/>
      <c r="D13" s="425"/>
      <c r="E13" s="425"/>
      <c r="F13" s="425"/>
      <c r="G13" s="425"/>
      <c r="H13" s="425"/>
      <c r="I13" s="425"/>
      <c r="J13" s="425"/>
      <c r="K13" s="425"/>
      <c r="L13" s="425"/>
      <c r="M13" s="425"/>
      <c r="N13" s="79"/>
      <c r="O13" s="31"/>
      <c r="P13" s="31" t="s">
        <v>31</v>
      </c>
      <c r="Q13" s="426"/>
      <c r="R13" s="4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5" t="s">
        <v>77</v>
      </c>
      <c r="B14" s="425"/>
      <c r="C14" s="425"/>
      <c r="D14" s="425"/>
      <c r="E14" s="425"/>
      <c r="F14" s="425"/>
      <c r="G14" s="425"/>
      <c r="H14" s="425"/>
      <c r="I14" s="425"/>
      <c r="J14" s="425"/>
      <c r="K14" s="425"/>
      <c r="L14" s="425"/>
      <c r="M14" s="42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7" t="s">
        <v>78</v>
      </c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80"/>
      <c r="O15"/>
      <c r="P15" s="428" t="s">
        <v>61</v>
      </c>
      <c r="Q15" s="428"/>
      <c r="R15" s="428"/>
      <c r="S15" s="428"/>
      <c r="T15" s="42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9"/>
      <c r="Q16" s="429"/>
      <c r="R16" s="429"/>
      <c r="S16" s="429"/>
      <c r="T16" s="4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11" t="s">
        <v>59</v>
      </c>
      <c r="B17" s="411" t="s">
        <v>49</v>
      </c>
      <c r="C17" s="432" t="s">
        <v>48</v>
      </c>
      <c r="D17" s="434" t="s">
        <v>50</v>
      </c>
      <c r="E17" s="435"/>
      <c r="F17" s="411" t="s">
        <v>21</v>
      </c>
      <c r="G17" s="411" t="s">
        <v>24</v>
      </c>
      <c r="H17" s="411" t="s">
        <v>22</v>
      </c>
      <c r="I17" s="411" t="s">
        <v>23</v>
      </c>
      <c r="J17" s="411" t="s">
        <v>16</v>
      </c>
      <c r="K17" s="411" t="s">
        <v>69</v>
      </c>
      <c r="L17" s="411" t="s">
        <v>67</v>
      </c>
      <c r="M17" s="411" t="s">
        <v>2</v>
      </c>
      <c r="N17" s="411" t="s">
        <v>66</v>
      </c>
      <c r="O17" s="411" t="s">
        <v>25</v>
      </c>
      <c r="P17" s="434" t="s">
        <v>17</v>
      </c>
      <c r="Q17" s="438"/>
      <c r="R17" s="438"/>
      <c r="S17" s="438"/>
      <c r="T17" s="435"/>
      <c r="U17" s="430" t="s">
        <v>56</v>
      </c>
      <c r="V17" s="431"/>
      <c r="W17" s="411" t="s">
        <v>6</v>
      </c>
      <c r="X17" s="411" t="s">
        <v>41</v>
      </c>
      <c r="Y17" s="413" t="s">
        <v>54</v>
      </c>
      <c r="Z17" s="415" t="s">
        <v>18</v>
      </c>
      <c r="AA17" s="417" t="s">
        <v>60</v>
      </c>
      <c r="AB17" s="417" t="s">
        <v>19</v>
      </c>
      <c r="AC17" s="417" t="s">
        <v>68</v>
      </c>
      <c r="AD17" s="419" t="s">
        <v>57</v>
      </c>
      <c r="AE17" s="420"/>
      <c r="AF17" s="421"/>
      <c r="AG17" s="85"/>
      <c r="BD17" s="84" t="s">
        <v>64</v>
      </c>
    </row>
    <row r="18" spans="1:68" ht="14.25" customHeight="1" x14ac:dyDescent="0.2">
      <c r="A18" s="412"/>
      <c r="B18" s="412"/>
      <c r="C18" s="433"/>
      <c r="D18" s="436"/>
      <c r="E18" s="437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36"/>
      <c r="Q18" s="439"/>
      <c r="R18" s="439"/>
      <c r="S18" s="439"/>
      <c r="T18" s="437"/>
      <c r="U18" s="86" t="s">
        <v>44</v>
      </c>
      <c r="V18" s="86" t="s">
        <v>43</v>
      </c>
      <c r="W18" s="412"/>
      <c r="X18" s="412"/>
      <c r="Y18" s="414"/>
      <c r="Z18" s="416"/>
      <c r="AA18" s="418"/>
      <c r="AB18" s="418"/>
      <c r="AC18" s="418"/>
      <c r="AD18" s="422"/>
      <c r="AE18" s="423"/>
      <c r="AF18" s="424"/>
      <c r="AG18" s="85"/>
      <c r="BD18" s="84"/>
    </row>
    <row r="19" spans="1:68" ht="27.75" customHeight="1" x14ac:dyDescent="0.2">
      <c r="A19" s="322" t="s">
        <v>81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54"/>
      <c r="AB19" s="54"/>
      <c r="AC19" s="54"/>
    </row>
    <row r="20" spans="1:68" ht="16.5" customHeight="1" x14ac:dyDescent="0.25">
      <c r="A20" s="323" t="s">
        <v>81</v>
      </c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65"/>
      <c r="AB20" s="65"/>
      <c r="AC20" s="82"/>
    </row>
    <row r="21" spans="1:68" ht="14.25" customHeight="1" x14ac:dyDescent="0.25">
      <c r="A21" s="313" t="s">
        <v>82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295">
        <v>4620207491508</v>
      </c>
      <c r="E22" s="295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7"/>
      <c r="R22" s="297"/>
      <c r="S22" s="297"/>
      <c r="T22" s="298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95">
        <v>4620207491256</v>
      </c>
      <c r="E23" s="295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7"/>
      <c r="R23" s="297"/>
      <c r="S23" s="297"/>
      <c r="T23" s="298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295">
        <v>4620207491713</v>
      </c>
      <c r="E24" s="295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7"/>
      <c r="R24" s="297"/>
      <c r="S24" s="297"/>
      <c r="T24" s="298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295">
        <v>4620207491720</v>
      </c>
      <c r="E25" s="295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1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7"/>
      <c r="R25" s="297"/>
      <c r="S25" s="297"/>
      <c r="T25" s="298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295">
        <v>4607111035912</v>
      </c>
      <c r="E26" s="295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7"/>
      <c r="R26" s="297"/>
      <c r="S26" s="297"/>
      <c r="T26" s="298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295">
        <v>4607111035929</v>
      </c>
      <c r="E27" s="295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7"/>
      <c r="R27" s="297"/>
      <c r="S27" s="297"/>
      <c r="T27" s="298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295">
        <v>4607111035882</v>
      </c>
      <c r="E28" s="295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7"/>
      <c r="R28" s="297"/>
      <c r="S28" s="297"/>
      <c r="T28" s="298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295">
        <v>4607111035905</v>
      </c>
      <c r="E29" s="295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7"/>
      <c r="R29" s="297"/>
      <c r="S29" s="297"/>
      <c r="T29" s="298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2"/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3"/>
      <c r="P30" s="299" t="s">
        <v>40</v>
      </c>
      <c r="Q30" s="300"/>
      <c r="R30" s="300"/>
      <c r="S30" s="300"/>
      <c r="T30" s="300"/>
      <c r="U30" s="300"/>
      <c r="V30" s="301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02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3"/>
      <c r="P31" s="299" t="s">
        <v>40</v>
      </c>
      <c r="Q31" s="300"/>
      <c r="R31" s="300"/>
      <c r="S31" s="300"/>
      <c r="T31" s="300"/>
      <c r="U31" s="300"/>
      <c r="V31" s="301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23" t="s">
        <v>106</v>
      </c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65"/>
      <c r="AB32" s="65"/>
      <c r="AC32" s="82"/>
    </row>
    <row r="33" spans="1:68" ht="14.25" customHeight="1" x14ac:dyDescent="0.25">
      <c r="A33" s="313" t="s">
        <v>82</v>
      </c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295">
        <v>4607111039019</v>
      </c>
      <c r="E34" s="295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0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7"/>
      <c r="R34" s="297"/>
      <c r="S34" s="297"/>
      <c r="T34" s="298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295">
        <v>4607111038708</v>
      </c>
      <c r="E35" s="295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0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7"/>
      <c r="R35" s="297"/>
      <c r="S35" s="297"/>
      <c r="T35" s="298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02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3"/>
      <c r="P36" s="299" t="s">
        <v>40</v>
      </c>
      <c r="Q36" s="300"/>
      <c r="R36" s="300"/>
      <c r="S36" s="300"/>
      <c r="T36" s="300"/>
      <c r="U36" s="300"/>
      <c r="V36" s="301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02"/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3"/>
      <c r="P37" s="299" t="s">
        <v>40</v>
      </c>
      <c r="Q37" s="300"/>
      <c r="R37" s="300"/>
      <c r="S37" s="300"/>
      <c r="T37" s="300"/>
      <c r="U37" s="300"/>
      <c r="V37" s="301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22" t="s">
        <v>45</v>
      </c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54"/>
      <c r="AB38" s="54"/>
      <c r="AC38" s="54"/>
    </row>
    <row r="39" spans="1:68" ht="16.5" customHeight="1" x14ac:dyDescent="0.25">
      <c r="A39" s="323" t="s">
        <v>112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65"/>
      <c r="AB39" s="65"/>
      <c r="AC39" s="82"/>
    </row>
    <row r="40" spans="1:68" ht="14.25" customHeight="1" x14ac:dyDescent="0.25">
      <c r="A40" s="313" t="s">
        <v>113</v>
      </c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295">
        <v>4607111036537</v>
      </c>
      <c r="E41" s="295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7"/>
      <c r="R41" s="297"/>
      <c r="S41" s="297"/>
      <c r="T41" s="298"/>
      <c r="U41" s="39" t="s">
        <v>46</v>
      </c>
      <c r="V41" s="39" t="s">
        <v>46</v>
      </c>
      <c r="W41" s="40" t="s">
        <v>39</v>
      </c>
      <c r="X41" s="58"/>
      <c r="Y41" s="55" t="str">
        <f>IFERROR(IF(X41="","",X41),"")</f>
        <v/>
      </c>
      <c r="Z41" s="41" t="str">
        <f>IFERROR(IF(X41="","",X41*0.00941),"")</f>
        <v/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 t="str">
        <f>IFERROR(Y41*I41,"0")</f>
        <v>0</v>
      </c>
      <c r="BO41" s="81">
        <f>IFERROR(X41/J41,"0")</f>
        <v>0</v>
      </c>
      <c r="BP41" s="81" t="str">
        <f>IFERROR(Y41/J41,"0")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295">
        <v>4607111036605</v>
      </c>
      <c r="E42" s="295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40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7"/>
      <c r="R42" s="297"/>
      <c r="S42" s="297"/>
      <c r="T42" s="298"/>
      <c r="U42" s="39" t="s">
        <v>46</v>
      </c>
      <c r="V42" s="39" t="s">
        <v>46</v>
      </c>
      <c r="W42" s="40" t="s">
        <v>39</v>
      </c>
      <c r="X42" s="58"/>
      <c r="Y42" s="55" t="str">
        <f>IFERROR(IF(X42="","",X42),"")</f>
        <v/>
      </c>
      <c r="Z42" s="41" t="str">
        <f>IFERROR(IF(X42="","",X42*0.00941),"")</f>
        <v/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0</v>
      </c>
      <c r="BN42" s="81" t="str">
        <f>IFERROR(Y42*I42,"0")</f>
        <v>0</v>
      </c>
      <c r="BO42" s="81">
        <f>IFERROR(X42/J42,"0")</f>
        <v>0</v>
      </c>
      <c r="BP42" s="81" t="str">
        <f>IFERROR(Y42/J42,"0")</f>
        <v>0</v>
      </c>
    </row>
    <row r="43" spans="1:68" x14ac:dyDescent="0.2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3"/>
      <c r="P43" s="299" t="s">
        <v>40</v>
      </c>
      <c r="Q43" s="300"/>
      <c r="R43" s="300"/>
      <c r="S43" s="300"/>
      <c r="T43" s="300"/>
      <c r="U43" s="300"/>
      <c r="V43" s="301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3"/>
      <c r="P44" s="299" t="s">
        <v>40</v>
      </c>
      <c r="Q44" s="300"/>
      <c r="R44" s="300"/>
      <c r="S44" s="300"/>
      <c r="T44" s="300"/>
      <c r="U44" s="300"/>
      <c r="V44" s="301"/>
      <c r="W44" s="42" t="s">
        <v>0</v>
      </c>
      <c r="X44" s="43">
        <f>IFERROR(SUMPRODUCT(X41:X42*H41:H42),"0")</f>
        <v>0</v>
      </c>
      <c r="Y44" s="43" t="str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23" t="s">
        <v>123</v>
      </c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65"/>
      <c r="AB45" s="65"/>
      <c r="AC45" s="82"/>
    </row>
    <row r="46" spans="1:68" ht="14.25" customHeight="1" x14ac:dyDescent="0.25">
      <c r="A46" s="313" t="s">
        <v>82</v>
      </c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295">
        <v>4620207490075</v>
      </c>
      <c r="E47" s="295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7"/>
      <c r="R47" s="297"/>
      <c r="S47" s="297"/>
      <c r="T47" s="298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295">
        <v>4620207490174</v>
      </c>
      <c r="E48" s="295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9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7"/>
      <c r="R48" s="297"/>
      <c r="S48" s="297"/>
      <c r="T48" s="298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02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3"/>
      <c r="P49" s="299" t="s">
        <v>40</v>
      </c>
      <c r="Q49" s="300"/>
      <c r="R49" s="300"/>
      <c r="S49" s="300"/>
      <c r="T49" s="300"/>
      <c r="U49" s="300"/>
      <c r="V49" s="301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3"/>
      <c r="P50" s="299" t="s">
        <v>40</v>
      </c>
      <c r="Q50" s="300"/>
      <c r="R50" s="300"/>
      <c r="S50" s="300"/>
      <c r="T50" s="300"/>
      <c r="U50" s="300"/>
      <c r="V50" s="301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23" t="s">
        <v>130</v>
      </c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65"/>
      <c r="AB51" s="65"/>
      <c r="AC51" s="82"/>
    </row>
    <row r="52" spans="1:68" ht="14.25" customHeight="1" x14ac:dyDescent="0.25">
      <c r="A52" s="313" t="s">
        <v>82</v>
      </c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295">
        <v>4607111039385</v>
      </c>
      <c r="E53" s="295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7"/>
      <c r="R53" s="297"/>
      <c r="S53" s="297"/>
      <c r="T53" s="298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295">
        <v>4607111038982</v>
      </c>
      <c r="E54" s="295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7"/>
      <c r="R54" s="297"/>
      <c r="S54" s="297"/>
      <c r="T54" s="298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295">
        <v>4607111039354</v>
      </c>
      <c r="E55" s="295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7"/>
      <c r="R55" s="297"/>
      <c r="S55" s="297"/>
      <c r="T55" s="298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295">
        <v>4607111039330</v>
      </c>
      <c r="E56" s="295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7"/>
      <c r="R56" s="297"/>
      <c r="S56" s="297"/>
      <c r="T56" s="298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3"/>
      <c r="P57" s="299" t="s">
        <v>40</v>
      </c>
      <c r="Q57" s="300"/>
      <c r="R57" s="300"/>
      <c r="S57" s="300"/>
      <c r="T57" s="300"/>
      <c r="U57" s="300"/>
      <c r="V57" s="301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3"/>
      <c r="P58" s="299" t="s">
        <v>40</v>
      </c>
      <c r="Q58" s="300"/>
      <c r="R58" s="300"/>
      <c r="S58" s="300"/>
      <c r="T58" s="300"/>
      <c r="U58" s="300"/>
      <c r="V58" s="301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23" t="s">
        <v>141</v>
      </c>
      <c r="B59" s="323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65"/>
      <c r="AB59" s="65"/>
      <c r="AC59" s="82"/>
    </row>
    <row r="60" spans="1:68" ht="14.25" customHeight="1" x14ac:dyDescent="0.25">
      <c r="A60" s="313" t="s">
        <v>113</v>
      </c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66"/>
      <c r="AB60" s="66"/>
      <c r="AC60" s="83"/>
    </row>
    <row r="61" spans="1:68" ht="27" customHeight="1" x14ac:dyDescent="0.25">
      <c r="A61" s="63" t="s">
        <v>142</v>
      </c>
      <c r="B61" s="63" t="s">
        <v>143</v>
      </c>
      <c r="C61" s="36">
        <v>4301132194</v>
      </c>
      <c r="D61" s="295">
        <v>4607111039712</v>
      </c>
      <c r="E61" s="295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7"/>
      <c r="R61" s="297"/>
      <c r="S61" s="297"/>
      <c r="T61" s="298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3"/>
      <c r="P62" s="299" t="s">
        <v>40</v>
      </c>
      <c r="Q62" s="300"/>
      <c r="R62" s="300"/>
      <c r="S62" s="300"/>
      <c r="T62" s="300"/>
      <c r="U62" s="300"/>
      <c r="V62" s="30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3"/>
      <c r="P63" s="299" t="s">
        <v>40</v>
      </c>
      <c r="Q63" s="300"/>
      <c r="R63" s="300"/>
      <c r="S63" s="300"/>
      <c r="T63" s="300"/>
      <c r="U63" s="300"/>
      <c r="V63" s="30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13" t="s">
        <v>145</v>
      </c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  <c r="AA64" s="66"/>
      <c r="AB64" s="66"/>
      <c r="AC64" s="83"/>
    </row>
    <row r="65" spans="1:68" ht="16.5" customHeight="1" x14ac:dyDescent="0.25">
      <c r="A65" s="63" t="s">
        <v>146</v>
      </c>
      <c r="B65" s="63" t="s">
        <v>147</v>
      </c>
      <c r="C65" s="36">
        <v>4301136018</v>
      </c>
      <c r="D65" s="295">
        <v>4607111037008</v>
      </c>
      <c r="E65" s="295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7"/>
      <c r="R65" s="297"/>
      <c r="S65" s="297"/>
      <c r="T65" s="298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149</v>
      </c>
      <c r="B66" s="63" t="s">
        <v>150</v>
      </c>
      <c r="C66" s="36">
        <v>4301136015</v>
      </c>
      <c r="D66" s="295">
        <v>4607111037398</v>
      </c>
      <c r="E66" s="295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7"/>
      <c r="R66" s="297"/>
      <c r="S66" s="297"/>
      <c r="T66" s="298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3"/>
      <c r="P67" s="299" t="s">
        <v>40</v>
      </c>
      <c r="Q67" s="300"/>
      <c r="R67" s="300"/>
      <c r="S67" s="300"/>
      <c r="T67" s="300"/>
      <c r="U67" s="300"/>
      <c r="V67" s="30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3"/>
      <c r="P68" s="299" t="s">
        <v>40</v>
      </c>
      <c r="Q68" s="300"/>
      <c r="R68" s="300"/>
      <c r="S68" s="300"/>
      <c r="T68" s="300"/>
      <c r="U68" s="300"/>
      <c r="V68" s="30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13" t="s">
        <v>151</v>
      </c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66"/>
      <c r="AB69" s="66"/>
      <c r="AC69" s="83"/>
    </row>
    <row r="70" spans="1:68" ht="27" customHeight="1" x14ac:dyDescent="0.25">
      <c r="A70" s="63" t="s">
        <v>152</v>
      </c>
      <c r="B70" s="63" t="s">
        <v>153</v>
      </c>
      <c r="C70" s="36">
        <v>4301135664</v>
      </c>
      <c r="D70" s="295">
        <v>4607111039705</v>
      </c>
      <c r="E70" s="295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7"/>
      <c r="R70" s="297"/>
      <c r="S70" s="297"/>
      <c r="T70" s="298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295">
        <v>4607111039729</v>
      </c>
      <c r="E71" s="295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7"/>
      <c r="R71" s="297"/>
      <c r="S71" s="297"/>
      <c r="T71" s="298"/>
      <c r="U71" s="39" t="s">
        <v>46</v>
      </c>
      <c r="V71" s="39" t="s">
        <v>46</v>
      </c>
      <c r="W71" s="40" t="s">
        <v>39</v>
      </c>
      <c r="X71" s="58"/>
      <c r="Y71" s="55" t="str">
        <f>IFERROR(IF(X71="","",X71),"")</f>
        <v/>
      </c>
      <c r="Z71" s="41" t="str">
        <f>IFERROR(IF(X71="","",X71*0.00941),"")</f>
        <v/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 t="str">
        <f>IFERROR(Y71*I71,"0")</f>
        <v>0</v>
      </c>
      <c r="BO71" s="81">
        <f>IFERROR(X71/J71,"0")</f>
        <v>0</v>
      </c>
      <c r="BP71" s="81" t="str">
        <f>IFERROR(Y71/J71,"0")</f>
        <v>0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295">
        <v>4620207490228</v>
      </c>
      <c r="E72" s="295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7"/>
      <c r="R72" s="297"/>
      <c r="S72" s="297"/>
      <c r="T72" s="298"/>
      <c r="U72" s="39" t="s">
        <v>46</v>
      </c>
      <c r="V72" s="39" t="s">
        <v>46</v>
      </c>
      <c r="W72" s="40" t="s">
        <v>39</v>
      </c>
      <c r="X72" s="58"/>
      <c r="Y72" s="55" t="str">
        <f>IFERROR(IF(X72="","",X72),"")</f>
        <v/>
      </c>
      <c r="Z72" s="41" t="str">
        <f>IFERROR(IF(X72="","",X72*0.00941),"")</f>
        <v/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0</v>
      </c>
      <c r="BN72" s="81" t="str">
        <f>IFERROR(Y72*I72,"0")</f>
        <v>0</v>
      </c>
      <c r="BO72" s="81">
        <f>IFERROR(X72/J72,"0")</f>
        <v>0</v>
      </c>
      <c r="BP72" s="81" t="str">
        <f>IFERROR(Y72/J72,"0")</f>
        <v>0</v>
      </c>
    </row>
    <row r="73" spans="1:68" x14ac:dyDescent="0.2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3"/>
      <c r="P73" s="299" t="s">
        <v>40</v>
      </c>
      <c r="Q73" s="300"/>
      <c r="R73" s="300"/>
      <c r="S73" s="300"/>
      <c r="T73" s="300"/>
      <c r="U73" s="300"/>
      <c r="V73" s="301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302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3"/>
      <c r="P74" s="299" t="s">
        <v>40</v>
      </c>
      <c r="Q74" s="300"/>
      <c r="R74" s="300"/>
      <c r="S74" s="300"/>
      <c r="T74" s="300"/>
      <c r="U74" s="300"/>
      <c r="V74" s="301"/>
      <c r="W74" s="42" t="s">
        <v>0</v>
      </c>
      <c r="X74" s="43">
        <f>IFERROR(SUMPRODUCT(X70:X72*H70:H72),"0")</f>
        <v>0</v>
      </c>
      <c r="Y74" s="43" t="str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23" t="s">
        <v>159</v>
      </c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65"/>
      <c r="AB75" s="65"/>
      <c r="AC75" s="82"/>
    </row>
    <row r="76" spans="1:68" ht="14.25" customHeight="1" x14ac:dyDescent="0.25">
      <c r="A76" s="313" t="s">
        <v>82</v>
      </c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  <c r="AA76" s="66"/>
      <c r="AB76" s="66"/>
      <c r="AC76" s="83"/>
    </row>
    <row r="77" spans="1:68" ht="27" customHeight="1" x14ac:dyDescent="0.25">
      <c r="A77" s="63" t="s">
        <v>160</v>
      </c>
      <c r="B77" s="63" t="s">
        <v>161</v>
      </c>
      <c r="C77" s="36">
        <v>4301070977</v>
      </c>
      <c r="D77" s="295">
        <v>4607111037411</v>
      </c>
      <c r="E77" s="295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8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7"/>
      <c r="R77" s="297"/>
      <c r="S77" s="297"/>
      <c r="T77" s="298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295">
        <v>4607111036728</v>
      </c>
      <c r="E78" s="295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7"/>
      <c r="R78" s="297"/>
      <c r="S78" s="297"/>
      <c r="T78" s="298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3"/>
      <c r="P79" s="299" t="s">
        <v>40</v>
      </c>
      <c r="Q79" s="300"/>
      <c r="R79" s="300"/>
      <c r="S79" s="300"/>
      <c r="T79" s="300"/>
      <c r="U79" s="300"/>
      <c r="V79" s="301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302"/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299" t="s">
        <v>40</v>
      </c>
      <c r="Q80" s="300"/>
      <c r="R80" s="300"/>
      <c r="S80" s="300"/>
      <c r="T80" s="300"/>
      <c r="U80" s="300"/>
      <c r="V80" s="301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23" t="s">
        <v>166</v>
      </c>
      <c r="B81" s="323"/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65"/>
      <c r="AB81" s="65"/>
      <c r="AC81" s="82"/>
    </row>
    <row r="82" spans="1:68" ht="14.25" customHeight="1" x14ac:dyDescent="0.25">
      <c r="A82" s="313" t="s">
        <v>151</v>
      </c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295">
        <v>4607111033659</v>
      </c>
      <c r="E83" s="295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7"/>
      <c r="R83" s="297"/>
      <c r="S83" s="297"/>
      <c r="T83" s="298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3"/>
      <c r="P84" s="299" t="s">
        <v>40</v>
      </c>
      <c r="Q84" s="300"/>
      <c r="R84" s="300"/>
      <c r="S84" s="300"/>
      <c r="T84" s="300"/>
      <c r="U84" s="300"/>
      <c r="V84" s="301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3"/>
      <c r="P85" s="299" t="s">
        <v>40</v>
      </c>
      <c r="Q85" s="300"/>
      <c r="R85" s="300"/>
      <c r="S85" s="300"/>
      <c r="T85" s="300"/>
      <c r="U85" s="300"/>
      <c r="V85" s="301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23" t="s">
        <v>170</v>
      </c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65"/>
      <c r="AB86" s="65"/>
      <c r="AC86" s="82"/>
    </row>
    <row r="87" spans="1:68" ht="14.25" customHeight="1" x14ac:dyDescent="0.25">
      <c r="A87" s="313" t="s">
        <v>171</v>
      </c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295">
        <v>4607111034120</v>
      </c>
      <c r="E88" s="295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7"/>
      <c r="R88" s="297"/>
      <c r="S88" s="297"/>
      <c r="T88" s="298"/>
      <c r="U88" s="39" t="s">
        <v>46</v>
      </c>
      <c r="V88" s="39" t="s">
        <v>46</v>
      </c>
      <c r="W88" s="40" t="s">
        <v>39</v>
      </c>
      <c r="X88" s="58"/>
      <c r="Y88" s="55" t="str">
        <f>IFERROR(IF(X88="","",X88),"")</f>
        <v/>
      </c>
      <c r="Z88" s="41" t="str">
        <f>IFERROR(IF(X88="","",X88*0.01788),"")</f>
        <v/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 t="str">
        <f>IFERROR(Y88*I88,"0")</f>
        <v>0</v>
      </c>
      <c r="BO88" s="81">
        <f>IFERROR(X88/J88,"0")</f>
        <v>0</v>
      </c>
      <c r="BP88" s="81" t="str">
        <f>IFERROR(Y88/J88,"0")</f>
        <v>0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295">
        <v>4607111034137</v>
      </c>
      <c r="E89" s="295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7"/>
      <c r="R89" s="297"/>
      <c r="S89" s="297"/>
      <c r="T89" s="298"/>
      <c r="U89" s="39" t="s">
        <v>46</v>
      </c>
      <c r="V89" s="39" t="s">
        <v>46</v>
      </c>
      <c r="W89" s="40" t="s">
        <v>39</v>
      </c>
      <c r="X89" s="58"/>
      <c r="Y89" s="55" t="str">
        <f>IFERROR(IF(X89="","",X89),"")</f>
        <v/>
      </c>
      <c r="Z89" s="41" t="str">
        <f>IFERROR(IF(X89="","",X89*0.01788),"")</f>
        <v/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 t="str">
        <f>IFERROR(Y89*I89,"0")</f>
        <v>0</v>
      </c>
      <c r="BO89" s="81">
        <f>IFERROR(X89/J89,"0")</f>
        <v>0</v>
      </c>
      <c r="BP89" s="81" t="str">
        <f>IFERROR(Y89/J89,"0")</f>
        <v>0</v>
      </c>
    </row>
    <row r="90" spans="1:68" x14ac:dyDescent="0.2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3"/>
      <c r="P90" s="299" t="s">
        <v>40</v>
      </c>
      <c r="Q90" s="300"/>
      <c r="R90" s="300"/>
      <c r="S90" s="300"/>
      <c r="T90" s="300"/>
      <c r="U90" s="300"/>
      <c r="V90" s="301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x14ac:dyDescent="0.2">
      <c r="A91" s="302"/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3"/>
      <c r="P91" s="299" t="s">
        <v>40</v>
      </c>
      <c r="Q91" s="300"/>
      <c r="R91" s="300"/>
      <c r="S91" s="300"/>
      <c r="T91" s="300"/>
      <c r="U91" s="300"/>
      <c r="V91" s="301"/>
      <c r="W91" s="42" t="s">
        <v>0</v>
      </c>
      <c r="X91" s="43">
        <f>IFERROR(SUMPRODUCT(X88:X89*H88:H89),"0")</f>
        <v>0</v>
      </c>
      <c r="Y91" s="43" t="str">
        <f>IFERROR(SUMPRODUCT(Y88:Y89*H88:H89),"0")</f>
        <v>0</v>
      </c>
      <c r="Z91" s="42"/>
      <c r="AA91" s="67"/>
      <c r="AB91" s="67"/>
      <c r="AC91" s="67"/>
    </row>
    <row r="92" spans="1:68" ht="16.5" customHeight="1" x14ac:dyDescent="0.25">
      <c r="A92" s="323" t="s">
        <v>178</v>
      </c>
      <c r="B92" s="323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65"/>
      <c r="AB92" s="65"/>
      <c r="AC92" s="82"/>
    </row>
    <row r="93" spans="1:68" ht="14.25" customHeight="1" x14ac:dyDescent="0.25">
      <c r="A93" s="313" t="s">
        <v>151</v>
      </c>
      <c r="B93" s="313"/>
      <c r="C93" s="313"/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295">
        <v>4620207491027</v>
      </c>
      <c r="E94" s="295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7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7"/>
      <c r="R94" s="297"/>
      <c r="S94" s="297"/>
      <c r="T94" s="298"/>
      <c r="U94" s="39" t="s">
        <v>46</v>
      </c>
      <c r="V94" s="39" t="s">
        <v>46</v>
      </c>
      <c r="W94" s="40" t="s">
        <v>39</v>
      </c>
      <c r="X94" s="58"/>
      <c r="Y94" s="55" t="str">
        <f t="shared" ref="Y94:Y99" si="6">IFERROR(IF(X94="","",X94),"")</f>
        <v/>
      </c>
      <c r="Z94" s="41" t="str">
        <f t="shared" ref="Z94:Z99" si="7">IFERROR(IF(X94="","",X94*0.01788),"")</f>
        <v/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0</v>
      </c>
      <c r="BN94" s="81" t="str">
        <f t="shared" ref="BN94:BN99" si="9">IFERROR(Y94*I94,"0")</f>
        <v>0</v>
      </c>
      <c r="BO94" s="81">
        <f t="shared" ref="BO94:BO99" si="10">IFERROR(X94/J94,"0")</f>
        <v>0</v>
      </c>
      <c r="BP94" s="81" t="str">
        <f t="shared" ref="BP94:BP99" si="11">IFERROR(Y94/J94,"0")</f>
        <v>0</v>
      </c>
    </row>
    <row r="95" spans="1:68" ht="27" customHeight="1" x14ac:dyDescent="0.25">
      <c r="A95" s="63" t="s">
        <v>181</v>
      </c>
      <c r="B95" s="63" t="s">
        <v>182</v>
      </c>
      <c r="C95" s="36">
        <v>4301135793</v>
      </c>
      <c r="D95" s="295">
        <v>4620207491003</v>
      </c>
      <c r="E95" s="295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37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7"/>
      <c r="R95" s="297"/>
      <c r="S95" s="297"/>
      <c r="T95" s="298"/>
      <c r="U95" s="39" t="s">
        <v>46</v>
      </c>
      <c r="V95" s="39" t="s">
        <v>46</v>
      </c>
      <c r="W95" s="40" t="s">
        <v>39</v>
      </c>
      <c r="X95" s="58"/>
      <c r="Y95" s="55" t="str">
        <f t="shared" si="6"/>
        <v/>
      </c>
      <c r="Z95" s="41" t="str">
        <f t="shared" si="7"/>
        <v/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0</v>
      </c>
      <c r="BN95" s="81" t="str">
        <f t="shared" si="9"/>
        <v>0</v>
      </c>
      <c r="BO95" s="81">
        <f t="shared" si="10"/>
        <v>0</v>
      </c>
      <c r="BP95" s="81" t="str">
        <f t="shared" si="11"/>
        <v>0</v>
      </c>
    </row>
    <row r="96" spans="1:68" ht="27" customHeight="1" x14ac:dyDescent="0.25">
      <c r="A96" s="63" t="s">
        <v>183</v>
      </c>
      <c r="B96" s="63" t="s">
        <v>184</v>
      </c>
      <c r="C96" s="36">
        <v>4301135990</v>
      </c>
      <c r="D96" s="295">
        <v>4620207491881</v>
      </c>
      <c r="E96" s="295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7"/>
      <c r="R96" s="297"/>
      <c r="S96" s="297"/>
      <c r="T96" s="298"/>
      <c r="U96" s="39" t="s">
        <v>46</v>
      </c>
      <c r="V96" s="39" t="s">
        <v>46</v>
      </c>
      <c r="W96" s="40" t="s">
        <v>39</v>
      </c>
      <c r="X96" s="58"/>
      <c r="Y96" s="55" t="str">
        <f t="shared" si="6"/>
        <v/>
      </c>
      <c r="Z96" s="41" t="str">
        <f t="shared" si="7"/>
        <v/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 t="str">
        <f t="shared" si="9"/>
        <v>0</v>
      </c>
      <c r="BO96" s="81">
        <f t="shared" si="10"/>
        <v>0</v>
      </c>
      <c r="BP96" s="81" t="str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295">
        <v>4620207491010</v>
      </c>
      <c r="E97" s="295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8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7"/>
      <c r="R97" s="297"/>
      <c r="S97" s="297"/>
      <c r="T97" s="298"/>
      <c r="U97" s="39" t="s">
        <v>46</v>
      </c>
      <c r="V97" s="39" t="s">
        <v>46</v>
      </c>
      <c r="W97" s="40" t="s">
        <v>39</v>
      </c>
      <c r="X97" s="58"/>
      <c r="Y97" s="55" t="str">
        <f t="shared" si="6"/>
        <v/>
      </c>
      <c r="Z97" s="41" t="str">
        <f t="shared" si="7"/>
        <v/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0</v>
      </c>
      <c r="BN97" s="81" t="str">
        <f t="shared" si="9"/>
        <v>0</v>
      </c>
      <c r="BO97" s="81">
        <f t="shared" si="10"/>
        <v>0</v>
      </c>
      <c r="BP97" s="81" t="str">
        <f t="shared" si="11"/>
        <v>0</v>
      </c>
    </row>
    <row r="98" spans="1:68" ht="27" customHeight="1" x14ac:dyDescent="0.25">
      <c r="A98" s="63" t="s">
        <v>188</v>
      </c>
      <c r="B98" s="63" t="s">
        <v>189</v>
      </c>
      <c r="C98" s="36">
        <v>4301135984</v>
      </c>
      <c r="D98" s="295">
        <v>4620207491874</v>
      </c>
      <c r="E98" s="295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8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7"/>
      <c r="R98" s="297"/>
      <c r="S98" s="297"/>
      <c r="T98" s="298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190</v>
      </c>
      <c r="B99" s="63" t="s">
        <v>191</v>
      </c>
      <c r="C99" s="36">
        <v>4301135285</v>
      </c>
      <c r="D99" s="295">
        <v>4607111036407</v>
      </c>
      <c r="E99" s="295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7"/>
      <c r="R99" s="297"/>
      <c r="S99" s="297"/>
      <c r="T99" s="298"/>
      <c r="U99" s="39" t="s">
        <v>46</v>
      </c>
      <c r="V99" s="39" t="s">
        <v>46</v>
      </c>
      <c r="W99" s="40" t="s">
        <v>39</v>
      </c>
      <c r="X99" s="58"/>
      <c r="Y99" s="55" t="str">
        <f t="shared" si="6"/>
        <v/>
      </c>
      <c r="Z99" s="41" t="str">
        <f t="shared" si="7"/>
        <v/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 t="str">
        <f t="shared" si="9"/>
        <v>0</v>
      </c>
      <c r="BO99" s="81">
        <f t="shared" si="10"/>
        <v>0</v>
      </c>
      <c r="BP99" s="81" t="str">
        <f t="shared" si="11"/>
        <v>0</v>
      </c>
    </row>
    <row r="100" spans="1:68" x14ac:dyDescent="0.2">
      <c r="A100" s="302"/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3"/>
      <c r="P100" s="299" t="s">
        <v>40</v>
      </c>
      <c r="Q100" s="300"/>
      <c r="R100" s="300"/>
      <c r="S100" s="300"/>
      <c r="T100" s="300"/>
      <c r="U100" s="300"/>
      <c r="V100" s="301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302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3"/>
      <c r="P101" s="299" t="s">
        <v>40</v>
      </c>
      <c r="Q101" s="300"/>
      <c r="R101" s="300"/>
      <c r="S101" s="300"/>
      <c r="T101" s="300"/>
      <c r="U101" s="300"/>
      <c r="V101" s="301"/>
      <c r="W101" s="42" t="s">
        <v>0</v>
      </c>
      <c r="X101" s="43">
        <f>IFERROR(SUMPRODUCT(X94:X99*H94:H99),"0")</f>
        <v>0</v>
      </c>
      <c r="Y101" s="43" t="str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23" t="s">
        <v>193</v>
      </c>
      <c r="B102" s="323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65"/>
      <c r="AB102" s="65"/>
      <c r="AC102" s="82"/>
    </row>
    <row r="103" spans="1:68" ht="14.25" customHeight="1" x14ac:dyDescent="0.25">
      <c r="A103" s="313" t="s">
        <v>145</v>
      </c>
      <c r="B103" s="313"/>
      <c r="C103" s="313"/>
      <c r="D103" s="313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3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295">
        <v>4607025784012</v>
      </c>
      <c r="E104" s="295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7"/>
      <c r="R104" s="297"/>
      <c r="S104" s="297"/>
      <c r="T104" s="298"/>
      <c r="U104" s="39" t="s">
        <v>46</v>
      </c>
      <c r="V104" s="39" t="s">
        <v>46</v>
      </c>
      <c r="W104" s="40" t="s">
        <v>39</v>
      </c>
      <c r="X104" s="58"/>
      <c r="Y104" s="55" t="str">
        <f>IFERROR(IF(X104="","",X104),"")</f>
        <v/>
      </c>
      <c r="Z104" s="41" t="str">
        <f>IFERROR(IF(X104="","",X104*0.00936),"")</f>
        <v/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 t="str">
        <f>IFERROR(Y104*I104,"0")</f>
        <v>0</v>
      </c>
      <c r="BO104" s="81">
        <f>IFERROR(X104/J104,"0")</f>
        <v>0</v>
      </c>
      <c r="BP104" s="81" t="str">
        <f>IFERROR(Y104/J104,"0")</f>
        <v>0</v>
      </c>
    </row>
    <row r="105" spans="1:68" ht="27" customHeight="1" x14ac:dyDescent="0.25">
      <c r="A105" s="63" t="s">
        <v>197</v>
      </c>
      <c r="B105" s="63" t="s">
        <v>198</v>
      </c>
      <c r="C105" s="36">
        <v>4301136103</v>
      </c>
      <c r="D105" s="295">
        <v>4620207491645</v>
      </c>
      <c r="E105" s="295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7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7"/>
      <c r="R105" s="297"/>
      <c r="S105" s="297"/>
      <c r="T105" s="298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3"/>
      <c r="P106" s="299" t="s">
        <v>40</v>
      </c>
      <c r="Q106" s="300"/>
      <c r="R106" s="300"/>
      <c r="S106" s="300"/>
      <c r="T106" s="300"/>
      <c r="U106" s="300"/>
      <c r="V106" s="301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3"/>
      <c r="P107" s="299" t="s">
        <v>40</v>
      </c>
      <c r="Q107" s="300"/>
      <c r="R107" s="300"/>
      <c r="S107" s="300"/>
      <c r="T107" s="300"/>
      <c r="U107" s="300"/>
      <c r="V107" s="301"/>
      <c r="W107" s="42" t="s">
        <v>0</v>
      </c>
      <c r="X107" s="43">
        <f>IFERROR(SUMPRODUCT(X104:X105*H104:H105),"0")</f>
        <v>0</v>
      </c>
      <c r="Y107" s="43" t="str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23" t="s">
        <v>200</v>
      </c>
      <c r="B108" s="323"/>
      <c r="C108" s="323"/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65"/>
      <c r="AB108" s="65"/>
      <c r="AC108" s="82"/>
    </row>
    <row r="109" spans="1:68" ht="14.25" customHeight="1" x14ac:dyDescent="0.25">
      <c r="A109" s="313" t="s">
        <v>82</v>
      </c>
      <c r="B109" s="313"/>
      <c r="C109" s="313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  <c r="AA109" s="66"/>
      <c r="AB109" s="66"/>
      <c r="AC109" s="83"/>
    </row>
    <row r="110" spans="1:68" ht="27" customHeight="1" x14ac:dyDescent="0.25">
      <c r="A110" s="63" t="s">
        <v>201</v>
      </c>
      <c r="B110" s="63" t="s">
        <v>202</v>
      </c>
      <c r="C110" s="36">
        <v>4301071074</v>
      </c>
      <c r="D110" s="295">
        <v>4620207491157</v>
      </c>
      <c r="E110" s="295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7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7"/>
      <c r="R110" s="297"/>
      <c r="S110" s="297"/>
      <c r="T110" s="298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customHeight="1" x14ac:dyDescent="0.25">
      <c r="A111" s="63" t="s">
        <v>204</v>
      </c>
      <c r="B111" s="63" t="s">
        <v>205</v>
      </c>
      <c r="C111" s="36">
        <v>4301071121</v>
      </c>
      <c r="D111" s="295">
        <v>4620207491393</v>
      </c>
      <c r="E111" s="295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7"/>
      <c r="R111" s="297"/>
      <c r="S111" s="297"/>
      <c r="T111" s="298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207</v>
      </c>
      <c r="B112" s="63" t="s">
        <v>208</v>
      </c>
      <c r="C112" s="36">
        <v>4301071136</v>
      </c>
      <c r="D112" s="295">
        <v>4620207491829</v>
      </c>
      <c r="E112" s="295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7"/>
      <c r="R112" s="297"/>
      <c r="S112" s="297"/>
      <c r="T112" s="298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4301071051</v>
      </c>
      <c r="D113" s="295">
        <v>4607111039262</v>
      </c>
      <c r="E113" s="295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7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7"/>
      <c r="R113" s="297"/>
      <c r="S113" s="297"/>
      <c r="T113" s="298"/>
      <c r="U113" s="39" t="s">
        <v>46</v>
      </c>
      <c r="V113" s="39" t="s">
        <v>46</v>
      </c>
      <c r="W113" s="40" t="s">
        <v>39</v>
      </c>
      <c r="X113" s="58"/>
      <c r="Y113" s="55" t="str">
        <f t="shared" si="12"/>
        <v/>
      </c>
      <c r="Z113" s="41" t="str">
        <f t="shared" si="13"/>
        <v/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 t="str">
        <f t="shared" si="15"/>
        <v>0</v>
      </c>
      <c r="BO113" s="81">
        <f t="shared" si="16"/>
        <v>0</v>
      </c>
      <c r="BP113" s="81" t="str">
        <f t="shared" si="17"/>
        <v>0</v>
      </c>
    </row>
    <row r="114" spans="1:68" ht="27" customHeight="1" x14ac:dyDescent="0.25">
      <c r="A114" s="63" t="s">
        <v>211</v>
      </c>
      <c r="B114" s="63" t="s">
        <v>212</v>
      </c>
      <c r="C114" s="36">
        <v>4301071038</v>
      </c>
      <c r="D114" s="295">
        <v>4607111039248</v>
      </c>
      <c r="E114" s="295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7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7"/>
      <c r="R114" s="297"/>
      <c r="S114" s="297"/>
      <c r="T114" s="298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213</v>
      </c>
      <c r="B115" s="63" t="s">
        <v>214</v>
      </c>
      <c r="C115" s="36">
        <v>4301070979</v>
      </c>
      <c r="D115" s="295">
        <v>4607111037145</v>
      </c>
      <c r="E115" s="295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7"/>
      <c r="R115" s="297"/>
      <c r="S115" s="297"/>
      <c r="T115" s="298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216</v>
      </c>
      <c r="B116" s="63" t="s">
        <v>217</v>
      </c>
      <c r="C116" s="36">
        <v>4301071075</v>
      </c>
      <c r="D116" s="295">
        <v>4620207491102</v>
      </c>
      <c r="E116" s="295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7"/>
      <c r="R116" s="297"/>
      <c r="S116" s="297"/>
      <c r="T116" s="298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219</v>
      </c>
      <c r="B117" s="63" t="s">
        <v>220</v>
      </c>
      <c r="C117" s="36">
        <v>4301071049</v>
      </c>
      <c r="D117" s="295">
        <v>4607111039293</v>
      </c>
      <c r="E117" s="295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7"/>
      <c r="R117" s="297"/>
      <c r="S117" s="297"/>
      <c r="T117" s="298"/>
      <c r="U117" s="39" t="s">
        <v>46</v>
      </c>
      <c r="V117" s="39" t="s">
        <v>46</v>
      </c>
      <c r="W117" s="40" t="s">
        <v>39</v>
      </c>
      <c r="X117" s="58"/>
      <c r="Y117" s="55" t="str">
        <f t="shared" si="12"/>
        <v/>
      </c>
      <c r="Z117" s="41" t="str">
        <f t="shared" si="13"/>
        <v/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 t="str">
        <f t="shared" si="15"/>
        <v>0</v>
      </c>
      <c r="BO117" s="81">
        <f t="shared" si="16"/>
        <v>0</v>
      </c>
      <c r="BP117" s="81" t="str">
        <f t="shared" si="17"/>
        <v>0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295">
        <v>4607111039279</v>
      </c>
      <c r="E118" s="295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7"/>
      <c r="R118" s="297"/>
      <c r="S118" s="297"/>
      <c r="T118" s="298"/>
      <c r="U118" s="39" t="s">
        <v>46</v>
      </c>
      <c r="V118" s="39" t="s">
        <v>46</v>
      </c>
      <c r="W118" s="40" t="s">
        <v>39</v>
      </c>
      <c r="X118" s="58"/>
      <c r="Y118" s="55" t="str">
        <f t="shared" si="12"/>
        <v/>
      </c>
      <c r="Z118" s="41" t="str">
        <f t="shared" si="13"/>
        <v/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0</v>
      </c>
      <c r="BN118" s="81" t="str">
        <f t="shared" si="15"/>
        <v>0</v>
      </c>
      <c r="BO118" s="81">
        <f t="shared" si="16"/>
        <v>0</v>
      </c>
      <c r="BP118" s="81" t="str">
        <f t="shared" si="17"/>
        <v>0</v>
      </c>
    </row>
    <row r="119" spans="1:68" x14ac:dyDescent="0.2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3"/>
      <c r="P119" s="299" t="s">
        <v>40</v>
      </c>
      <c r="Q119" s="300"/>
      <c r="R119" s="300"/>
      <c r="S119" s="300"/>
      <c r="T119" s="300"/>
      <c r="U119" s="300"/>
      <c r="V119" s="301"/>
      <c r="W119" s="42" t="s">
        <v>39</v>
      </c>
      <c r="X119" s="43">
        <f>IFERROR(SUM(X110:X118),"0")</f>
        <v>0</v>
      </c>
      <c r="Y119" s="43">
        <f>IFERROR(SUM(Y110:Y118),"0")</f>
        <v>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3"/>
      <c r="P120" s="299" t="s">
        <v>40</v>
      </c>
      <c r="Q120" s="300"/>
      <c r="R120" s="300"/>
      <c r="S120" s="300"/>
      <c r="T120" s="300"/>
      <c r="U120" s="300"/>
      <c r="V120" s="301"/>
      <c r="W120" s="42" t="s">
        <v>0</v>
      </c>
      <c r="X120" s="43">
        <f>IFERROR(SUMPRODUCT(X110:X118*H110:H118),"0")</f>
        <v>0</v>
      </c>
      <c r="Y120" s="43" t="str">
        <f>IFERROR(SUMPRODUCT(Y110:Y118*H110:H118),"0")</f>
        <v>0</v>
      </c>
      <c r="Z120" s="42"/>
      <c r="AA120" s="67"/>
      <c r="AB120" s="67"/>
      <c r="AC120" s="67"/>
    </row>
    <row r="121" spans="1:68" ht="14.25" customHeight="1" x14ac:dyDescent="0.25">
      <c r="A121" s="313" t="s">
        <v>151</v>
      </c>
      <c r="B121" s="313"/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  <c r="T121" s="313"/>
      <c r="U121" s="313"/>
      <c r="V121" s="313"/>
      <c r="W121" s="313"/>
      <c r="X121" s="313"/>
      <c r="Y121" s="313"/>
      <c r="Z121" s="313"/>
      <c r="AA121" s="66"/>
      <c r="AB121" s="66"/>
      <c r="AC121" s="83"/>
    </row>
    <row r="122" spans="1:68" ht="27" customHeight="1" x14ac:dyDescent="0.25">
      <c r="A122" s="63" t="s">
        <v>223</v>
      </c>
      <c r="B122" s="63" t="s">
        <v>224</v>
      </c>
      <c r="C122" s="36">
        <v>4301135826</v>
      </c>
      <c r="D122" s="295">
        <v>4620207490983</v>
      </c>
      <c r="E122" s="295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7"/>
      <c r="R122" s="297"/>
      <c r="S122" s="297"/>
      <c r="T122" s="298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3"/>
      <c r="P123" s="299" t="s">
        <v>40</v>
      </c>
      <c r="Q123" s="300"/>
      <c r="R123" s="300"/>
      <c r="S123" s="300"/>
      <c r="T123" s="300"/>
      <c r="U123" s="300"/>
      <c r="V123" s="301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3"/>
      <c r="P124" s="299" t="s">
        <v>40</v>
      </c>
      <c r="Q124" s="300"/>
      <c r="R124" s="300"/>
      <c r="S124" s="300"/>
      <c r="T124" s="300"/>
      <c r="U124" s="300"/>
      <c r="V124" s="301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customHeight="1" x14ac:dyDescent="0.25">
      <c r="A125" s="313" t="s">
        <v>226</v>
      </c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  <c r="AA125" s="66"/>
      <c r="AB125" s="66"/>
      <c r="AC125" s="83"/>
    </row>
    <row r="126" spans="1:68" ht="27" customHeight="1" x14ac:dyDescent="0.25">
      <c r="A126" s="63" t="s">
        <v>227</v>
      </c>
      <c r="B126" s="63" t="s">
        <v>228</v>
      </c>
      <c r="C126" s="36">
        <v>4301071094</v>
      </c>
      <c r="D126" s="295">
        <v>4620207491140</v>
      </c>
      <c r="E126" s="295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6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7"/>
      <c r="R126" s="297"/>
      <c r="S126" s="297"/>
      <c r="T126" s="298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3"/>
      <c r="P127" s="299" t="s">
        <v>40</v>
      </c>
      <c r="Q127" s="300"/>
      <c r="R127" s="300"/>
      <c r="S127" s="300"/>
      <c r="T127" s="300"/>
      <c r="U127" s="300"/>
      <c r="V127" s="301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3"/>
      <c r="P128" s="299" t="s">
        <v>40</v>
      </c>
      <c r="Q128" s="300"/>
      <c r="R128" s="300"/>
      <c r="S128" s="300"/>
      <c r="T128" s="300"/>
      <c r="U128" s="300"/>
      <c r="V128" s="301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customHeight="1" x14ac:dyDescent="0.25">
      <c r="A129" s="323" t="s">
        <v>230</v>
      </c>
      <c r="B129" s="323"/>
      <c r="C129" s="323"/>
      <c r="D129" s="323"/>
      <c r="E129" s="323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65"/>
      <c r="AB129" s="65"/>
      <c r="AC129" s="82"/>
    </row>
    <row r="130" spans="1:68" ht="14.25" customHeight="1" x14ac:dyDescent="0.25">
      <c r="A130" s="313" t="s">
        <v>151</v>
      </c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  <c r="T130" s="313"/>
      <c r="U130" s="313"/>
      <c r="V130" s="313"/>
      <c r="W130" s="313"/>
      <c r="X130" s="313"/>
      <c r="Y130" s="313"/>
      <c r="Z130" s="313"/>
      <c r="AA130" s="66"/>
      <c r="AB130" s="66"/>
      <c r="AC130" s="83"/>
    </row>
    <row r="131" spans="1:68" ht="27" customHeight="1" x14ac:dyDescent="0.25">
      <c r="A131" s="63" t="s">
        <v>231</v>
      </c>
      <c r="B131" s="63" t="s">
        <v>232</v>
      </c>
      <c r="C131" s="36">
        <v>4301135848</v>
      </c>
      <c r="D131" s="295">
        <v>4620207491799</v>
      </c>
      <c r="E131" s="295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6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7"/>
      <c r="R131" s="297"/>
      <c r="S131" s="297"/>
      <c r="T131" s="298"/>
      <c r="U131" s="39" t="s">
        <v>46</v>
      </c>
      <c r="V131" s="39" t="s">
        <v>46</v>
      </c>
      <c r="W131" s="40" t="s">
        <v>39</v>
      </c>
      <c r="X131" s="58"/>
      <c r="Y131" s="55" t="str">
        <f>IFERROR(IF(X131="","",X131),"")</f>
        <v/>
      </c>
      <c r="Z131" s="41" t="str">
        <f>IFERROR(IF(X131="","",X131*0.00941),"")</f>
        <v/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 t="str">
        <f>IFERROR(Y131*I131,"0")</f>
        <v>0</v>
      </c>
      <c r="BO131" s="81">
        <f>IFERROR(X131/J131,"0")</f>
        <v>0</v>
      </c>
      <c r="BP131" s="81" t="str">
        <f>IFERROR(Y131/J131,"0")</f>
        <v>0</v>
      </c>
    </row>
    <row r="132" spans="1:68" ht="27" customHeight="1" x14ac:dyDescent="0.25">
      <c r="A132" s="63" t="s">
        <v>234</v>
      </c>
      <c r="B132" s="63" t="s">
        <v>235</v>
      </c>
      <c r="C132" s="36">
        <v>4301135850</v>
      </c>
      <c r="D132" s="295">
        <v>4620207491492</v>
      </c>
      <c r="E132" s="295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6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7"/>
      <c r="R132" s="297"/>
      <c r="S132" s="297"/>
      <c r="T132" s="298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236</v>
      </c>
      <c r="B133" s="63" t="s">
        <v>237</v>
      </c>
      <c r="C133" s="36">
        <v>4301190118</v>
      </c>
      <c r="D133" s="295">
        <v>4620207491461</v>
      </c>
      <c r="E133" s="295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7"/>
      <c r="R133" s="297"/>
      <c r="S133" s="297"/>
      <c r="T133" s="298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238</v>
      </c>
      <c r="B134" s="63" t="s">
        <v>239</v>
      </c>
      <c r="C134" s="36">
        <v>4301135865</v>
      </c>
      <c r="D134" s="295">
        <v>4620207491485</v>
      </c>
      <c r="E134" s="295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7"/>
      <c r="R134" s="297"/>
      <c r="S134" s="297"/>
      <c r="T134" s="298"/>
      <c r="U134" s="39" t="s">
        <v>46</v>
      </c>
      <c r="V134" s="39" t="s">
        <v>46</v>
      </c>
      <c r="W134" s="40" t="s">
        <v>39</v>
      </c>
      <c r="X134" s="58"/>
      <c r="Y134" s="55" t="str">
        <f>IFERROR(IF(X134="","",X134),"")</f>
        <v/>
      </c>
      <c r="Z134" s="41" t="str">
        <f>IFERROR(IF(X134="","",X134*0.00941),"")</f>
        <v/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0</v>
      </c>
      <c r="BN134" s="81" t="str">
        <f>IFERROR(Y134*I134,"0")</f>
        <v>0</v>
      </c>
      <c r="BO134" s="81">
        <f>IFERROR(X134/J134,"0")</f>
        <v>0</v>
      </c>
      <c r="BP134" s="81" t="str">
        <f>IFERROR(Y134/J134,"0")</f>
        <v>0</v>
      </c>
    </row>
    <row r="135" spans="1:68" x14ac:dyDescent="0.2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3"/>
      <c r="P135" s="299" t="s">
        <v>40</v>
      </c>
      <c r="Q135" s="300"/>
      <c r="R135" s="300"/>
      <c r="S135" s="300"/>
      <c r="T135" s="300"/>
      <c r="U135" s="300"/>
      <c r="V135" s="301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x14ac:dyDescent="0.2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3"/>
      <c r="P136" s="299" t="s">
        <v>40</v>
      </c>
      <c r="Q136" s="300"/>
      <c r="R136" s="300"/>
      <c r="S136" s="300"/>
      <c r="T136" s="300"/>
      <c r="U136" s="300"/>
      <c r="V136" s="301"/>
      <c r="W136" s="42" t="s">
        <v>0</v>
      </c>
      <c r="X136" s="43">
        <f>IFERROR(SUMPRODUCT(X131:X134*H131:H134),"0")</f>
        <v>0</v>
      </c>
      <c r="Y136" s="43" t="str">
        <f>IFERROR(SUMPRODUCT(Y131:Y134*H131:H134),"0")</f>
        <v>0</v>
      </c>
      <c r="Z136" s="42"/>
      <c r="AA136" s="67"/>
      <c r="AB136" s="67"/>
      <c r="AC136" s="67"/>
    </row>
    <row r="137" spans="1:68" ht="14.25" customHeight="1" x14ac:dyDescent="0.25">
      <c r="A137" s="313" t="s">
        <v>240</v>
      </c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  <c r="T137" s="313"/>
      <c r="U137" s="313"/>
      <c r="V137" s="313"/>
      <c r="W137" s="313"/>
      <c r="X137" s="313"/>
      <c r="Y137" s="313"/>
      <c r="Z137" s="313"/>
      <c r="AA137" s="66"/>
      <c r="AB137" s="66"/>
      <c r="AC137" s="83"/>
    </row>
    <row r="138" spans="1:68" ht="27" customHeight="1" x14ac:dyDescent="0.25">
      <c r="A138" s="63" t="s">
        <v>241</v>
      </c>
      <c r="B138" s="63" t="s">
        <v>242</v>
      </c>
      <c r="C138" s="36">
        <v>4301190117</v>
      </c>
      <c r="D138" s="295">
        <v>4620207491386</v>
      </c>
      <c r="E138" s="295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7"/>
      <c r="R138" s="297"/>
      <c r="S138" s="297"/>
      <c r="T138" s="298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244</v>
      </c>
      <c r="B139" s="63" t="s">
        <v>245</v>
      </c>
      <c r="C139" s="36">
        <v>4301190115</v>
      </c>
      <c r="D139" s="295">
        <v>4620207491362</v>
      </c>
      <c r="E139" s="295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7"/>
      <c r="R139" s="297"/>
      <c r="S139" s="297"/>
      <c r="T139" s="298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246</v>
      </c>
      <c r="B140" s="63" t="s">
        <v>247</v>
      </c>
      <c r="C140" s="36">
        <v>4301190116</v>
      </c>
      <c r="D140" s="295">
        <v>4620207491379</v>
      </c>
      <c r="E140" s="295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7"/>
      <c r="R140" s="297"/>
      <c r="S140" s="297"/>
      <c r="T140" s="298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3"/>
      <c r="P141" s="299" t="s">
        <v>40</v>
      </c>
      <c r="Q141" s="300"/>
      <c r="R141" s="300"/>
      <c r="S141" s="300"/>
      <c r="T141" s="300"/>
      <c r="U141" s="300"/>
      <c r="V141" s="301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x14ac:dyDescent="0.2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3"/>
      <c r="P142" s="299" t="s">
        <v>40</v>
      </c>
      <c r="Q142" s="300"/>
      <c r="R142" s="300"/>
      <c r="S142" s="300"/>
      <c r="T142" s="300"/>
      <c r="U142" s="300"/>
      <c r="V142" s="301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customHeight="1" x14ac:dyDescent="0.25">
      <c r="A143" s="323" t="s">
        <v>248</v>
      </c>
      <c r="B143" s="323"/>
      <c r="C143" s="323"/>
      <c r="D143" s="323"/>
      <c r="E143" s="323"/>
      <c r="F143" s="323"/>
      <c r="G143" s="323"/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65"/>
      <c r="AB143" s="65"/>
      <c r="AC143" s="82"/>
    </row>
    <row r="144" spans="1:68" ht="14.25" customHeight="1" x14ac:dyDescent="0.25">
      <c r="A144" s="313" t="s">
        <v>151</v>
      </c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  <c r="T144" s="313"/>
      <c r="U144" s="313"/>
      <c r="V144" s="313"/>
      <c r="W144" s="313"/>
      <c r="X144" s="313"/>
      <c r="Y144" s="313"/>
      <c r="Z144" s="313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295">
        <v>4607111034014</v>
      </c>
      <c r="E145" s="295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5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7"/>
      <c r="R145" s="297"/>
      <c r="S145" s="297"/>
      <c r="T145" s="298"/>
      <c r="U145" s="39" t="s">
        <v>46</v>
      </c>
      <c r="V145" s="39" t="s">
        <v>46</v>
      </c>
      <c r="W145" s="40" t="s">
        <v>39</v>
      </c>
      <c r="X145" s="58"/>
      <c r="Y145" s="55" t="str">
        <f>IFERROR(IF(X145="","",X145),"")</f>
        <v/>
      </c>
      <c r="Z145" s="41" t="str">
        <f>IFERROR(IF(X145="","",X145*0.01788),"")</f>
        <v/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0</v>
      </c>
      <c r="BN145" s="81" t="str">
        <f>IFERROR(Y145*I145,"0")</f>
        <v>0</v>
      </c>
      <c r="BO145" s="81">
        <f>IFERROR(X145/J145,"0")</f>
        <v>0</v>
      </c>
      <c r="BP145" s="81" t="str">
        <f>IFERROR(Y145/J145,"0")</f>
        <v>0</v>
      </c>
    </row>
    <row r="146" spans="1:68" ht="27" customHeight="1" x14ac:dyDescent="0.25">
      <c r="A146" s="63" t="s">
        <v>252</v>
      </c>
      <c r="B146" s="63" t="s">
        <v>253</v>
      </c>
      <c r="C146" s="36">
        <v>4301135532</v>
      </c>
      <c r="D146" s="295">
        <v>4607111033994</v>
      </c>
      <c r="E146" s="295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3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97"/>
      <c r="R146" s="297"/>
      <c r="S146" s="297"/>
      <c r="T146" s="298"/>
      <c r="U146" s="39" t="s">
        <v>46</v>
      </c>
      <c r="V146" s="39" t="s">
        <v>46</v>
      </c>
      <c r="W146" s="40" t="s">
        <v>39</v>
      </c>
      <c r="X146" s="58"/>
      <c r="Y146" s="55" t="str">
        <f>IFERROR(IF(X146="","",X146),"")</f>
        <v/>
      </c>
      <c r="Z146" s="41" t="str">
        <f>IFERROR(IF(X146="","",X146*0.01788),"")</f>
        <v/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0</v>
      </c>
      <c r="BN146" s="81" t="str">
        <f>IFERROR(Y146*I146,"0")</f>
        <v>0</v>
      </c>
      <c r="BO146" s="81">
        <f>IFERROR(X146/J146,"0")</f>
        <v>0</v>
      </c>
      <c r="BP146" s="81" t="str">
        <f>IFERROR(Y146/J146,"0")</f>
        <v>0</v>
      </c>
    </row>
    <row r="147" spans="1:68" x14ac:dyDescent="0.2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3"/>
      <c r="P147" s="299" t="s">
        <v>40</v>
      </c>
      <c r="Q147" s="300"/>
      <c r="R147" s="300"/>
      <c r="S147" s="300"/>
      <c r="T147" s="300"/>
      <c r="U147" s="300"/>
      <c r="V147" s="301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3"/>
      <c r="P148" s="299" t="s">
        <v>40</v>
      </c>
      <c r="Q148" s="300"/>
      <c r="R148" s="300"/>
      <c r="S148" s="300"/>
      <c r="T148" s="300"/>
      <c r="U148" s="300"/>
      <c r="V148" s="301"/>
      <c r="W148" s="42" t="s">
        <v>0</v>
      </c>
      <c r="X148" s="43">
        <f>IFERROR(SUMPRODUCT(X145:X146*H145:H146),"0")</f>
        <v>0</v>
      </c>
      <c r="Y148" s="43" t="str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23" t="s">
        <v>254</v>
      </c>
      <c r="B149" s="323"/>
      <c r="C149" s="323"/>
      <c r="D149" s="323"/>
      <c r="E149" s="323"/>
      <c r="F149" s="323"/>
      <c r="G149" s="323"/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65"/>
      <c r="AB149" s="65"/>
      <c r="AC149" s="82"/>
    </row>
    <row r="150" spans="1:68" ht="14.25" customHeight="1" x14ac:dyDescent="0.25">
      <c r="A150" s="313" t="s">
        <v>151</v>
      </c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  <c r="T150" s="313"/>
      <c r="U150" s="313"/>
      <c r="V150" s="313"/>
      <c r="W150" s="313"/>
      <c r="X150" s="313"/>
      <c r="Y150" s="313"/>
      <c r="Z150" s="313"/>
      <c r="AA150" s="66"/>
      <c r="AB150" s="66"/>
      <c r="AC150" s="83"/>
    </row>
    <row r="151" spans="1:68" ht="27" customHeight="1" x14ac:dyDescent="0.25">
      <c r="A151" s="63" t="s">
        <v>255</v>
      </c>
      <c r="B151" s="63" t="s">
        <v>256</v>
      </c>
      <c r="C151" s="36">
        <v>4301135824</v>
      </c>
      <c r="D151" s="295">
        <v>4607111039095</v>
      </c>
      <c r="E151" s="295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5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7"/>
      <c r="R151" s="297"/>
      <c r="S151" s="297"/>
      <c r="T151" s="298"/>
      <c r="U151" s="39" t="s">
        <v>46</v>
      </c>
      <c r="V151" s="39" t="s">
        <v>46</v>
      </c>
      <c r="W151" s="40" t="s">
        <v>39</v>
      </c>
      <c r="X151" s="58">
        <v>117</v>
      </c>
      <c r="Y151" s="55">
        <f>IFERROR(IF(X151="","",X151),"")</f>
        <v>117</v>
      </c>
      <c r="Z151" s="41">
        <f>IFERROR(IF(X151="","",X151*0.01788),"")</f>
        <v>2.0919599999999998</v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438.51600000000002</v>
      </c>
      <c r="BN151" s="81">
        <f>IFERROR(Y151*I151,"0")</f>
        <v>438.51600000000002</v>
      </c>
      <c r="BO151" s="81">
        <f>IFERROR(X151/J151,"0")</f>
        <v>1.6714285714285715</v>
      </c>
      <c r="BP151" s="81">
        <f>IFERROR(Y151/J151,"0")</f>
        <v>1.6714285714285715</v>
      </c>
    </row>
    <row r="152" spans="1:68" ht="16.5" customHeight="1" x14ac:dyDescent="0.25">
      <c r="A152" s="63" t="s">
        <v>258</v>
      </c>
      <c r="B152" s="63" t="s">
        <v>259</v>
      </c>
      <c r="C152" s="36">
        <v>4301135946</v>
      </c>
      <c r="D152" s="295">
        <v>4620207491553</v>
      </c>
      <c r="E152" s="295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5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7"/>
      <c r="R152" s="297"/>
      <c r="S152" s="297"/>
      <c r="T152" s="298"/>
      <c r="U152" s="39" t="s">
        <v>46</v>
      </c>
      <c r="V152" s="39" t="s">
        <v>46</v>
      </c>
      <c r="W152" s="40" t="s">
        <v>39</v>
      </c>
      <c r="X152" s="58">
        <v>150</v>
      </c>
      <c r="Y152" s="55">
        <f>IFERROR(IF(X152="","",X152),"")</f>
        <v>150</v>
      </c>
      <c r="Z152" s="41">
        <f>IFERROR(IF(X152="","",X152*0.01788),"")</f>
        <v>2.6819999999999999</v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555.54</v>
      </c>
      <c r="BN152" s="81">
        <f>IFERROR(Y152*I152,"0")</f>
        <v>555.54</v>
      </c>
      <c r="BO152" s="81">
        <f>IFERROR(X152/J152,"0")</f>
        <v>2.1428571428571428</v>
      </c>
      <c r="BP152" s="81">
        <f>IFERROR(Y152/J152,"0")</f>
        <v>2.1428571428571428</v>
      </c>
    </row>
    <row r="153" spans="1:68" x14ac:dyDescent="0.2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3"/>
      <c r="P153" s="299" t="s">
        <v>40</v>
      </c>
      <c r="Q153" s="300"/>
      <c r="R153" s="300"/>
      <c r="S153" s="300"/>
      <c r="T153" s="300"/>
      <c r="U153" s="300"/>
      <c r="V153" s="301"/>
      <c r="W153" s="42" t="s">
        <v>39</v>
      </c>
      <c r="X153" s="43">
        <f>IFERROR(SUM(X151:X152),"0")</f>
        <v>267</v>
      </c>
      <c r="Y153" s="43">
        <f>IFERROR(SUM(Y151:Y152),"0")</f>
        <v>267</v>
      </c>
      <c r="Z153" s="43">
        <f>IFERROR(IF(Z151="",0,Z151),"0")+IFERROR(IF(Z152="",0,Z152),"0")</f>
        <v>4.7739599999999998</v>
      </c>
      <c r="AA153" s="67"/>
      <c r="AB153" s="67"/>
      <c r="AC153" s="67"/>
    </row>
    <row r="154" spans="1:68" x14ac:dyDescent="0.2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3"/>
      <c r="P154" s="299" t="s">
        <v>40</v>
      </c>
      <c r="Q154" s="300"/>
      <c r="R154" s="300"/>
      <c r="S154" s="300"/>
      <c r="T154" s="300"/>
      <c r="U154" s="300"/>
      <c r="V154" s="301"/>
      <c r="W154" s="42" t="s">
        <v>0</v>
      </c>
      <c r="X154" s="43">
        <f>IFERROR(SUMPRODUCT(X151:X152*H151:H152),"0")</f>
        <v>801</v>
      </c>
      <c r="Y154" s="43">
        <f>IFERROR(SUMPRODUCT(Y151:Y152*H151:H152),"0")</f>
        <v>801</v>
      </c>
      <c r="Z154" s="42"/>
      <c r="AA154" s="67"/>
      <c r="AB154" s="67"/>
      <c r="AC154" s="67"/>
    </row>
    <row r="155" spans="1:68" ht="16.5" customHeight="1" x14ac:dyDescent="0.25">
      <c r="A155" s="323" t="s">
        <v>261</v>
      </c>
      <c r="B155" s="323"/>
      <c r="C155" s="323"/>
      <c r="D155" s="323"/>
      <c r="E155" s="323"/>
      <c r="F155" s="323"/>
      <c r="G155" s="323"/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65"/>
      <c r="AB155" s="65"/>
      <c r="AC155" s="82"/>
    </row>
    <row r="156" spans="1:68" ht="14.25" customHeight="1" x14ac:dyDescent="0.25">
      <c r="A156" s="313" t="s">
        <v>151</v>
      </c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  <c r="T156" s="313"/>
      <c r="U156" s="313"/>
      <c r="V156" s="313"/>
      <c r="W156" s="313"/>
      <c r="X156" s="313"/>
      <c r="Y156" s="313"/>
      <c r="Z156" s="313"/>
      <c r="AA156" s="66"/>
      <c r="AB156" s="66"/>
      <c r="AC156" s="83"/>
    </row>
    <row r="157" spans="1:68" ht="27" customHeight="1" x14ac:dyDescent="0.25">
      <c r="A157" s="63" t="s">
        <v>262</v>
      </c>
      <c r="B157" s="63" t="s">
        <v>263</v>
      </c>
      <c r="C157" s="36">
        <v>4301135753</v>
      </c>
      <c r="D157" s="295">
        <v>4620207490914</v>
      </c>
      <c r="E157" s="295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35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7"/>
      <c r="R157" s="297"/>
      <c r="S157" s="297"/>
      <c r="T157" s="298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customHeight="1" x14ac:dyDescent="0.25">
      <c r="A158" s="63" t="s">
        <v>264</v>
      </c>
      <c r="B158" s="63" t="s">
        <v>265</v>
      </c>
      <c r="C158" s="36">
        <v>4301135778</v>
      </c>
      <c r="D158" s="295">
        <v>4620207490853</v>
      </c>
      <c r="E158" s="295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7"/>
      <c r="R158" s="297"/>
      <c r="S158" s="297"/>
      <c r="T158" s="298"/>
      <c r="U158" s="39" t="s">
        <v>46</v>
      </c>
      <c r="V158" s="39" t="s">
        <v>46</v>
      </c>
      <c r="W158" s="40" t="s">
        <v>39</v>
      </c>
      <c r="X158" s="58">
        <v>42</v>
      </c>
      <c r="Y158" s="55">
        <f>IFERROR(IF(X158="","",X158),"")</f>
        <v>42</v>
      </c>
      <c r="Z158" s="41">
        <f>IFERROR(IF(X158="","",X158*0.01788),"")</f>
        <v>0.75095999999999996</v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112.56</v>
      </c>
      <c r="BN158" s="81">
        <f>IFERROR(Y158*I158,"0")</f>
        <v>112.56</v>
      </c>
      <c r="BO158" s="81">
        <f>IFERROR(X158/J158,"0")</f>
        <v>0.6</v>
      </c>
      <c r="BP158" s="81">
        <f>IFERROR(Y158/J158,"0")</f>
        <v>0.6</v>
      </c>
    </row>
    <row r="159" spans="1:68" x14ac:dyDescent="0.2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3"/>
      <c r="P159" s="299" t="s">
        <v>40</v>
      </c>
      <c r="Q159" s="300"/>
      <c r="R159" s="300"/>
      <c r="S159" s="300"/>
      <c r="T159" s="300"/>
      <c r="U159" s="300"/>
      <c r="V159" s="301"/>
      <c r="W159" s="42" t="s">
        <v>39</v>
      </c>
      <c r="X159" s="43">
        <f>IFERROR(SUM(X157:X158),"0")</f>
        <v>42</v>
      </c>
      <c r="Y159" s="43">
        <f>IFERROR(SUM(Y157:Y158),"0")</f>
        <v>42</v>
      </c>
      <c r="Z159" s="43">
        <f>IFERROR(IF(Z157="",0,Z157),"0")+IFERROR(IF(Z158="",0,Z158),"0")</f>
        <v>0.75095999999999996</v>
      </c>
      <c r="AA159" s="67"/>
      <c r="AB159" s="67"/>
      <c r="AC159" s="67"/>
    </row>
    <row r="160" spans="1:68" x14ac:dyDescent="0.2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3"/>
      <c r="P160" s="299" t="s">
        <v>40</v>
      </c>
      <c r="Q160" s="300"/>
      <c r="R160" s="300"/>
      <c r="S160" s="300"/>
      <c r="T160" s="300"/>
      <c r="U160" s="300"/>
      <c r="V160" s="301"/>
      <c r="W160" s="42" t="s">
        <v>0</v>
      </c>
      <c r="X160" s="43">
        <f>IFERROR(SUMPRODUCT(X157:X158*H157:H158),"0")</f>
        <v>100.8</v>
      </c>
      <c r="Y160" s="43">
        <f>IFERROR(SUMPRODUCT(Y157:Y158*H157:H158),"0")</f>
        <v>100.8</v>
      </c>
      <c r="Z160" s="42"/>
      <c r="AA160" s="67"/>
      <c r="AB160" s="67"/>
      <c r="AC160" s="67"/>
    </row>
    <row r="161" spans="1:68" ht="16.5" customHeight="1" x14ac:dyDescent="0.25">
      <c r="A161" s="323" t="s">
        <v>266</v>
      </c>
      <c r="B161" s="323"/>
      <c r="C161" s="323"/>
      <c r="D161" s="323"/>
      <c r="E161" s="323"/>
      <c r="F161" s="323"/>
      <c r="G161" s="323"/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65"/>
      <c r="AB161" s="65"/>
      <c r="AC161" s="82"/>
    </row>
    <row r="162" spans="1:68" ht="14.25" customHeight="1" x14ac:dyDescent="0.25">
      <c r="A162" s="313" t="s">
        <v>151</v>
      </c>
      <c r="B162" s="313"/>
      <c r="C162" s="313"/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  <c r="T162" s="313"/>
      <c r="U162" s="313"/>
      <c r="V162" s="313"/>
      <c r="W162" s="313"/>
      <c r="X162" s="313"/>
      <c r="Y162" s="313"/>
      <c r="Z162" s="313"/>
      <c r="AA162" s="66"/>
      <c r="AB162" s="66"/>
      <c r="AC162" s="83"/>
    </row>
    <row r="163" spans="1:68" ht="27" customHeight="1" x14ac:dyDescent="0.25">
      <c r="A163" s="63" t="s">
        <v>267</v>
      </c>
      <c r="B163" s="63" t="s">
        <v>268</v>
      </c>
      <c r="C163" s="36">
        <v>4301135940</v>
      </c>
      <c r="D163" s="295">
        <v>4620207491614</v>
      </c>
      <c r="E163" s="295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34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7"/>
      <c r="R163" s="297"/>
      <c r="S163" s="297"/>
      <c r="T163" s="298"/>
      <c r="U163" s="39" t="s">
        <v>46</v>
      </c>
      <c r="V163" s="39" t="s">
        <v>46</v>
      </c>
      <c r="W163" s="40" t="s">
        <v>39</v>
      </c>
      <c r="X163" s="58">
        <v>25</v>
      </c>
      <c r="Y163" s="55">
        <f>IFERROR(IF(X163="","",X163),"")</f>
        <v>25</v>
      </c>
      <c r="Z163" s="41">
        <f>IFERROR(IF(X163="","",X163*0.01788),"")</f>
        <v>0.44700000000000001</v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92.589999999999989</v>
      </c>
      <c r="BN163" s="81">
        <f>IFERROR(Y163*I163,"0")</f>
        <v>92.589999999999989</v>
      </c>
      <c r="BO163" s="81">
        <f>IFERROR(X163/J163,"0")</f>
        <v>0.35714285714285715</v>
      </c>
      <c r="BP163" s="81">
        <f>IFERROR(Y163/J163,"0")</f>
        <v>0.35714285714285715</v>
      </c>
    </row>
    <row r="164" spans="1:68" x14ac:dyDescent="0.2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3"/>
      <c r="P164" s="299" t="s">
        <v>40</v>
      </c>
      <c r="Q164" s="300"/>
      <c r="R164" s="300"/>
      <c r="S164" s="300"/>
      <c r="T164" s="300"/>
      <c r="U164" s="300"/>
      <c r="V164" s="301"/>
      <c r="W164" s="42" t="s">
        <v>39</v>
      </c>
      <c r="X164" s="43">
        <f>IFERROR(SUM(X163:X163),"0")</f>
        <v>25</v>
      </c>
      <c r="Y164" s="43">
        <f>IFERROR(SUM(Y163:Y163),"0")</f>
        <v>25</v>
      </c>
      <c r="Z164" s="43">
        <f>IFERROR(IF(Z163="",0,Z163),"0")</f>
        <v>0.44700000000000001</v>
      </c>
      <c r="AA164" s="67"/>
      <c r="AB164" s="67"/>
      <c r="AC164" s="67"/>
    </row>
    <row r="165" spans="1:68" x14ac:dyDescent="0.2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3"/>
      <c r="P165" s="299" t="s">
        <v>40</v>
      </c>
      <c r="Q165" s="300"/>
      <c r="R165" s="300"/>
      <c r="S165" s="300"/>
      <c r="T165" s="300"/>
      <c r="U165" s="300"/>
      <c r="V165" s="301"/>
      <c r="W165" s="42" t="s">
        <v>0</v>
      </c>
      <c r="X165" s="43">
        <f>IFERROR(SUMPRODUCT(X163:X163*H163:H163),"0")</f>
        <v>75</v>
      </c>
      <c r="Y165" s="43">
        <f>IFERROR(SUMPRODUCT(Y163:Y163*H163:H163),"0")</f>
        <v>75</v>
      </c>
      <c r="Z165" s="42"/>
      <c r="AA165" s="67"/>
      <c r="AB165" s="67"/>
      <c r="AC165" s="67"/>
    </row>
    <row r="166" spans="1:68" ht="16.5" customHeight="1" x14ac:dyDescent="0.25">
      <c r="A166" s="323" t="s">
        <v>270</v>
      </c>
      <c r="B166" s="323"/>
      <c r="C166" s="323"/>
      <c r="D166" s="323"/>
      <c r="E166" s="323"/>
      <c r="F166" s="323"/>
      <c r="G166" s="323"/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65"/>
      <c r="AB166" s="65"/>
      <c r="AC166" s="82"/>
    </row>
    <row r="167" spans="1:68" ht="14.25" customHeight="1" x14ac:dyDescent="0.25">
      <c r="A167" s="313" t="s">
        <v>151</v>
      </c>
      <c r="B167" s="313"/>
      <c r="C167" s="313"/>
      <c r="D167" s="313"/>
      <c r="E167" s="313"/>
      <c r="F167" s="313"/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  <c r="T167" s="313"/>
      <c r="U167" s="313"/>
      <c r="V167" s="313"/>
      <c r="W167" s="313"/>
      <c r="X167" s="313"/>
      <c r="Y167" s="313"/>
      <c r="Z167" s="313"/>
      <c r="AA167" s="66"/>
      <c r="AB167" s="66"/>
      <c r="AC167" s="83"/>
    </row>
    <row r="168" spans="1:68" ht="16.5" customHeight="1" x14ac:dyDescent="0.25">
      <c r="A168" s="63" t="s">
        <v>271</v>
      </c>
      <c r="B168" s="63" t="s">
        <v>272</v>
      </c>
      <c r="C168" s="36">
        <v>4301135607</v>
      </c>
      <c r="D168" s="295">
        <v>4607111039613</v>
      </c>
      <c r="E168" s="295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7"/>
      <c r="R168" s="297"/>
      <c r="S168" s="297"/>
      <c r="T168" s="298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x14ac:dyDescent="0.2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3"/>
      <c r="P169" s="299" t="s">
        <v>40</v>
      </c>
      <c r="Q169" s="300"/>
      <c r="R169" s="300"/>
      <c r="S169" s="300"/>
      <c r="T169" s="300"/>
      <c r="U169" s="300"/>
      <c r="V169" s="301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3"/>
      <c r="P170" s="299" t="s">
        <v>40</v>
      </c>
      <c r="Q170" s="300"/>
      <c r="R170" s="300"/>
      <c r="S170" s="300"/>
      <c r="T170" s="300"/>
      <c r="U170" s="300"/>
      <c r="V170" s="301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customHeight="1" x14ac:dyDescent="0.25">
      <c r="A171" s="323" t="s">
        <v>273</v>
      </c>
      <c r="B171" s="323"/>
      <c r="C171" s="323"/>
      <c r="D171" s="323"/>
      <c r="E171" s="323"/>
      <c r="F171" s="323"/>
      <c r="G171" s="323"/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65"/>
      <c r="AB171" s="65"/>
      <c r="AC171" s="82"/>
    </row>
    <row r="172" spans="1:68" ht="14.25" customHeight="1" x14ac:dyDescent="0.25">
      <c r="A172" s="313" t="s">
        <v>151</v>
      </c>
      <c r="B172" s="313"/>
      <c r="C172" s="313"/>
      <c r="D172" s="313"/>
      <c r="E172" s="313"/>
      <c r="F172" s="313"/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  <c r="T172" s="313"/>
      <c r="U172" s="313"/>
      <c r="V172" s="313"/>
      <c r="W172" s="313"/>
      <c r="X172" s="313"/>
      <c r="Y172" s="313"/>
      <c r="Z172" s="313"/>
      <c r="AA172" s="66"/>
      <c r="AB172" s="66"/>
      <c r="AC172" s="83"/>
    </row>
    <row r="173" spans="1:68" ht="27" customHeight="1" x14ac:dyDescent="0.25">
      <c r="A173" s="63" t="s">
        <v>274</v>
      </c>
      <c r="B173" s="63" t="s">
        <v>275</v>
      </c>
      <c r="C173" s="36">
        <v>4301135591</v>
      </c>
      <c r="D173" s="295">
        <v>4607111036568</v>
      </c>
      <c r="E173" s="295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7"/>
      <c r="R173" s="297"/>
      <c r="S173" s="297"/>
      <c r="T173" s="298"/>
      <c r="U173" s="39" t="s">
        <v>46</v>
      </c>
      <c r="V173" s="39" t="s">
        <v>46</v>
      </c>
      <c r="W173" s="40" t="s">
        <v>39</v>
      </c>
      <c r="X173" s="58">
        <v>80</v>
      </c>
      <c r="Y173" s="55">
        <f>IFERROR(IF(X173="","",X173),"")</f>
        <v>80</v>
      </c>
      <c r="Z173" s="41">
        <f>IFERROR(IF(X173="","",X173*0.00941),"")</f>
        <v>0.75280000000000002</v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168.14400000000001</v>
      </c>
      <c r="BN173" s="81">
        <f>IFERROR(Y173*I173,"0")</f>
        <v>168.14400000000001</v>
      </c>
      <c r="BO173" s="81">
        <f>IFERROR(X173/J173,"0")</f>
        <v>0.5714285714285714</v>
      </c>
      <c r="BP173" s="81">
        <f>IFERROR(Y173/J173,"0")</f>
        <v>0.5714285714285714</v>
      </c>
    </row>
    <row r="174" spans="1:68" x14ac:dyDescent="0.2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3"/>
      <c r="P174" s="299" t="s">
        <v>40</v>
      </c>
      <c r="Q174" s="300"/>
      <c r="R174" s="300"/>
      <c r="S174" s="300"/>
      <c r="T174" s="300"/>
      <c r="U174" s="300"/>
      <c r="V174" s="301"/>
      <c r="W174" s="42" t="s">
        <v>39</v>
      </c>
      <c r="X174" s="43">
        <f>IFERROR(SUM(X173:X173),"0")</f>
        <v>80</v>
      </c>
      <c r="Y174" s="43">
        <f>IFERROR(SUM(Y173:Y173),"0")</f>
        <v>80</v>
      </c>
      <c r="Z174" s="43">
        <f>IFERROR(IF(Z173="",0,Z173),"0")</f>
        <v>0.75280000000000002</v>
      </c>
      <c r="AA174" s="67"/>
      <c r="AB174" s="67"/>
      <c r="AC174" s="67"/>
    </row>
    <row r="175" spans="1:68" x14ac:dyDescent="0.2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3"/>
      <c r="P175" s="299" t="s">
        <v>40</v>
      </c>
      <c r="Q175" s="300"/>
      <c r="R175" s="300"/>
      <c r="S175" s="300"/>
      <c r="T175" s="300"/>
      <c r="U175" s="300"/>
      <c r="V175" s="301"/>
      <c r="W175" s="42" t="s">
        <v>0</v>
      </c>
      <c r="X175" s="43">
        <f>IFERROR(SUMPRODUCT(X173:X173*H173:H173),"0")</f>
        <v>134.4</v>
      </c>
      <c r="Y175" s="43">
        <f>IFERROR(SUMPRODUCT(Y173:Y173*H173:H173),"0")</f>
        <v>134.4</v>
      </c>
      <c r="Z175" s="42"/>
      <c r="AA175" s="67"/>
      <c r="AB175" s="67"/>
      <c r="AC175" s="67"/>
    </row>
    <row r="176" spans="1:68" ht="27.75" customHeight="1" x14ac:dyDescent="0.2">
      <c r="A176" s="322" t="s">
        <v>277</v>
      </c>
      <c r="B176" s="322"/>
      <c r="C176" s="322"/>
      <c r="D176" s="322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  <c r="AA176" s="54"/>
      <c r="AB176" s="54"/>
      <c r="AC176" s="54"/>
    </row>
    <row r="177" spans="1:68" ht="16.5" customHeight="1" x14ac:dyDescent="0.25">
      <c r="A177" s="323" t="s">
        <v>278</v>
      </c>
      <c r="B177" s="323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65"/>
      <c r="AB177" s="65"/>
      <c r="AC177" s="82"/>
    </row>
    <row r="178" spans="1:68" ht="14.25" customHeight="1" x14ac:dyDescent="0.25">
      <c r="A178" s="313" t="s">
        <v>82</v>
      </c>
      <c r="B178" s="313"/>
      <c r="C178" s="313"/>
      <c r="D178" s="313"/>
      <c r="E178" s="313"/>
      <c r="F178" s="313"/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  <c r="T178" s="313"/>
      <c r="U178" s="313"/>
      <c r="V178" s="313"/>
      <c r="W178" s="313"/>
      <c r="X178" s="313"/>
      <c r="Y178" s="313"/>
      <c r="Z178" s="313"/>
      <c r="AA178" s="66"/>
      <c r="AB178" s="66"/>
      <c r="AC178" s="83"/>
    </row>
    <row r="179" spans="1:68" ht="16.5" customHeight="1" x14ac:dyDescent="0.25">
      <c r="A179" s="63" t="s">
        <v>279</v>
      </c>
      <c r="B179" s="63" t="s">
        <v>280</v>
      </c>
      <c r="C179" s="36">
        <v>4301071062</v>
      </c>
      <c r="D179" s="295">
        <v>4607111036384</v>
      </c>
      <c r="E179" s="295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3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7"/>
      <c r="R179" s="297"/>
      <c r="S179" s="297"/>
      <c r="T179" s="298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282</v>
      </c>
      <c r="B180" s="63" t="s">
        <v>283</v>
      </c>
      <c r="C180" s="36">
        <v>4301071050</v>
      </c>
      <c r="D180" s="295">
        <v>4607111036216</v>
      </c>
      <c r="E180" s="295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7"/>
      <c r="R180" s="297"/>
      <c r="S180" s="297"/>
      <c r="T180" s="298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3"/>
      <c r="P181" s="299" t="s">
        <v>40</v>
      </c>
      <c r="Q181" s="300"/>
      <c r="R181" s="300"/>
      <c r="S181" s="300"/>
      <c r="T181" s="300"/>
      <c r="U181" s="300"/>
      <c r="V181" s="301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x14ac:dyDescent="0.2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3"/>
      <c r="P182" s="299" t="s">
        <v>40</v>
      </c>
      <c r="Q182" s="300"/>
      <c r="R182" s="300"/>
      <c r="S182" s="300"/>
      <c r="T182" s="300"/>
      <c r="U182" s="300"/>
      <c r="V182" s="301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customHeight="1" x14ac:dyDescent="0.25">
      <c r="A183" s="323" t="s">
        <v>285</v>
      </c>
      <c r="B183" s="323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65"/>
      <c r="AB183" s="65"/>
      <c r="AC183" s="82"/>
    </row>
    <row r="184" spans="1:68" ht="14.25" customHeight="1" x14ac:dyDescent="0.25">
      <c r="A184" s="313" t="s">
        <v>82</v>
      </c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  <c r="T184" s="313"/>
      <c r="U184" s="313"/>
      <c r="V184" s="313"/>
      <c r="W184" s="313"/>
      <c r="X184" s="313"/>
      <c r="Y184" s="313"/>
      <c r="Z184" s="313"/>
      <c r="AA184" s="66"/>
      <c r="AB184" s="66"/>
      <c r="AC184" s="83"/>
    </row>
    <row r="185" spans="1:68" ht="27" customHeight="1" x14ac:dyDescent="0.25">
      <c r="A185" s="63" t="s">
        <v>286</v>
      </c>
      <c r="B185" s="63" t="s">
        <v>287</v>
      </c>
      <c r="C185" s="36">
        <v>4301071117</v>
      </c>
      <c r="D185" s="295">
        <v>4620207491737</v>
      </c>
      <c r="E185" s="295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4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7"/>
      <c r="R185" s="297"/>
      <c r="S185" s="297"/>
      <c r="T185" s="298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3"/>
      <c r="P186" s="299" t="s">
        <v>40</v>
      </c>
      <c r="Q186" s="300"/>
      <c r="R186" s="300"/>
      <c r="S186" s="300"/>
      <c r="T186" s="300"/>
      <c r="U186" s="300"/>
      <c r="V186" s="301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3"/>
      <c r="P187" s="299" t="s">
        <v>40</v>
      </c>
      <c r="Q187" s="300"/>
      <c r="R187" s="300"/>
      <c r="S187" s="300"/>
      <c r="T187" s="300"/>
      <c r="U187" s="300"/>
      <c r="V187" s="301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22" t="s">
        <v>288</v>
      </c>
      <c r="B188" s="322"/>
      <c r="C188" s="322"/>
      <c r="D188" s="322"/>
      <c r="E188" s="322"/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54"/>
      <c r="AB188" s="54"/>
      <c r="AC188" s="54"/>
    </row>
    <row r="189" spans="1:68" ht="16.5" customHeight="1" x14ac:dyDescent="0.25">
      <c r="A189" s="323" t="s">
        <v>289</v>
      </c>
      <c r="B189" s="323"/>
      <c r="C189" s="323"/>
      <c r="D189" s="323"/>
      <c r="E189" s="323"/>
      <c r="F189" s="323"/>
      <c r="G189" s="323"/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65"/>
      <c r="AB189" s="65"/>
      <c r="AC189" s="82"/>
    </row>
    <row r="190" spans="1:68" ht="14.25" customHeight="1" x14ac:dyDescent="0.25">
      <c r="A190" s="313" t="s">
        <v>113</v>
      </c>
      <c r="B190" s="313"/>
      <c r="C190" s="313"/>
      <c r="D190" s="313"/>
      <c r="E190" s="313"/>
      <c r="F190" s="313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  <c r="T190" s="313"/>
      <c r="U190" s="313"/>
      <c r="V190" s="313"/>
      <c r="W190" s="313"/>
      <c r="X190" s="313"/>
      <c r="Y190" s="313"/>
      <c r="Z190" s="313"/>
      <c r="AA190" s="66"/>
      <c r="AB190" s="66"/>
      <c r="AC190" s="83"/>
    </row>
    <row r="191" spans="1:68" ht="16.5" customHeight="1" x14ac:dyDescent="0.25">
      <c r="A191" s="63" t="s">
        <v>290</v>
      </c>
      <c r="B191" s="63" t="s">
        <v>291</v>
      </c>
      <c r="C191" s="36">
        <v>4301132179</v>
      </c>
      <c r="D191" s="295">
        <v>4607111035691</v>
      </c>
      <c r="E191" s="295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7"/>
      <c r="R191" s="297"/>
      <c r="S191" s="297"/>
      <c r="T191" s="298"/>
      <c r="U191" s="39" t="s">
        <v>46</v>
      </c>
      <c r="V191" s="39" t="s">
        <v>46</v>
      </c>
      <c r="W191" s="40" t="s">
        <v>39</v>
      </c>
      <c r="X191" s="58">
        <v>182</v>
      </c>
      <c r="Y191" s="55">
        <f>IFERROR(IF(X191="","",X191),"")</f>
        <v>182</v>
      </c>
      <c r="Z191" s="41">
        <f>IFERROR(IF(X191="","",X191*0.01788),"")</f>
        <v>3.2541600000000002</v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616.61599999999999</v>
      </c>
      <c r="BN191" s="81">
        <f>IFERROR(Y191*I191,"0")</f>
        <v>616.61599999999999</v>
      </c>
      <c r="BO191" s="81">
        <f>IFERROR(X191/J191,"0")</f>
        <v>2.6</v>
      </c>
      <c r="BP191" s="81">
        <f>IFERROR(Y191/J191,"0")</f>
        <v>2.6</v>
      </c>
    </row>
    <row r="192" spans="1:68" ht="27" customHeight="1" x14ac:dyDescent="0.25">
      <c r="A192" s="63" t="s">
        <v>293</v>
      </c>
      <c r="B192" s="63" t="s">
        <v>294</v>
      </c>
      <c r="C192" s="36">
        <v>4301132182</v>
      </c>
      <c r="D192" s="295">
        <v>4607111035721</v>
      </c>
      <c r="E192" s="295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7"/>
      <c r="R192" s="297"/>
      <c r="S192" s="297"/>
      <c r="T192" s="298"/>
      <c r="U192" s="39" t="s">
        <v>46</v>
      </c>
      <c r="V192" s="39" t="s">
        <v>46</v>
      </c>
      <c r="W192" s="40" t="s">
        <v>39</v>
      </c>
      <c r="X192" s="58">
        <v>182</v>
      </c>
      <c r="Y192" s="55">
        <f>IFERROR(IF(X192="","",X192),"")</f>
        <v>182</v>
      </c>
      <c r="Z192" s="41">
        <f>IFERROR(IF(X192="","",X192*0.01788),"")</f>
        <v>3.2541600000000002</v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616.61599999999999</v>
      </c>
      <c r="BN192" s="81">
        <f>IFERROR(Y192*I192,"0")</f>
        <v>616.61599999999999</v>
      </c>
      <c r="BO192" s="81">
        <f>IFERROR(X192/J192,"0")</f>
        <v>2.6</v>
      </c>
      <c r="BP192" s="81">
        <f>IFERROR(Y192/J192,"0")</f>
        <v>2.6</v>
      </c>
    </row>
    <row r="193" spans="1:68" ht="27" customHeight="1" x14ac:dyDescent="0.25">
      <c r="A193" s="63" t="s">
        <v>296</v>
      </c>
      <c r="B193" s="63" t="s">
        <v>297</v>
      </c>
      <c r="C193" s="36">
        <v>4301132170</v>
      </c>
      <c r="D193" s="295">
        <v>4607111038487</v>
      </c>
      <c r="E193" s="295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7"/>
      <c r="R193" s="297"/>
      <c r="S193" s="297"/>
      <c r="T193" s="298"/>
      <c r="U193" s="39" t="s">
        <v>46</v>
      </c>
      <c r="V193" s="39" t="s">
        <v>46</v>
      </c>
      <c r="W193" s="40" t="s">
        <v>39</v>
      </c>
      <c r="X193" s="58">
        <v>98</v>
      </c>
      <c r="Y193" s="55">
        <f>IFERROR(IF(X193="","",X193),"")</f>
        <v>98</v>
      </c>
      <c r="Z193" s="41">
        <f>IFERROR(IF(X193="","",X193*0.01788),"")</f>
        <v>1.75224</v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366.12800000000004</v>
      </c>
      <c r="BN193" s="81">
        <f>IFERROR(Y193*I193,"0")</f>
        <v>366.12800000000004</v>
      </c>
      <c r="BO193" s="81">
        <f>IFERROR(X193/J193,"0")</f>
        <v>1.4</v>
      </c>
      <c r="BP193" s="81">
        <f>IFERROR(Y193/J193,"0")</f>
        <v>1.4</v>
      </c>
    </row>
    <row r="194" spans="1:68" ht="27" customHeight="1" x14ac:dyDescent="0.25">
      <c r="A194" s="63" t="s">
        <v>299</v>
      </c>
      <c r="B194" s="63" t="s">
        <v>300</v>
      </c>
      <c r="C194" s="36">
        <v>4301132243</v>
      </c>
      <c r="D194" s="295">
        <v>4620207491195</v>
      </c>
      <c r="E194" s="295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7"/>
      <c r="R194" s="297"/>
      <c r="S194" s="297"/>
      <c r="T194" s="298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3"/>
      <c r="P195" s="299" t="s">
        <v>40</v>
      </c>
      <c r="Q195" s="300"/>
      <c r="R195" s="300"/>
      <c r="S195" s="300"/>
      <c r="T195" s="300"/>
      <c r="U195" s="300"/>
      <c r="V195" s="301"/>
      <c r="W195" s="42" t="s">
        <v>39</v>
      </c>
      <c r="X195" s="43">
        <f>IFERROR(SUM(X191:X194),"0")</f>
        <v>462</v>
      </c>
      <c r="Y195" s="43">
        <f>IFERROR(SUM(Y191:Y194),"0")</f>
        <v>462</v>
      </c>
      <c r="Z195" s="43">
        <f>IFERROR(IF(Z191="",0,Z191),"0")+IFERROR(IF(Z192="",0,Z192),"0")+IFERROR(IF(Z193="",0,Z193),"0")+IFERROR(IF(Z194="",0,Z194),"0")</f>
        <v>8.2605599999999999</v>
      </c>
      <c r="AA195" s="67"/>
      <c r="AB195" s="67"/>
      <c r="AC195" s="67"/>
    </row>
    <row r="196" spans="1:68" x14ac:dyDescent="0.2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3"/>
      <c r="P196" s="299" t="s">
        <v>40</v>
      </c>
      <c r="Q196" s="300"/>
      <c r="R196" s="300"/>
      <c r="S196" s="300"/>
      <c r="T196" s="300"/>
      <c r="U196" s="300"/>
      <c r="V196" s="301"/>
      <c r="W196" s="42" t="s">
        <v>0</v>
      </c>
      <c r="X196" s="43">
        <f>IFERROR(SUMPRODUCT(X191:X194*H191:H194),"0")</f>
        <v>1386</v>
      </c>
      <c r="Y196" s="43">
        <f>IFERROR(SUMPRODUCT(Y191:Y194*H191:H194),"0")</f>
        <v>1386</v>
      </c>
      <c r="Z196" s="42"/>
      <c r="AA196" s="67"/>
      <c r="AB196" s="67"/>
      <c r="AC196" s="67"/>
    </row>
    <row r="197" spans="1:68" ht="27.75" customHeight="1" x14ac:dyDescent="0.2">
      <c r="A197" s="322" t="s">
        <v>302</v>
      </c>
      <c r="B197" s="322"/>
      <c r="C197" s="322"/>
      <c r="D197" s="322"/>
      <c r="E197" s="322"/>
      <c r="F197" s="322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54"/>
      <c r="AB197" s="54"/>
      <c r="AC197" s="54"/>
    </row>
    <row r="198" spans="1:68" ht="16.5" customHeight="1" x14ac:dyDescent="0.25">
      <c r="A198" s="323" t="s">
        <v>303</v>
      </c>
      <c r="B198" s="323"/>
      <c r="C198" s="323"/>
      <c r="D198" s="323"/>
      <c r="E198" s="323"/>
      <c r="F198" s="323"/>
      <c r="G198" s="323"/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65"/>
      <c r="AB198" s="65"/>
      <c r="AC198" s="82"/>
    </row>
    <row r="199" spans="1:68" ht="14.25" customHeight="1" x14ac:dyDescent="0.25">
      <c r="A199" s="313" t="s">
        <v>113</v>
      </c>
      <c r="B199" s="313"/>
      <c r="C199" s="313"/>
      <c r="D199" s="313"/>
      <c r="E199" s="313"/>
      <c r="F199" s="313"/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  <c r="T199" s="313"/>
      <c r="U199" s="313"/>
      <c r="V199" s="313"/>
      <c r="W199" s="313"/>
      <c r="X199" s="313"/>
      <c r="Y199" s="313"/>
      <c r="Z199" s="313"/>
      <c r="AA199" s="66"/>
      <c r="AB199" s="66"/>
      <c r="AC199" s="83"/>
    </row>
    <row r="200" spans="1:68" ht="27" customHeight="1" x14ac:dyDescent="0.25">
      <c r="A200" s="63" t="s">
        <v>304</v>
      </c>
      <c r="B200" s="63" t="s">
        <v>305</v>
      </c>
      <c r="C200" s="36">
        <v>4301132227</v>
      </c>
      <c r="D200" s="295">
        <v>4620207491133</v>
      </c>
      <c r="E200" s="295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7"/>
      <c r="R200" s="297"/>
      <c r="S200" s="297"/>
      <c r="T200" s="298"/>
      <c r="U200" s="39" t="s">
        <v>46</v>
      </c>
      <c r="V200" s="39" t="s">
        <v>46</v>
      </c>
      <c r="W200" s="40" t="s">
        <v>39</v>
      </c>
      <c r="X200" s="58">
        <v>112</v>
      </c>
      <c r="Y200" s="55">
        <f>IFERROR(IF(X200="","",X200),"")</f>
        <v>112</v>
      </c>
      <c r="Z200" s="41">
        <f>IFERROR(IF(X200="","",X200*0.01788),"")</f>
        <v>2.0025599999999999</v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333.76</v>
      </c>
      <c r="BN200" s="81">
        <f>IFERROR(Y200*I200,"0")</f>
        <v>333.76</v>
      </c>
      <c r="BO200" s="81">
        <f>IFERROR(X200/J200,"0")</f>
        <v>1.6</v>
      </c>
      <c r="BP200" s="81">
        <f>IFERROR(Y200/J200,"0")</f>
        <v>1.6</v>
      </c>
    </row>
    <row r="201" spans="1:68" x14ac:dyDescent="0.2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3"/>
      <c r="P201" s="299" t="s">
        <v>40</v>
      </c>
      <c r="Q201" s="300"/>
      <c r="R201" s="300"/>
      <c r="S201" s="300"/>
      <c r="T201" s="300"/>
      <c r="U201" s="300"/>
      <c r="V201" s="301"/>
      <c r="W201" s="42" t="s">
        <v>39</v>
      </c>
      <c r="X201" s="43">
        <f>IFERROR(SUM(X200:X200),"0")</f>
        <v>112</v>
      </c>
      <c r="Y201" s="43">
        <f>IFERROR(SUM(Y200:Y200),"0")</f>
        <v>112</v>
      </c>
      <c r="Z201" s="43">
        <f>IFERROR(IF(Z200="",0,Z200),"0")</f>
        <v>2.0025599999999999</v>
      </c>
      <c r="AA201" s="67"/>
      <c r="AB201" s="67"/>
      <c r="AC201" s="67"/>
    </row>
    <row r="202" spans="1:68" x14ac:dyDescent="0.2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3"/>
      <c r="P202" s="299" t="s">
        <v>40</v>
      </c>
      <c r="Q202" s="300"/>
      <c r="R202" s="300"/>
      <c r="S202" s="300"/>
      <c r="T202" s="300"/>
      <c r="U202" s="300"/>
      <c r="V202" s="301"/>
      <c r="W202" s="42" t="s">
        <v>0</v>
      </c>
      <c r="X202" s="43">
        <f>IFERROR(SUMPRODUCT(X200:X200*H200:H200),"0")</f>
        <v>309.12</v>
      </c>
      <c r="Y202" s="43">
        <f>IFERROR(SUMPRODUCT(Y200:Y200*H200:H200),"0")</f>
        <v>309.12</v>
      </c>
      <c r="Z202" s="42"/>
      <c r="AA202" s="67"/>
      <c r="AB202" s="67"/>
      <c r="AC202" s="67"/>
    </row>
    <row r="203" spans="1:68" ht="14.25" customHeight="1" x14ac:dyDescent="0.25">
      <c r="A203" s="313" t="s">
        <v>151</v>
      </c>
      <c r="B203" s="313"/>
      <c r="C203" s="313"/>
      <c r="D203" s="313"/>
      <c r="E203" s="313"/>
      <c r="F203" s="313"/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  <c r="T203" s="313"/>
      <c r="U203" s="313"/>
      <c r="V203" s="313"/>
      <c r="W203" s="313"/>
      <c r="X203" s="313"/>
      <c r="Y203" s="313"/>
      <c r="Z203" s="313"/>
      <c r="AA203" s="66"/>
      <c r="AB203" s="66"/>
      <c r="AC203" s="83"/>
    </row>
    <row r="204" spans="1:68" ht="27" customHeight="1" x14ac:dyDescent="0.25">
      <c r="A204" s="63" t="s">
        <v>307</v>
      </c>
      <c r="B204" s="63" t="s">
        <v>308</v>
      </c>
      <c r="C204" s="36">
        <v>4301135834</v>
      </c>
      <c r="D204" s="295">
        <v>4620207491188</v>
      </c>
      <c r="E204" s="295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7"/>
      <c r="R204" s="297"/>
      <c r="S204" s="297"/>
      <c r="T204" s="298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310</v>
      </c>
      <c r="B205" s="63" t="s">
        <v>311</v>
      </c>
      <c r="C205" s="36">
        <v>4301135696</v>
      </c>
      <c r="D205" s="295">
        <v>4620207490235</v>
      </c>
      <c r="E205" s="295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7"/>
      <c r="R205" s="297"/>
      <c r="S205" s="297"/>
      <c r="T205" s="298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313</v>
      </c>
      <c r="B206" s="63" t="s">
        <v>314</v>
      </c>
      <c r="C206" s="36">
        <v>4301135697</v>
      </c>
      <c r="D206" s="295">
        <v>4620207490259</v>
      </c>
      <c r="E206" s="295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7"/>
      <c r="R206" s="297"/>
      <c r="S206" s="297"/>
      <c r="T206" s="298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3"/>
      <c r="P207" s="299" t="s">
        <v>40</v>
      </c>
      <c r="Q207" s="300"/>
      <c r="R207" s="300"/>
      <c r="S207" s="300"/>
      <c r="T207" s="300"/>
      <c r="U207" s="300"/>
      <c r="V207" s="301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3"/>
      <c r="P208" s="299" t="s">
        <v>40</v>
      </c>
      <c r="Q208" s="300"/>
      <c r="R208" s="300"/>
      <c r="S208" s="300"/>
      <c r="T208" s="300"/>
      <c r="U208" s="300"/>
      <c r="V208" s="301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customHeight="1" x14ac:dyDescent="0.25">
      <c r="A209" s="323" t="s">
        <v>316</v>
      </c>
      <c r="B209" s="323"/>
      <c r="C209" s="323"/>
      <c r="D209" s="323"/>
      <c r="E209" s="323"/>
      <c r="F209" s="323"/>
      <c r="G209" s="323"/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65"/>
      <c r="AB209" s="65"/>
      <c r="AC209" s="82"/>
    </row>
    <row r="210" spans="1:68" ht="14.25" customHeight="1" x14ac:dyDescent="0.25">
      <c r="A210" s="313" t="s">
        <v>151</v>
      </c>
      <c r="B210" s="313"/>
      <c r="C210" s="313"/>
      <c r="D210" s="313"/>
      <c r="E210" s="313"/>
      <c r="F210" s="313"/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  <c r="T210" s="313"/>
      <c r="U210" s="313"/>
      <c r="V210" s="313"/>
      <c r="W210" s="313"/>
      <c r="X210" s="313"/>
      <c r="Y210" s="313"/>
      <c r="Z210" s="313"/>
      <c r="AA210" s="66"/>
      <c r="AB210" s="66"/>
      <c r="AC210" s="83"/>
    </row>
    <row r="211" spans="1:68" ht="27" customHeight="1" x14ac:dyDescent="0.25">
      <c r="A211" s="63" t="s">
        <v>317</v>
      </c>
      <c r="B211" s="63" t="s">
        <v>318</v>
      </c>
      <c r="C211" s="36">
        <v>4301135854</v>
      </c>
      <c r="D211" s="295">
        <v>4620207491706</v>
      </c>
      <c r="E211" s="295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7"/>
      <c r="R211" s="297"/>
      <c r="S211" s="297"/>
      <c r="T211" s="298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320</v>
      </c>
      <c r="B212" s="63" t="s">
        <v>321</v>
      </c>
      <c r="C212" s="36">
        <v>4301135895</v>
      </c>
      <c r="D212" s="295">
        <v>4620207491522</v>
      </c>
      <c r="E212" s="295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3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7"/>
      <c r="R212" s="297"/>
      <c r="S212" s="297"/>
      <c r="T212" s="298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3"/>
      <c r="P213" s="299" t="s">
        <v>40</v>
      </c>
      <c r="Q213" s="300"/>
      <c r="R213" s="300"/>
      <c r="S213" s="300"/>
      <c r="T213" s="300"/>
      <c r="U213" s="300"/>
      <c r="V213" s="301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3"/>
      <c r="P214" s="299" t="s">
        <v>40</v>
      </c>
      <c r="Q214" s="300"/>
      <c r="R214" s="300"/>
      <c r="S214" s="300"/>
      <c r="T214" s="300"/>
      <c r="U214" s="300"/>
      <c r="V214" s="301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customHeight="1" x14ac:dyDescent="0.25">
      <c r="A215" s="323" t="s">
        <v>323</v>
      </c>
      <c r="B215" s="323"/>
      <c r="C215" s="323"/>
      <c r="D215" s="323"/>
      <c r="E215" s="323"/>
      <c r="F215" s="323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65"/>
      <c r="AB215" s="65"/>
      <c r="AC215" s="82"/>
    </row>
    <row r="216" spans="1:68" ht="14.25" customHeight="1" x14ac:dyDescent="0.25">
      <c r="A216" s="313" t="s">
        <v>82</v>
      </c>
      <c r="B216" s="313"/>
      <c r="C216" s="313"/>
      <c r="D216" s="313"/>
      <c r="E216" s="313"/>
      <c r="F216" s="313"/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  <c r="T216" s="313"/>
      <c r="U216" s="313"/>
      <c r="V216" s="313"/>
      <c r="W216" s="313"/>
      <c r="X216" s="313"/>
      <c r="Y216" s="313"/>
      <c r="Z216" s="313"/>
      <c r="AA216" s="66"/>
      <c r="AB216" s="66"/>
      <c r="AC216" s="83"/>
    </row>
    <row r="217" spans="1:68" ht="27" customHeight="1" x14ac:dyDescent="0.25">
      <c r="A217" s="63" t="s">
        <v>324</v>
      </c>
      <c r="B217" s="63" t="s">
        <v>325</v>
      </c>
      <c r="C217" s="36">
        <v>4301071097</v>
      </c>
      <c r="D217" s="295">
        <v>4620207491096</v>
      </c>
      <c r="E217" s="295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3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7"/>
      <c r="R217" s="297"/>
      <c r="S217" s="297"/>
      <c r="T217" s="298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3"/>
      <c r="P218" s="299" t="s">
        <v>40</v>
      </c>
      <c r="Q218" s="300"/>
      <c r="R218" s="300"/>
      <c r="S218" s="300"/>
      <c r="T218" s="300"/>
      <c r="U218" s="300"/>
      <c r="V218" s="301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3"/>
      <c r="P219" s="299" t="s">
        <v>40</v>
      </c>
      <c r="Q219" s="300"/>
      <c r="R219" s="300"/>
      <c r="S219" s="300"/>
      <c r="T219" s="300"/>
      <c r="U219" s="300"/>
      <c r="V219" s="301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customHeight="1" x14ac:dyDescent="0.25">
      <c r="A220" s="323" t="s">
        <v>327</v>
      </c>
      <c r="B220" s="323"/>
      <c r="C220" s="323"/>
      <c r="D220" s="323"/>
      <c r="E220" s="323"/>
      <c r="F220" s="323"/>
      <c r="G220" s="323"/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65"/>
      <c r="AB220" s="65"/>
      <c r="AC220" s="82"/>
    </row>
    <row r="221" spans="1:68" ht="14.25" customHeight="1" x14ac:dyDescent="0.25">
      <c r="A221" s="313" t="s">
        <v>151</v>
      </c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  <c r="AA221" s="66"/>
      <c r="AB221" s="66"/>
      <c r="AC221" s="83"/>
    </row>
    <row r="222" spans="1:68" ht="27" customHeight="1" x14ac:dyDescent="0.25">
      <c r="A222" s="63" t="s">
        <v>328</v>
      </c>
      <c r="B222" s="63" t="s">
        <v>329</v>
      </c>
      <c r="C222" s="36">
        <v>4301135694</v>
      </c>
      <c r="D222" s="295">
        <v>4620207490501</v>
      </c>
      <c r="E222" s="295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3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7"/>
      <c r="R222" s="297"/>
      <c r="S222" s="297"/>
      <c r="T222" s="298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3"/>
      <c r="P223" s="299" t="s">
        <v>40</v>
      </c>
      <c r="Q223" s="300"/>
      <c r="R223" s="300"/>
      <c r="S223" s="300"/>
      <c r="T223" s="300"/>
      <c r="U223" s="300"/>
      <c r="V223" s="301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3"/>
      <c r="P224" s="299" t="s">
        <v>40</v>
      </c>
      <c r="Q224" s="300"/>
      <c r="R224" s="300"/>
      <c r="S224" s="300"/>
      <c r="T224" s="300"/>
      <c r="U224" s="300"/>
      <c r="V224" s="301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22" t="s">
        <v>331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54"/>
      <c r="AB225" s="54"/>
      <c r="AC225" s="54"/>
    </row>
    <row r="226" spans="1:68" ht="16.5" customHeight="1" x14ac:dyDescent="0.25">
      <c r="A226" s="323" t="s">
        <v>332</v>
      </c>
      <c r="B226" s="323"/>
      <c r="C226" s="323"/>
      <c r="D226" s="323"/>
      <c r="E226" s="323"/>
      <c r="F226" s="323"/>
      <c r="G226" s="323"/>
      <c r="H226" s="323"/>
      <c r="I226" s="323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65"/>
      <c r="AB226" s="65"/>
      <c r="AC226" s="82"/>
    </row>
    <row r="227" spans="1:68" ht="14.25" customHeight="1" x14ac:dyDescent="0.25">
      <c r="A227" s="313" t="s">
        <v>82</v>
      </c>
      <c r="B227" s="313"/>
      <c r="C227" s="313"/>
      <c r="D227" s="313"/>
      <c r="E227" s="313"/>
      <c r="F227" s="313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  <c r="T227" s="313"/>
      <c r="U227" s="313"/>
      <c r="V227" s="313"/>
      <c r="W227" s="313"/>
      <c r="X227" s="313"/>
      <c r="Y227" s="313"/>
      <c r="Z227" s="313"/>
      <c r="AA227" s="66"/>
      <c r="AB227" s="66"/>
      <c r="AC227" s="83"/>
    </row>
    <row r="228" spans="1:68" ht="27" customHeight="1" x14ac:dyDescent="0.25">
      <c r="A228" s="63" t="s">
        <v>333</v>
      </c>
      <c r="B228" s="63" t="s">
        <v>334</v>
      </c>
      <c r="C228" s="36">
        <v>4301071036</v>
      </c>
      <c r="D228" s="295">
        <v>4607111036162</v>
      </c>
      <c r="E228" s="295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7"/>
      <c r="R228" s="297"/>
      <c r="S228" s="297"/>
      <c r="T228" s="298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3"/>
      <c r="P229" s="299" t="s">
        <v>40</v>
      </c>
      <c r="Q229" s="300"/>
      <c r="R229" s="300"/>
      <c r="S229" s="300"/>
      <c r="T229" s="300"/>
      <c r="U229" s="300"/>
      <c r="V229" s="301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3"/>
      <c r="P230" s="299" t="s">
        <v>40</v>
      </c>
      <c r="Q230" s="300"/>
      <c r="R230" s="300"/>
      <c r="S230" s="300"/>
      <c r="T230" s="300"/>
      <c r="U230" s="300"/>
      <c r="V230" s="301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22" t="s">
        <v>336</v>
      </c>
      <c r="B231" s="322"/>
      <c r="C231" s="322"/>
      <c r="D231" s="322"/>
      <c r="E231" s="322"/>
      <c r="F231" s="322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54"/>
      <c r="AB231" s="54"/>
      <c r="AC231" s="54"/>
    </row>
    <row r="232" spans="1:68" ht="16.5" customHeight="1" x14ac:dyDescent="0.25">
      <c r="A232" s="323" t="s">
        <v>337</v>
      </c>
      <c r="B232" s="323"/>
      <c r="C232" s="323"/>
      <c r="D232" s="323"/>
      <c r="E232" s="323"/>
      <c r="F232" s="323"/>
      <c r="G232" s="323"/>
      <c r="H232" s="323"/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65"/>
      <c r="AB232" s="65"/>
      <c r="AC232" s="82"/>
    </row>
    <row r="233" spans="1:68" ht="14.25" customHeight="1" x14ac:dyDescent="0.25">
      <c r="A233" s="313" t="s">
        <v>338</v>
      </c>
      <c r="B233" s="313"/>
      <c r="C233" s="313"/>
      <c r="D233" s="313"/>
      <c r="E233" s="313"/>
      <c r="F233" s="313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  <c r="T233" s="313"/>
      <c r="U233" s="313"/>
      <c r="V233" s="313"/>
      <c r="W233" s="313"/>
      <c r="X233" s="313"/>
      <c r="Y233" s="313"/>
      <c r="Z233" s="313"/>
      <c r="AA233" s="66"/>
      <c r="AB233" s="66"/>
      <c r="AC233" s="83"/>
    </row>
    <row r="234" spans="1:68" ht="27" customHeight="1" x14ac:dyDescent="0.25">
      <c r="A234" s="63" t="s">
        <v>339</v>
      </c>
      <c r="B234" s="63" t="s">
        <v>340</v>
      </c>
      <c r="C234" s="36">
        <v>4301133004</v>
      </c>
      <c r="D234" s="295">
        <v>4607111039774</v>
      </c>
      <c r="E234" s="295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7"/>
      <c r="R234" s="297"/>
      <c r="S234" s="297"/>
      <c r="T234" s="298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3"/>
      <c r="P235" s="299" t="s">
        <v>40</v>
      </c>
      <c r="Q235" s="300"/>
      <c r="R235" s="300"/>
      <c r="S235" s="300"/>
      <c r="T235" s="300"/>
      <c r="U235" s="300"/>
      <c r="V235" s="301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3"/>
      <c r="P236" s="299" t="s">
        <v>40</v>
      </c>
      <c r="Q236" s="300"/>
      <c r="R236" s="300"/>
      <c r="S236" s="300"/>
      <c r="T236" s="300"/>
      <c r="U236" s="300"/>
      <c r="V236" s="301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13" t="s">
        <v>151</v>
      </c>
      <c r="B237" s="313"/>
      <c r="C237" s="313"/>
      <c r="D237" s="313"/>
      <c r="E237" s="313"/>
      <c r="F237" s="313"/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  <c r="AA237" s="66"/>
      <c r="AB237" s="66"/>
      <c r="AC237" s="83"/>
    </row>
    <row r="238" spans="1:68" ht="37.5" customHeight="1" x14ac:dyDescent="0.25">
      <c r="A238" s="63" t="s">
        <v>342</v>
      </c>
      <c r="B238" s="63" t="s">
        <v>343</v>
      </c>
      <c r="C238" s="36">
        <v>4301135400</v>
      </c>
      <c r="D238" s="295">
        <v>4607111039361</v>
      </c>
      <c r="E238" s="295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7"/>
      <c r="R238" s="297"/>
      <c r="S238" s="297"/>
      <c r="T238" s="298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3"/>
      <c r="P239" s="299" t="s">
        <v>40</v>
      </c>
      <c r="Q239" s="300"/>
      <c r="R239" s="300"/>
      <c r="S239" s="300"/>
      <c r="T239" s="300"/>
      <c r="U239" s="300"/>
      <c r="V239" s="301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3"/>
      <c r="P240" s="299" t="s">
        <v>40</v>
      </c>
      <c r="Q240" s="300"/>
      <c r="R240" s="300"/>
      <c r="S240" s="300"/>
      <c r="T240" s="300"/>
      <c r="U240" s="300"/>
      <c r="V240" s="301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22" t="s">
        <v>344</v>
      </c>
      <c r="B241" s="322"/>
      <c r="C241" s="322"/>
      <c r="D241" s="322"/>
      <c r="E241" s="322"/>
      <c r="F241" s="322"/>
      <c r="G241" s="322"/>
      <c r="H241" s="322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54"/>
      <c r="AB241" s="54"/>
      <c r="AC241" s="54"/>
    </row>
    <row r="242" spans="1:68" ht="16.5" customHeight="1" x14ac:dyDescent="0.25">
      <c r="A242" s="323" t="s">
        <v>344</v>
      </c>
      <c r="B242" s="323"/>
      <c r="C242" s="323"/>
      <c r="D242" s="323"/>
      <c r="E242" s="323"/>
      <c r="F242" s="323"/>
      <c r="G242" s="323"/>
      <c r="H242" s="323"/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65"/>
      <c r="AB242" s="65"/>
      <c r="AC242" s="82"/>
    </row>
    <row r="243" spans="1:68" ht="14.25" customHeight="1" x14ac:dyDescent="0.25">
      <c r="A243" s="313" t="s">
        <v>113</v>
      </c>
      <c r="B243" s="313"/>
      <c r="C243" s="313"/>
      <c r="D243" s="313"/>
      <c r="E243" s="313"/>
      <c r="F243" s="313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  <c r="AA243" s="66"/>
      <c r="AB243" s="66"/>
      <c r="AC243" s="83"/>
    </row>
    <row r="244" spans="1:68" ht="27" customHeight="1" x14ac:dyDescent="0.25">
      <c r="A244" s="63" t="s">
        <v>345</v>
      </c>
      <c r="B244" s="63" t="s">
        <v>346</v>
      </c>
      <c r="C244" s="36">
        <v>4301132228</v>
      </c>
      <c r="D244" s="295">
        <v>4640242181950</v>
      </c>
      <c r="E244" s="295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2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7"/>
      <c r="R244" s="297"/>
      <c r="S244" s="297"/>
      <c r="T244" s="298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3"/>
      <c r="P245" s="299" t="s">
        <v>40</v>
      </c>
      <c r="Q245" s="300"/>
      <c r="R245" s="300"/>
      <c r="S245" s="300"/>
      <c r="T245" s="300"/>
      <c r="U245" s="300"/>
      <c r="V245" s="301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3"/>
      <c r="P246" s="299" t="s">
        <v>40</v>
      </c>
      <c r="Q246" s="300"/>
      <c r="R246" s="300"/>
      <c r="S246" s="300"/>
      <c r="T246" s="300"/>
      <c r="U246" s="300"/>
      <c r="V246" s="301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customHeight="1" x14ac:dyDescent="0.25">
      <c r="A247" s="313" t="s">
        <v>145</v>
      </c>
      <c r="B247" s="313"/>
      <c r="C247" s="313"/>
      <c r="D247" s="313"/>
      <c r="E247" s="313"/>
      <c r="F247" s="313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  <c r="T247" s="313"/>
      <c r="U247" s="313"/>
      <c r="V247" s="313"/>
      <c r="W247" s="313"/>
      <c r="X247" s="313"/>
      <c r="Y247" s="313"/>
      <c r="Z247" s="313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4301136098</v>
      </c>
      <c r="D248" s="295">
        <v>4640242181943</v>
      </c>
      <c r="E248" s="295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7"/>
      <c r="R248" s="297"/>
      <c r="S248" s="297"/>
      <c r="T248" s="298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3"/>
      <c r="P249" s="299" t="s">
        <v>40</v>
      </c>
      <c r="Q249" s="300"/>
      <c r="R249" s="300"/>
      <c r="S249" s="300"/>
      <c r="T249" s="300"/>
      <c r="U249" s="300"/>
      <c r="V249" s="301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3"/>
      <c r="P250" s="299" t="s">
        <v>40</v>
      </c>
      <c r="Q250" s="300"/>
      <c r="R250" s="300"/>
      <c r="S250" s="300"/>
      <c r="T250" s="300"/>
      <c r="U250" s="300"/>
      <c r="V250" s="301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customHeight="1" x14ac:dyDescent="0.2">
      <c r="A251" s="322" t="s">
        <v>351</v>
      </c>
      <c r="B251" s="322"/>
      <c r="C251" s="322"/>
      <c r="D251" s="322"/>
      <c r="E251" s="322"/>
      <c r="F251" s="322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54"/>
      <c r="AB251" s="54"/>
      <c r="AC251" s="54"/>
    </row>
    <row r="252" spans="1:68" ht="16.5" customHeight="1" x14ac:dyDescent="0.25">
      <c r="A252" s="323" t="s">
        <v>351</v>
      </c>
      <c r="B252" s="323"/>
      <c r="C252" s="323"/>
      <c r="D252" s="323"/>
      <c r="E252" s="323"/>
      <c r="F252" s="323"/>
      <c r="G252" s="323"/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65"/>
      <c r="AB252" s="65"/>
      <c r="AC252" s="82"/>
    </row>
    <row r="253" spans="1:68" ht="14.25" customHeight="1" x14ac:dyDescent="0.25">
      <c r="A253" s="313" t="s">
        <v>82</v>
      </c>
      <c r="B253" s="313"/>
      <c r="C253" s="313"/>
      <c r="D253" s="313"/>
      <c r="E253" s="313"/>
      <c r="F253" s="313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  <c r="T253" s="313"/>
      <c r="U253" s="313"/>
      <c r="V253" s="313"/>
      <c r="W253" s="313"/>
      <c r="X253" s="313"/>
      <c r="Y253" s="313"/>
      <c r="Z253" s="313"/>
      <c r="AA253" s="66"/>
      <c r="AB253" s="66"/>
      <c r="AC253" s="83"/>
    </row>
    <row r="254" spans="1:68" ht="27" customHeight="1" x14ac:dyDescent="0.25">
      <c r="A254" s="63" t="s">
        <v>352</v>
      </c>
      <c r="B254" s="63" t="s">
        <v>353</v>
      </c>
      <c r="C254" s="36">
        <v>4301071014</v>
      </c>
      <c r="D254" s="295">
        <v>4640242181264</v>
      </c>
      <c r="E254" s="295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7"/>
      <c r="R254" s="297"/>
      <c r="S254" s="297"/>
      <c r="T254" s="298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355</v>
      </c>
      <c r="B255" s="63" t="s">
        <v>356</v>
      </c>
      <c r="C255" s="36">
        <v>4301071021</v>
      </c>
      <c r="D255" s="295">
        <v>4640242181325</v>
      </c>
      <c r="E255" s="295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2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7"/>
      <c r="R255" s="297"/>
      <c r="S255" s="297"/>
      <c r="T255" s="298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customHeight="1" x14ac:dyDescent="0.25">
      <c r="A256" s="63" t="s">
        <v>355</v>
      </c>
      <c r="B256" s="63" t="s">
        <v>357</v>
      </c>
      <c r="C256" s="36">
        <v>4301071141</v>
      </c>
      <c r="D256" s="295">
        <v>4620207491980</v>
      </c>
      <c r="E256" s="295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32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297"/>
      <c r="R256" s="297"/>
      <c r="S256" s="297"/>
      <c r="T256" s="298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x14ac:dyDescent="0.2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3"/>
      <c r="P257" s="299" t="s">
        <v>40</v>
      </c>
      <c r="Q257" s="300"/>
      <c r="R257" s="300"/>
      <c r="S257" s="300"/>
      <c r="T257" s="300"/>
      <c r="U257" s="300"/>
      <c r="V257" s="301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3"/>
      <c r="P258" s="299" t="s">
        <v>40</v>
      </c>
      <c r="Q258" s="300"/>
      <c r="R258" s="300"/>
      <c r="S258" s="300"/>
      <c r="T258" s="300"/>
      <c r="U258" s="300"/>
      <c r="V258" s="301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customHeight="1" x14ac:dyDescent="0.25">
      <c r="A259" s="313" t="s">
        <v>113</v>
      </c>
      <c r="B259" s="313"/>
      <c r="C259" s="313"/>
      <c r="D259" s="313"/>
      <c r="E259" s="313"/>
      <c r="F259" s="313"/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  <c r="T259" s="313"/>
      <c r="U259" s="313"/>
      <c r="V259" s="313"/>
      <c r="W259" s="313"/>
      <c r="X259" s="313"/>
      <c r="Y259" s="313"/>
      <c r="Z259" s="313"/>
      <c r="AA259" s="66"/>
      <c r="AB259" s="66"/>
      <c r="AC259" s="83"/>
    </row>
    <row r="260" spans="1:68" ht="27" customHeight="1" x14ac:dyDescent="0.25">
      <c r="A260" s="63" t="s">
        <v>359</v>
      </c>
      <c r="B260" s="63" t="s">
        <v>360</v>
      </c>
      <c r="C260" s="36">
        <v>4301132080</v>
      </c>
      <c r="D260" s="295">
        <v>4640242180397</v>
      </c>
      <c r="E260" s="295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32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297"/>
      <c r="R260" s="297"/>
      <c r="S260" s="297"/>
      <c r="T260" s="298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3"/>
      <c r="P261" s="299" t="s">
        <v>40</v>
      </c>
      <c r="Q261" s="300"/>
      <c r="R261" s="300"/>
      <c r="S261" s="300"/>
      <c r="T261" s="300"/>
      <c r="U261" s="300"/>
      <c r="V261" s="301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x14ac:dyDescent="0.2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3"/>
      <c r="P262" s="299" t="s">
        <v>40</v>
      </c>
      <c r="Q262" s="300"/>
      <c r="R262" s="300"/>
      <c r="S262" s="300"/>
      <c r="T262" s="300"/>
      <c r="U262" s="300"/>
      <c r="V262" s="301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customHeight="1" x14ac:dyDescent="0.25">
      <c r="A263" s="313" t="s">
        <v>145</v>
      </c>
      <c r="B263" s="313"/>
      <c r="C263" s="313"/>
      <c r="D263" s="313"/>
      <c r="E263" s="313"/>
      <c r="F263" s="313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  <c r="T263" s="313"/>
      <c r="U263" s="313"/>
      <c r="V263" s="313"/>
      <c r="W263" s="313"/>
      <c r="X263" s="313"/>
      <c r="Y263" s="313"/>
      <c r="Z263" s="313"/>
      <c r="AA263" s="66"/>
      <c r="AB263" s="66"/>
      <c r="AC263" s="83"/>
    </row>
    <row r="264" spans="1:68" ht="27" customHeight="1" x14ac:dyDescent="0.25">
      <c r="A264" s="63" t="s">
        <v>362</v>
      </c>
      <c r="B264" s="63" t="s">
        <v>363</v>
      </c>
      <c r="C264" s="36">
        <v>4301136051</v>
      </c>
      <c r="D264" s="295">
        <v>4640242180304</v>
      </c>
      <c r="E264" s="295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31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297"/>
      <c r="R264" s="297"/>
      <c r="S264" s="297"/>
      <c r="T264" s="298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365</v>
      </c>
      <c r="B265" s="63" t="s">
        <v>366</v>
      </c>
      <c r="C265" s="36">
        <v>4301136053</v>
      </c>
      <c r="D265" s="295">
        <v>4640242180236</v>
      </c>
      <c r="E265" s="295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31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297"/>
      <c r="R265" s="297"/>
      <c r="S265" s="297"/>
      <c r="T265" s="298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customHeight="1" x14ac:dyDescent="0.25">
      <c r="A266" s="63" t="s">
        <v>367</v>
      </c>
      <c r="B266" s="63" t="s">
        <v>368</v>
      </c>
      <c r="C266" s="36">
        <v>4301136052</v>
      </c>
      <c r="D266" s="295">
        <v>4640242180410</v>
      </c>
      <c r="E266" s="295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3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297"/>
      <c r="R266" s="297"/>
      <c r="S266" s="297"/>
      <c r="T266" s="298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x14ac:dyDescent="0.2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3"/>
      <c r="P267" s="299" t="s">
        <v>40</v>
      </c>
      <c r="Q267" s="300"/>
      <c r="R267" s="300"/>
      <c r="S267" s="300"/>
      <c r="T267" s="300"/>
      <c r="U267" s="300"/>
      <c r="V267" s="301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3"/>
      <c r="P268" s="299" t="s">
        <v>40</v>
      </c>
      <c r="Q268" s="300"/>
      <c r="R268" s="300"/>
      <c r="S268" s="300"/>
      <c r="T268" s="300"/>
      <c r="U268" s="300"/>
      <c r="V268" s="301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customHeight="1" x14ac:dyDescent="0.25">
      <c r="A269" s="313" t="s">
        <v>151</v>
      </c>
      <c r="B269" s="313"/>
      <c r="C269" s="313"/>
      <c r="D269" s="313"/>
      <c r="E269" s="313"/>
      <c r="F269" s="313"/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  <c r="T269" s="313"/>
      <c r="U269" s="313"/>
      <c r="V269" s="313"/>
      <c r="W269" s="313"/>
      <c r="X269" s="313"/>
      <c r="Y269" s="313"/>
      <c r="Z269" s="313"/>
      <c r="AA269" s="66"/>
      <c r="AB269" s="66"/>
      <c r="AC269" s="83"/>
    </row>
    <row r="270" spans="1:68" ht="37.5" customHeight="1" x14ac:dyDescent="0.25">
      <c r="A270" s="63" t="s">
        <v>369</v>
      </c>
      <c r="B270" s="63" t="s">
        <v>370</v>
      </c>
      <c r="C270" s="36">
        <v>4301135504</v>
      </c>
      <c r="D270" s="295">
        <v>4640242181554</v>
      </c>
      <c r="E270" s="295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31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297"/>
      <c r="R270" s="297"/>
      <c r="S270" s="297"/>
      <c r="T270" s="298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customHeight="1" x14ac:dyDescent="0.25">
      <c r="A271" s="63" t="s">
        <v>372</v>
      </c>
      <c r="B271" s="63" t="s">
        <v>373</v>
      </c>
      <c r="C271" s="36">
        <v>4301135518</v>
      </c>
      <c r="D271" s="295">
        <v>4640242181561</v>
      </c>
      <c r="E271" s="295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31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297"/>
      <c r="R271" s="297"/>
      <c r="S271" s="297"/>
      <c r="T271" s="298"/>
      <c r="U271" s="39" t="s">
        <v>46</v>
      </c>
      <c r="V271" s="39" t="s">
        <v>46</v>
      </c>
      <c r="W271" s="40" t="s">
        <v>39</v>
      </c>
      <c r="X271" s="58">
        <v>28</v>
      </c>
      <c r="Y271" s="55">
        <f t="shared" si="18"/>
        <v>28</v>
      </c>
      <c r="Z271" s="41">
        <f>IFERROR(IF(X271="","",X271*0.00936),"")</f>
        <v>0.26207999999999998</v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108.976</v>
      </c>
      <c r="BN271" s="81">
        <f t="shared" si="20"/>
        <v>108.976</v>
      </c>
      <c r="BO271" s="81">
        <f t="shared" si="21"/>
        <v>0.22222222222222221</v>
      </c>
      <c r="BP271" s="81">
        <f t="shared" si="22"/>
        <v>0.22222222222222221</v>
      </c>
    </row>
    <row r="272" spans="1:68" ht="27" customHeight="1" x14ac:dyDescent="0.25">
      <c r="A272" s="63" t="s">
        <v>375</v>
      </c>
      <c r="B272" s="63" t="s">
        <v>376</v>
      </c>
      <c r="C272" s="36">
        <v>4301135374</v>
      </c>
      <c r="D272" s="295">
        <v>4640242181424</v>
      </c>
      <c r="E272" s="295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31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297"/>
      <c r="R272" s="297"/>
      <c r="S272" s="297"/>
      <c r="T272" s="298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377</v>
      </c>
      <c r="B273" s="63" t="s">
        <v>378</v>
      </c>
      <c r="C273" s="36">
        <v>4301135405</v>
      </c>
      <c r="D273" s="295">
        <v>4640242181523</v>
      </c>
      <c r="E273" s="295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1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297"/>
      <c r="R273" s="297"/>
      <c r="S273" s="297"/>
      <c r="T273" s="298"/>
      <c r="U273" s="39" t="s">
        <v>46</v>
      </c>
      <c r="V273" s="39" t="s">
        <v>46</v>
      </c>
      <c r="W273" s="40" t="s">
        <v>39</v>
      </c>
      <c r="X273" s="58">
        <v>28</v>
      </c>
      <c r="Y273" s="55">
        <f t="shared" si="18"/>
        <v>28</v>
      </c>
      <c r="Z273" s="41">
        <f t="shared" ref="Z273:Z278" si="23">IFERROR(IF(X273="","",X273*0.00936),"")</f>
        <v>0.26207999999999998</v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89.376000000000005</v>
      </c>
      <c r="BN273" s="81">
        <f t="shared" si="20"/>
        <v>89.376000000000005</v>
      </c>
      <c r="BO273" s="81">
        <f t="shared" si="21"/>
        <v>0.22222222222222221</v>
      </c>
      <c r="BP273" s="81">
        <f t="shared" si="22"/>
        <v>0.22222222222222221</v>
      </c>
    </row>
    <row r="274" spans="1:68" ht="27" customHeight="1" x14ac:dyDescent="0.25">
      <c r="A274" s="63" t="s">
        <v>379</v>
      </c>
      <c r="B274" s="63" t="s">
        <v>380</v>
      </c>
      <c r="C274" s="36">
        <v>4301135375</v>
      </c>
      <c r="D274" s="295">
        <v>4640242181486</v>
      </c>
      <c r="E274" s="295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30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297"/>
      <c r="R274" s="297"/>
      <c r="S274" s="297"/>
      <c r="T274" s="298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customHeight="1" x14ac:dyDescent="0.25">
      <c r="A275" s="63" t="s">
        <v>381</v>
      </c>
      <c r="B275" s="63" t="s">
        <v>382</v>
      </c>
      <c r="C275" s="36">
        <v>4301135402</v>
      </c>
      <c r="D275" s="295">
        <v>4640242181493</v>
      </c>
      <c r="E275" s="295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30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297"/>
      <c r="R275" s="297"/>
      <c r="S275" s="297"/>
      <c r="T275" s="298"/>
      <c r="U275" s="39" t="s">
        <v>46</v>
      </c>
      <c r="V275" s="39" t="s">
        <v>46</v>
      </c>
      <c r="W275" s="40" t="s">
        <v>39</v>
      </c>
      <c r="X275" s="58">
        <v>28</v>
      </c>
      <c r="Y275" s="55">
        <f t="shared" si="18"/>
        <v>28</v>
      </c>
      <c r="Z275" s="41">
        <f t="shared" si="23"/>
        <v>0.26207999999999998</v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108.976</v>
      </c>
      <c r="BN275" s="81">
        <f t="shared" si="20"/>
        <v>108.976</v>
      </c>
      <c r="BO275" s="81">
        <f t="shared" si="21"/>
        <v>0.22222222222222221</v>
      </c>
      <c r="BP275" s="81">
        <f t="shared" si="22"/>
        <v>0.22222222222222221</v>
      </c>
    </row>
    <row r="276" spans="1:68" ht="37.5" customHeight="1" x14ac:dyDescent="0.25">
      <c r="A276" s="63" t="s">
        <v>383</v>
      </c>
      <c r="B276" s="63" t="s">
        <v>384</v>
      </c>
      <c r="C276" s="36">
        <v>4301135403</v>
      </c>
      <c r="D276" s="295">
        <v>4640242181509</v>
      </c>
      <c r="E276" s="295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31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297"/>
      <c r="R276" s="297"/>
      <c r="S276" s="297"/>
      <c r="T276" s="298"/>
      <c r="U276" s="39" t="s">
        <v>46</v>
      </c>
      <c r="V276" s="39" t="s">
        <v>46</v>
      </c>
      <c r="W276" s="40" t="s">
        <v>39</v>
      </c>
      <c r="X276" s="58">
        <v>28</v>
      </c>
      <c r="Y276" s="55">
        <f t="shared" si="18"/>
        <v>28</v>
      </c>
      <c r="Z276" s="41">
        <f t="shared" si="23"/>
        <v>0.26207999999999998</v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108.976</v>
      </c>
      <c r="BN276" s="81">
        <f t="shared" si="20"/>
        <v>108.976</v>
      </c>
      <c r="BO276" s="81">
        <f t="shared" si="21"/>
        <v>0.22222222222222221</v>
      </c>
      <c r="BP276" s="81">
        <f t="shared" si="22"/>
        <v>0.22222222222222221</v>
      </c>
    </row>
    <row r="277" spans="1:68" ht="27" customHeight="1" x14ac:dyDescent="0.25">
      <c r="A277" s="63" t="s">
        <v>385</v>
      </c>
      <c r="B277" s="63" t="s">
        <v>386</v>
      </c>
      <c r="C277" s="36">
        <v>4301135304</v>
      </c>
      <c r="D277" s="295">
        <v>4640242181240</v>
      </c>
      <c r="E277" s="295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1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297"/>
      <c r="R277" s="297"/>
      <c r="S277" s="297"/>
      <c r="T277" s="298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387</v>
      </c>
      <c r="B278" s="63" t="s">
        <v>388</v>
      </c>
      <c r="C278" s="36">
        <v>4301135610</v>
      </c>
      <c r="D278" s="295">
        <v>4640242181318</v>
      </c>
      <c r="E278" s="295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31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297"/>
      <c r="R278" s="297"/>
      <c r="S278" s="297"/>
      <c r="T278" s="298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customHeight="1" x14ac:dyDescent="0.25">
      <c r="A279" s="63" t="s">
        <v>389</v>
      </c>
      <c r="B279" s="63" t="s">
        <v>390</v>
      </c>
      <c r="C279" s="36">
        <v>4301135306</v>
      </c>
      <c r="D279" s="295">
        <v>4640242181387</v>
      </c>
      <c r="E279" s="295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29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297"/>
      <c r="R279" s="297"/>
      <c r="S279" s="297"/>
      <c r="T279" s="298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x14ac:dyDescent="0.2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3"/>
      <c r="P280" s="299" t="s">
        <v>40</v>
      </c>
      <c r="Q280" s="300"/>
      <c r="R280" s="300"/>
      <c r="S280" s="300"/>
      <c r="T280" s="300"/>
      <c r="U280" s="300"/>
      <c r="V280" s="301"/>
      <c r="W280" s="42" t="s">
        <v>39</v>
      </c>
      <c r="X280" s="43">
        <f>IFERROR(SUM(X270:X279),"0")</f>
        <v>112</v>
      </c>
      <c r="Y280" s="43">
        <f>IFERROR(SUM(Y270:Y279),"0")</f>
        <v>112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1.0483199999999999</v>
      </c>
      <c r="AA280" s="67"/>
      <c r="AB280" s="67"/>
      <c r="AC280" s="67"/>
    </row>
    <row r="281" spans="1:68" x14ac:dyDescent="0.2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3"/>
      <c r="P281" s="299" t="s">
        <v>40</v>
      </c>
      <c r="Q281" s="300"/>
      <c r="R281" s="300"/>
      <c r="S281" s="300"/>
      <c r="T281" s="300"/>
      <c r="U281" s="300"/>
      <c r="V281" s="301"/>
      <c r="W281" s="42" t="s">
        <v>0</v>
      </c>
      <c r="X281" s="43">
        <f>IFERROR(SUMPRODUCT(X270:X279*H270:H279),"0")</f>
        <v>394.80000000000007</v>
      </c>
      <c r="Y281" s="43">
        <f>IFERROR(SUMPRODUCT(Y270:Y279*H270:H279),"0")</f>
        <v>394.80000000000007</v>
      </c>
      <c r="Z281" s="42"/>
      <c r="AA281" s="67"/>
      <c r="AB281" s="67"/>
      <c r="AC281" s="67"/>
    </row>
    <row r="282" spans="1:68" ht="15" customHeight="1" x14ac:dyDescent="0.2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7"/>
      <c r="P282" s="304" t="s">
        <v>33</v>
      </c>
      <c r="Q282" s="305"/>
      <c r="R282" s="305"/>
      <c r="S282" s="305"/>
      <c r="T282" s="305"/>
      <c r="U282" s="305"/>
      <c r="V282" s="306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3201.12</v>
      </c>
      <c r="Y282" s="43">
        <f>IFERROR(Y31+Y37+Y44+Y50+Y58+Y63+Y68+Y74+Y80+Y85+Y91+Y101+Y107+Y120+Y124+Y128+Y136+Y142+Y148+Y154+Y160+Y165+Y170+Y175+Y182+Y187+Y196+Y202+Y208+Y214+Y219+Y224+Y230+Y236+Y240+Y246+Y250+Y258+Y262+Y268+Y281,"0")</f>
        <v>3201.12</v>
      </c>
      <c r="Z282" s="42"/>
      <c r="AA282" s="67"/>
      <c r="AB282" s="67"/>
      <c r="AC282" s="67"/>
    </row>
    <row r="283" spans="1:68" x14ac:dyDescent="0.2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7"/>
      <c r="P283" s="304" t="s">
        <v>34</v>
      </c>
      <c r="Q283" s="305"/>
      <c r="R283" s="305"/>
      <c r="S283" s="305"/>
      <c r="T283" s="305"/>
      <c r="U283" s="305"/>
      <c r="V283" s="306"/>
      <c r="W283" s="42" t="s">
        <v>0</v>
      </c>
      <c r="X283" s="43">
        <f>IFERROR(SUM(BM22:BM279),"0")</f>
        <v>3716.7740000000008</v>
      </c>
      <c r="Y283" s="43">
        <f>IFERROR(SUM(BN22:BN279),"0")</f>
        <v>3716.7740000000008</v>
      </c>
      <c r="Z283" s="42"/>
      <c r="AA283" s="67"/>
      <c r="AB283" s="67"/>
      <c r="AC283" s="67"/>
    </row>
    <row r="284" spans="1:68" x14ac:dyDescent="0.2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7"/>
      <c r="P284" s="304" t="s">
        <v>35</v>
      </c>
      <c r="Q284" s="305"/>
      <c r="R284" s="305"/>
      <c r="S284" s="305"/>
      <c r="T284" s="305"/>
      <c r="U284" s="305"/>
      <c r="V284" s="306"/>
      <c r="W284" s="42" t="s">
        <v>20</v>
      </c>
      <c r="X284" s="44">
        <f>ROUNDUP(SUM(BO22:BO279),0)</f>
        <v>15</v>
      </c>
      <c r="Y284" s="44">
        <f>ROUNDUP(SUM(BP22:BP279),0)</f>
        <v>15</v>
      </c>
      <c r="Z284" s="42"/>
      <c r="AA284" s="67"/>
      <c r="AB284" s="67"/>
      <c r="AC284" s="67"/>
    </row>
    <row r="285" spans="1:68" x14ac:dyDescent="0.2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7"/>
      <c r="P285" s="304" t="s">
        <v>36</v>
      </c>
      <c r="Q285" s="305"/>
      <c r="R285" s="305"/>
      <c r="S285" s="305"/>
      <c r="T285" s="305"/>
      <c r="U285" s="305"/>
      <c r="V285" s="306"/>
      <c r="W285" s="42" t="s">
        <v>0</v>
      </c>
      <c r="X285" s="43">
        <f>GrossWeightTotal+PalletQtyTotal*25</f>
        <v>4091.7740000000008</v>
      </c>
      <c r="Y285" s="43">
        <f>GrossWeightTotalR+PalletQtyTotalR*25</f>
        <v>4091.7740000000008</v>
      </c>
      <c r="Z285" s="42"/>
      <c r="AA285" s="67"/>
      <c r="AB285" s="67"/>
      <c r="AC285" s="67"/>
    </row>
    <row r="286" spans="1:68" x14ac:dyDescent="0.2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7"/>
      <c r="P286" s="304" t="s">
        <v>37</v>
      </c>
      <c r="Q286" s="305"/>
      <c r="R286" s="305"/>
      <c r="S286" s="305"/>
      <c r="T286" s="305"/>
      <c r="U286" s="305"/>
      <c r="V286" s="306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1100</v>
      </c>
      <c r="Y286" s="43">
        <f>IFERROR(Y30+Y36+Y43+Y49+Y57+Y62+Y67+Y73+Y79+Y84+Y90+Y100+Y106+Y119+Y123+Y127+Y135+Y141+Y147+Y153+Y159+Y164+Y169+Y174+Y181+Y186+Y195+Y201+Y207+Y213+Y218+Y223+Y229+Y235+Y239+Y245+Y249+Y257+Y261+Y267+Y280,"0")</f>
        <v>1100</v>
      </c>
      <c r="Z286" s="42"/>
      <c r="AA286" s="67"/>
      <c r="AB286" s="67"/>
      <c r="AC286" s="67"/>
    </row>
    <row r="287" spans="1:68" ht="14.25" x14ac:dyDescent="0.2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7"/>
      <c r="P287" s="304" t="s">
        <v>38</v>
      </c>
      <c r="Q287" s="305"/>
      <c r="R287" s="305"/>
      <c r="S287" s="305"/>
      <c r="T287" s="305"/>
      <c r="U287" s="305"/>
      <c r="V287" s="306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18.036159999999999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291" t="s">
        <v>81</v>
      </c>
      <c r="C289" s="291" t="s">
        <v>81</v>
      </c>
      <c r="D289" s="291" t="s">
        <v>45</v>
      </c>
      <c r="E289" s="291" t="s">
        <v>45</v>
      </c>
      <c r="F289" s="291" t="s">
        <v>45</v>
      </c>
      <c r="G289" s="291" t="s">
        <v>45</v>
      </c>
      <c r="H289" s="291" t="s">
        <v>45</v>
      </c>
      <c r="I289" s="291" t="s">
        <v>45</v>
      </c>
      <c r="J289" s="291" t="s">
        <v>45</v>
      </c>
      <c r="K289" s="291" t="s">
        <v>45</v>
      </c>
      <c r="L289" s="291" t="s">
        <v>45</v>
      </c>
      <c r="M289" s="291" t="s">
        <v>45</v>
      </c>
      <c r="N289" s="292"/>
      <c r="O289" s="291" t="s">
        <v>45</v>
      </c>
      <c r="P289" s="291" t="s">
        <v>45</v>
      </c>
      <c r="Q289" s="291" t="s">
        <v>45</v>
      </c>
      <c r="R289" s="291" t="s">
        <v>45</v>
      </c>
      <c r="S289" s="291" t="s">
        <v>45</v>
      </c>
      <c r="T289" s="291" t="s">
        <v>45</v>
      </c>
      <c r="U289" s="291" t="s">
        <v>45</v>
      </c>
      <c r="V289" s="291" t="s">
        <v>277</v>
      </c>
      <c r="W289" s="291" t="s">
        <v>277</v>
      </c>
      <c r="X289" s="88" t="s">
        <v>288</v>
      </c>
      <c r="Y289" s="291" t="s">
        <v>302</v>
      </c>
      <c r="Z289" s="291" t="s">
        <v>302</v>
      </c>
      <c r="AA289" s="291" t="s">
        <v>302</v>
      </c>
      <c r="AB289" s="291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293" t="s">
        <v>10</v>
      </c>
      <c r="B290" s="291" t="s">
        <v>81</v>
      </c>
      <c r="C290" s="291" t="s">
        <v>106</v>
      </c>
      <c r="D290" s="291" t="s">
        <v>112</v>
      </c>
      <c r="E290" s="291" t="s">
        <v>123</v>
      </c>
      <c r="F290" s="291" t="s">
        <v>130</v>
      </c>
      <c r="G290" s="291" t="s">
        <v>141</v>
      </c>
      <c r="H290" s="291" t="s">
        <v>159</v>
      </c>
      <c r="I290" s="291" t="s">
        <v>166</v>
      </c>
      <c r="J290" s="291" t="s">
        <v>170</v>
      </c>
      <c r="K290" s="291" t="s">
        <v>178</v>
      </c>
      <c r="L290" s="291" t="s">
        <v>193</v>
      </c>
      <c r="M290" s="291" t="s">
        <v>200</v>
      </c>
      <c r="N290" s="1"/>
      <c r="O290" s="291" t="s">
        <v>230</v>
      </c>
      <c r="P290" s="291" t="s">
        <v>248</v>
      </c>
      <c r="Q290" s="291" t="s">
        <v>254</v>
      </c>
      <c r="R290" s="291" t="s">
        <v>261</v>
      </c>
      <c r="S290" s="291" t="s">
        <v>266</v>
      </c>
      <c r="T290" s="291" t="s">
        <v>270</v>
      </c>
      <c r="U290" s="291" t="s">
        <v>273</v>
      </c>
      <c r="V290" s="291" t="s">
        <v>278</v>
      </c>
      <c r="W290" s="291" t="s">
        <v>285</v>
      </c>
      <c r="X290" s="291" t="s">
        <v>289</v>
      </c>
      <c r="Y290" s="291" t="s">
        <v>303</v>
      </c>
      <c r="Z290" s="291" t="s">
        <v>316</v>
      </c>
      <c r="AA290" s="291" t="s">
        <v>323</v>
      </c>
      <c r="AB290" s="291" t="s">
        <v>327</v>
      </c>
      <c r="AC290" s="291" t="s">
        <v>332</v>
      </c>
      <c r="AD290" s="291" t="s">
        <v>337</v>
      </c>
      <c r="AE290" s="291" t="s">
        <v>344</v>
      </c>
      <c r="AF290" s="291" t="s">
        <v>351</v>
      </c>
    </row>
    <row r="291" spans="1:32" ht="13.5" thickBot="1" x14ac:dyDescent="0.25">
      <c r="A291" s="294"/>
      <c r="B291" s="291"/>
      <c r="C291" s="291"/>
      <c r="D291" s="291"/>
      <c r="E291" s="291"/>
      <c r="F291" s="291"/>
      <c r="G291" s="291"/>
      <c r="H291" s="291"/>
      <c r="I291" s="291"/>
      <c r="J291" s="291"/>
      <c r="K291" s="291"/>
      <c r="L291" s="291"/>
      <c r="M291" s="291"/>
      <c r="N291" s="1"/>
      <c r="O291" s="291"/>
      <c r="P291" s="291"/>
      <c r="Q291" s="291"/>
      <c r="R291" s="291"/>
      <c r="S291" s="291"/>
      <c r="T291" s="291"/>
      <c r="U291" s="291"/>
      <c r="V291" s="291"/>
      <c r="W291" s="291"/>
      <c r="X291" s="291"/>
      <c r="Y291" s="291"/>
      <c r="Z291" s="291"/>
      <c r="AA291" s="291"/>
      <c r="AB291" s="291"/>
      <c r="AC291" s="291"/>
      <c r="AD291" s="291"/>
      <c r="AE291" s="291"/>
      <c r="AF291" s="291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0</v>
      </c>
      <c r="E292" s="52">
        <f>IFERROR(X47*H47,"0")+IFERROR(X48*H48,"0")</f>
        <v>0</v>
      </c>
      <c r="F292" s="52">
        <f>IFERROR(X53*H53,"0")+IFERROR(X54*H54,"0")+IFERROR(X55*H55,"0")+IFERROR(X56*H56,"0")</f>
        <v>0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0</v>
      </c>
      <c r="K292" s="52">
        <f>IFERROR(X94*H94,"0")+IFERROR(X95*H95,"0")+IFERROR(X96*H96,"0")+IFERROR(X97*H97,"0")+IFERROR(X98*H98,"0")+IFERROR(X99*H99,"0")</f>
        <v>0</v>
      </c>
      <c r="L292" s="52">
        <f>IFERROR(X104*H104,"0")+IFERROR(X105*H105,"0")</f>
        <v>0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0</v>
      </c>
      <c r="N292" s="1"/>
      <c r="O292" s="52">
        <f>IFERROR(X131*H131,"0")+IFERROR(X132*H132,"0")+IFERROR(X133*H133,"0")+IFERROR(X134*H134,"0")+IFERROR(X138*H138,"0")+IFERROR(X139*H139,"0")+IFERROR(X140*H140,"0")</f>
        <v>0</v>
      </c>
      <c r="P292" s="52">
        <f>IFERROR(X145*H145,"0")+IFERROR(X146*H146,"0")</f>
        <v>0</v>
      </c>
      <c r="Q292" s="52">
        <f>IFERROR(X151*H151,"0")+IFERROR(X152*H152,"0")</f>
        <v>801</v>
      </c>
      <c r="R292" s="52">
        <f>IFERROR(X157*H157,"0")+IFERROR(X158*H158,"0")</f>
        <v>100.8</v>
      </c>
      <c r="S292" s="52">
        <f>IFERROR(X163*H163,"0")</f>
        <v>75</v>
      </c>
      <c r="T292" s="52">
        <f>IFERROR(X168*H168,"0")</f>
        <v>0</v>
      </c>
      <c r="U292" s="52">
        <f>IFERROR(X173*H173,"0")</f>
        <v>134.4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1386</v>
      </c>
      <c r="Y292" s="52">
        <f>IFERROR(X200*H200,"0")+IFERROR(X204*H204,"0")+IFERROR(X205*H205,"0")+IFERROR(X206*H206,"0")</f>
        <v>309.12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394.80000000000007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0</v>
      </c>
      <c r="B295" s="72">
        <f>SUMPRODUCT(--(BB:BB="ПГП"),--(W:W="кор"),H:H,Y:Y)+SUMPRODUCT(--(BB:BB="ПГП"),--(W:W="кг"),Y:Y)</f>
        <v>3201.1199999999994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2026-10-22T13:30:05Z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