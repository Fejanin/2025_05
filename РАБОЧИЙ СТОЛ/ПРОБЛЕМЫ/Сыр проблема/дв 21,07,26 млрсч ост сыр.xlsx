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ПРОБЛЕМЫ\Сыр проблема\"/>
    </mc:Choice>
  </mc:AlternateContent>
  <xr:revisionPtr revIDLastSave="0" documentId="13_ncr:1_{730C12C8-642B-4725-9D36-039FBF40F7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Sheet!$A$3:$AD$53</definedName>
  </definedNames>
  <calcPr calcId="191029"/>
</workbook>
</file>

<file path=xl/calcChain.xml><?xml version="1.0" encoding="utf-8"?>
<calcChain xmlns="http://schemas.openxmlformats.org/spreadsheetml/2006/main">
  <c r="P43" i="1" l="1"/>
  <c r="P40" i="1"/>
  <c r="P6" i="1"/>
  <c r="R15" i="1"/>
  <c r="R16" i="1"/>
  <c r="R17" i="1"/>
  <c r="R18" i="1"/>
  <c r="R19" i="1"/>
  <c r="R20" i="1"/>
  <c r="R21" i="1"/>
  <c r="R22" i="1"/>
  <c r="R24" i="1"/>
  <c r="R29" i="1"/>
  <c r="R30" i="1"/>
  <c r="R31" i="1"/>
  <c r="R32" i="1"/>
  <c r="R33" i="1"/>
  <c r="R34" i="1"/>
  <c r="R35" i="1"/>
  <c r="R36" i="1"/>
  <c r="R38" i="1"/>
  <c r="R41" i="1"/>
  <c r="R42" i="1"/>
  <c r="R44" i="1"/>
  <c r="R45" i="1"/>
  <c r="R46" i="1"/>
  <c r="R48" i="1"/>
  <c r="R5" i="1" l="1"/>
  <c r="AD11" i="1"/>
  <c r="AD9" i="1"/>
  <c r="P53" i="1"/>
  <c r="T53" i="1" s="1"/>
  <c r="L53" i="1"/>
  <c r="P52" i="1"/>
  <c r="AD52" i="1" s="1"/>
  <c r="L52" i="1"/>
  <c r="F52" i="1"/>
  <c r="F51" i="1"/>
  <c r="E51" i="1"/>
  <c r="P50" i="1"/>
  <c r="T50" i="1" s="1"/>
  <c r="L50" i="1"/>
  <c r="P49" i="1"/>
  <c r="T49" i="1" s="1"/>
  <c r="L49" i="1"/>
  <c r="F48" i="1"/>
  <c r="E48" i="1"/>
  <c r="P48" i="1" s="1"/>
  <c r="P47" i="1"/>
  <c r="T47" i="1" s="1"/>
  <c r="L47" i="1"/>
  <c r="P46" i="1"/>
  <c r="Q46" i="1" s="1"/>
  <c r="L46" i="1"/>
  <c r="P45" i="1"/>
  <c r="T45" i="1" s="1"/>
  <c r="L45" i="1"/>
  <c r="P44" i="1"/>
  <c r="T44" i="1" s="1"/>
  <c r="L44" i="1"/>
  <c r="T43" i="1"/>
  <c r="L43" i="1"/>
  <c r="P42" i="1"/>
  <c r="Q42" i="1" s="1"/>
  <c r="L42" i="1"/>
  <c r="P41" i="1"/>
  <c r="L41" i="1"/>
  <c r="T40" i="1"/>
  <c r="L40" i="1"/>
  <c r="AD39" i="1"/>
  <c r="P39" i="1"/>
  <c r="T39" i="1" s="1"/>
  <c r="L39" i="1"/>
  <c r="P38" i="1"/>
  <c r="T38" i="1" s="1"/>
  <c r="L38" i="1"/>
  <c r="P37" i="1"/>
  <c r="AD37" i="1" s="1"/>
  <c r="L37" i="1"/>
  <c r="P36" i="1"/>
  <c r="T36" i="1" s="1"/>
  <c r="L36" i="1"/>
  <c r="P35" i="1"/>
  <c r="T35" i="1" s="1"/>
  <c r="L35" i="1"/>
  <c r="P34" i="1"/>
  <c r="T34" i="1" s="1"/>
  <c r="L34" i="1"/>
  <c r="P33" i="1"/>
  <c r="Q33" i="1" s="1"/>
  <c r="L33" i="1"/>
  <c r="P32" i="1"/>
  <c r="T32" i="1" s="1"/>
  <c r="L32" i="1"/>
  <c r="P31" i="1"/>
  <c r="T31" i="1" s="1"/>
  <c r="L31" i="1"/>
  <c r="P30" i="1"/>
  <c r="Q30" i="1" s="1"/>
  <c r="L30" i="1"/>
  <c r="P29" i="1"/>
  <c r="Q29" i="1" s="1"/>
  <c r="L29" i="1"/>
  <c r="P28" i="1"/>
  <c r="T28" i="1" s="1"/>
  <c r="L28" i="1"/>
  <c r="P27" i="1"/>
  <c r="T27" i="1" s="1"/>
  <c r="L27" i="1"/>
  <c r="P26" i="1"/>
  <c r="T26" i="1" s="1"/>
  <c r="L26" i="1"/>
  <c r="P25" i="1"/>
  <c r="AD25" i="1" s="1"/>
  <c r="L25" i="1"/>
  <c r="P24" i="1"/>
  <c r="T24" i="1" s="1"/>
  <c r="L24" i="1"/>
  <c r="P23" i="1"/>
  <c r="T23" i="1" s="1"/>
  <c r="L23" i="1"/>
  <c r="P22" i="1"/>
  <c r="T22" i="1" s="1"/>
  <c r="L22" i="1"/>
  <c r="P21" i="1"/>
  <c r="Q21" i="1" s="1"/>
  <c r="L21" i="1"/>
  <c r="P20" i="1"/>
  <c r="T20" i="1" s="1"/>
  <c r="L20" i="1"/>
  <c r="P19" i="1"/>
  <c r="T19" i="1" s="1"/>
  <c r="L19" i="1"/>
  <c r="P18" i="1"/>
  <c r="T18" i="1" s="1"/>
  <c r="L18" i="1"/>
  <c r="P17" i="1"/>
  <c r="Q17" i="1" s="1"/>
  <c r="L17" i="1"/>
  <c r="P16" i="1"/>
  <c r="T16" i="1" s="1"/>
  <c r="L16" i="1"/>
  <c r="P15" i="1"/>
  <c r="T15" i="1" s="1"/>
  <c r="L15" i="1"/>
  <c r="P14" i="1"/>
  <c r="T14" i="1" s="1"/>
  <c r="L14" i="1"/>
  <c r="AD13" i="1"/>
  <c r="P13" i="1"/>
  <c r="T13" i="1" s="1"/>
  <c r="L13" i="1"/>
  <c r="AD12" i="1"/>
  <c r="P12" i="1"/>
  <c r="T12" i="1" s="1"/>
  <c r="L12" i="1"/>
  <c r="P11" i="1"/>
  <c r="T11" i="1" s="1"/>
  <c r="L11" i="1"/>
  <c r="P10" i="1"/>
  <c r="T10" i="1" s="1"/>
  <c r="L10" i="1"/>
  <c r="P9" i="1"/>
  <c r="L9" i="1"/>
  <c r="P8" i="1"/>
  <c r="T8" i="1" s="1"/>
  <c r="L8" i="1"/>
  <c r="P7" i="1"/>
  <c r="T7" i="1" s="1"/>
  <c r="L7" i="1"/>
  <c r="T6" i="1"/>
  <c r="L6" i="1"/>
  <c r="AB5" i="1"/>
  <c r="AA5" i="1"/>
  <c r="Z5" i="1"/>
  <c r="Y5" i="1"/>
  <c r="X5" i="1"/>
  <c r="W5" i="1"/>
  <c r="V5" i="1"/>
  <c r="U5" i="1"/>
  <c r="O5" i="1"/>
  <c r="N5" i="1"/>
  <c r="M5" i="1"/>
  <c r="K5" i="1"/>
  <c r="Q15" i="1" l="1"/>
  <c r="AD15" i="1" s="1"/>
  <c r="Q16" i="1"/>
  <c r="AD16" i="1" s="1"/>
  <c r="Q32" i="1"/>
  <c r="AD32" i="1" s="1"/>
  <c r="Q34" i="1"/>
  <c r="AD34" i="1" s="1"/>
  <c r="AD29" i="1"/>
  <c r="Q38" i="1"/>
  <c r="AD38" i="1" s="1"/>
  <c r="Q44" i="1"/>
  <c r="AD44" i="1" s="1"/>
  <c r="Q45" i="1"/>
  <c r="AD45" i="1" s="1"/>
  <c r="AD33" i="1"/>
  <c r="Q36" i="1"/>
  <c r="AD36" i="1" s="1"/>
  <c r="Q22" i="1"/>
  <c r="AD22" i="1" s="1"/>
  <c r="Q24" i="1"/>
  <c r="AD24" i="1" s="1"/>
  <c r="Q19" i="1"/>
  <c r="AD19" i="1" s="1"/>
  <c r="Q41" i="1"/>
  <c r="AD41" i="1" s="1"/>
  <c r="Q31" i="1"/>
  <c r="AD31" i="1" s="1"/>
  <c r="Q18" i="1"/>
  <c r="S18" i="1" s="1"/>
  <c r="Q20" i="1"/>
  <c r="AD20" i="1" s="1"/>
  <c r="AD21" i="1"/>
  <c r="T29" i="1"/>
  <c r="T33" i="1"/>
  <c r="T41" i="1"/>
  <c r="Q48" i="1"/>
  <c r="AD48" i="1" s="1"/>
  <c r="Q35" i="1"/>
  <c r="AD35" i="1" s="1"/>
  <c r="AD26" i="1"/>
  <c r="S26" i="1"/>
  <c r="AD30" i="1"/>
  <c r="S30" i="1"/>
  <c r="S10" i="1"/>
  <c r="AD10" i="1"/>
  <c r="AD42" i="1"/>
  <c r="S42" i="1"/>
  <c r="T42" i="1"/>
  <c r="T17" i="1"/>
  <c r="T30" i="1"/>
  <c r="AD17" i="1"/>
  <c r="S52" i="1"/>
  <c r="AD40" i="1"/>
  <c r="S33" i="1"/>
  <c r="AD23" i="1"/>
  <c r="AD43" i="1"/>
  <c r="S9" i="1"/>
  <c r="S21" i="1"/>
  <c r="T46" i="1"/>
  <c r="AD6" i="1"/>
  <c r="AD46" i="1"/>
  <c r="AD27" i="1"/>
  <c r="AD8" i="1"/>
  <c r="AD28" i="1"/>
  <c r="AD49" i="1"/>
  <c r="AD7" i="1"/>
  <c r="S37" i="1"/>
  <c r="S29" i="1"/>
  <c r="S13" i="1"/>
  <c r="S25" i="1"/>
  <c r="L48" i="1"/>
  <c r="T21" i="1"/>
  <c r="T37" i="1"/>
  <c r="E5" i="1"/>
  <c r="T9" i="1"/>
  <c r="T25" i="1"/>
  <c r="T52" i="1"/>
  <c r="T48" i="1"/>
  <c r="S50" i="1"/>
  <c r="L51" i="1"/>
  <c r="S11" i="1"/>
  <c r="S23" i="1"/>
  <c r="S39" i="1"/>
  <c r="S43" i="1"/>
  <c r="S47" i="1"/>
  <c r="P51" i="1"/>
  <c r="F5" i="1"/>
  <c r="S12" i="1"/>
  <c r="S32" i="1"/>
  <c r="S40" i="1"/>
  <c r="S53" i="1"/>
  <c r="S41" i="1" l="1"/>
  <c r="AD18" i="1"/>
  <c r="S19" i="1"/>
  <c r="S31" i="1"/>
  <c r="S22" i="1"/>
  <c r="S35" i="1"/>
  <c r="S16" i="1"/>
  <c r="S34" i="1"/>
  <c r="S45" i="1"/>
  <c r="S48" i="1"/>
  <c r="S8" i="1"/>
  <c r="AD14" i="1"/>
  <c r="S14" i="1"/>
  <c r="AD51" i="1"/>
  <c r="S49" i="1"/>
  <c r="S17" i="1"/>
  <c r="S20" i="1"/>
  <c r="S27" i="1"/>
  <c r="S38" i="1"/>
  <c r="S46" i="1"/>
  <c r="S36" i="1"/>
  <c r="S6" i="1"/>
  <c r="S15" i="1"/>
  <c r="S7" i="1"/>
  <c r="S44" i="1"/>
  <c r="L5" i="1"/>
  <c r="S28" i="1"/>
  <c r="S24" i="1"/>
  <c r="T51" i="1"/>
  <c r="P5" i="1"/>
  <c r="AD5" i="1" l="1"/>
  <c r="Q5" i="1"/>
  <c r="S51" i="1"/>
</calcChain>
</file>

<file path=xl/sharedStrings.xml><?xml version="1.0" encoding="utf-8"?>
<sst xmlns="http://schemas.openxmlformats.org/spreadsheetml/2006/main" count="182" uniqueCount="88">
  <si>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</si>
  <si>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</si>
  <si>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</si>
  <si>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</si>
  <si>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</si>
  <si>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</si>
  <si>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</si>
  <si>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</si>
  <si>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</si>
  <si>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</si>
  <si>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</si>
  <si>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</si>
  <si>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</si>
  <si>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</si>
  <si>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</si>
  <si>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</si>
  <si>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</si>
  <si>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</si>
  <si>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</si>
  <si>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</si>
  <si>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</si>
  <si>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</si>
  <si>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</si>
  <si>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</si>
  <si>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</si>
  <si>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</si>
  <si>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</si>
  <si>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</si>
  <si>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</si>
  <si>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</si>
  <si>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</si>
  <si>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</si>
  <si>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</si>
  <si>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</si>
  <si>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</si>
  <si>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</si>
  <si>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</si>
  <si>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</si>
  <si>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</si>
  <si>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</si>
  <si>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</si>
  <si>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</si>
  <si>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</si>
  <si>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</si>
  <si>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</si>
  <si>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</si>
  <si>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</si>
  <si>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</si>
  <si>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</si>
  <si>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</si>
  <si>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</si>
  <si>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</si>
  <si>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</si>
  <si>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</si>
  <si>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</si>
  <si>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</si>
  <si>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</si>
  <si>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</si>
  <si>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</si>
  <si>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</si>
  <si>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</si>
  <si>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</si>
  <si>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нужно увеличить продажи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</si>
  <si>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</si>
  <si>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</si>
  <si>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</si>
  <si>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</si>
  <si>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</si>
  <si>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</si>
  <si>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</si>
  <si>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</si>
  <si>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</si>
  <si>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</si>
  <si>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</si>
  <si>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</si>
  <si>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</si>
  <si>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</si>
  <si>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</si>
  <si>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</si>
  <si>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</si>
  <si>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</si>
  <si>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</si>
  <si>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</si>
  <si>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</si>
  <si>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50кг в уценку (15,07,26)</t>
  </si>
  <si>
    <t>итого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</si>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</sst>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0" sqref="AI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7109375" customWidth="1"/>
    <col min="10" max="10" width="1" customWidth="1"/>
    <col min="11" max="12" width="7" customWidth="1"/>
    <col min="13" max="14" width="0.7109375" customWidth="1"/>
    <col min="15" max="15" width="7" style="9" customWidth="1"/>
    <col min="16" max="18" width="7" customWidth="1"/>
    <col min="19" max="20" width="5" customWidth="1"/>
    <col min="21" max="28" width="6" customWidth="1"/>
    <col min="29" max="29" width="43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85</v>
      </c>
      <c r="R3" s="3" t="s">
        <v>86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4947.8689999999997</v>
      </c>
      <c r="F5" s="4">
        <f>SUM(F6:F500)</f>
        <v>12387.586000000001</v>
      </c>
      <c r="G5" s="7"/>
      <c r="H5" s="1"/>
      <c r="I5" s="1"/>
      <c r="J5" s="1"/>
      <c r="K5" s="4">
        <f t="shared" ref="K5:R5" si="0">SUM(K6:K500)</f>
        <v>4990.8999999999996</v>
      </c>
      <c r="L5" s="4">
        <f t="shared" si="0"/>
        <v>-43.031000000000006</v>
      </c>
      <c r="M5" s="4">
        <f t="shared" si="0"/>
        <v>0</v>
      </c>
      <c r="N5" s="4">
        <f t="shared" si="0"/>
        <v>0</v>
      </c>
      <c r="O5" s="4">
        <f t="shared" si="0"/>
        <v>446</v>
      </c>
      <c r="P5" s="4">
        <f t="shared" si="0"/>
        <v>989.57379999999989</v>
      </c>
      <c r="Q5" s="4">
        <f t="shared" si="0"/>
        <v>5953.9682000000012</v>
      </c>
      <c r="R5" s="4">
        <f t="shared" si="0"/>
        <v>5946</v>
      </c>
      <c r="S5" s="1"/>
      <c r="T5" s="1"/>
      <c r="U5" s="4">
        <f t="shared" ref="U5:AB5" si="1">SUM(U6:U500)</f>
        <v>470.49979999999999</v>
      </c>
      <c r="V5" s="4">
        <f t="shared" si="1"/>
        <v>468.71100000000001</v>
      </c>
      <c r="W5" s="4">
        <f t="shared" si="1"/>
        <v>817.88300000000004</v>
      </c>
      <c r="X5" s="4">
        <f t="shared" si="1"/>
        <v>421.82560000000007</v>
      </c>
      <c r="Y5" s="4">
        <f t="shared" si="1"/>
        <v>733.13</v>
      </c>
      <c r="Z5" s="4">
        <f t="shared" si="1"/>
        <v>822.29420000000027</v>
      </c>
      <c r="AA5" s="4">
        <f t="shared" si="1"/>
        <v>790.17920000000004</v>
      </c>
      <c r="AB5" s="4">
        <f t="shared" si="1"/>
        <v>542.56459999999993</v>
      </c>
      <c r="AC5" s="1"/>
      <c r="AD5" s="4">
        <f>SUM(AD6:AD500)</f>
        <v>1173.6562000000001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157.85599999999999</v>
      </c>
      <c r="D6" s="1">
        <v>45</v>
      </c>
      <c r="E6" s="1">
        <v>10.276</v>
      </c>
      <c r="F6" s="1">
        <v>186.18199999999999</v>
      </c>
      <c r="G6" s="7">
        <v>1</v>
      </c>
      <c r="H6" s="1"/>
      <c r="I6" s="1"/>
      <c r="J6" s="1"/>
      <c r="K6" s="1">
        <v>9.4</v>
      </c>
      <c r="L6" s="1">
        <f t="shared" ref="L6:L53" si="2">E6-K6</f>
        <v>0.87599999999999945</v>
      </c>
      <c r="M6" s="1"/>
      <c r="N6" s="1"/>
      <c r="O6" s="1"/>
      <c r="P6" s="1">
        <f t="shared" ref="P6:P53" si="3">E6/5</f>
        <v>2.0552000000000001</v>
      </c>
      <c r="Q6" s="5"/>
      <c r="R6" s="5"/>
      <c r="S6" s="1">
        <f t="shared" ref="S6:S53" si="4">(F6+O6+Q6)/P6</f>
        <v>90.590696769170876</v>
      </c>
      <c r="T6" s="1">
        <f t="shared" ref="T6:T53" si="5">(F6+O6)/P6</f>
        <v>90.590696769170876</v>
      </c>
      <c r="U6" s="1">
        <v>4.1176000000000004</v>
      </c>
      <c r="V6" s="1">
        <v>4.4447999999999999</v>
      </c>
      <c r="W6" s="1">
        <v>10.6188</v>
      </c>
      <c r="X6" s="1">
        <v>12.39</v>
      </c>
      <c r="Y6" s="1">
        <v>10.9512</v>
      </c>
      <c r="Z6" s="1">
        <v>10.07</v>
      </c>
      <c r="AA6" s="1">
        <v>17.243600000000001</v>
      </c>
      <c r="AB6" s="1">
        <v>11.8668</v>
      </c>
      <c r="AC6" s="15" t="s">
        <v>33</v>
      </c>
      <c r="AD6" s="1">
        <f t="shared" ref="AD6:AD46" si="6"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38</v>
      </c>
      <c r="D7" s="1"/>
      <c r="E7" s="1">
        <v>26</v>
      </c>
      <c r="F7" s="1">
        <v>12</v>
      </c>
      <c r="G7" s="7">
        <v>0.18</v>
      </c>
      <c r="H7" s="1"/>
      <c r="I7" s="1"/>
      <c r="J7" s="1"/>
      <c r="K7" s="1">
        <v>42</v>
      </c>
      <c r="L7" s="1">
        <f t="shared" si="2"/>
        <v>-16</v>
      </c>
      <c r="M7" s="1"/>
      <c r="N7" s="1"/>
      <c r="O7" s="1">
        <v>96</v>
      </c>
      <c r="P7" s="1">
        <f t="shared" si="3"/>
        <v>5.2</v>
      </c>
      <c r="Q7" s="5"/>
      <c r="R7" s="5"/>
      <c r="S7" s="1">
        <f t="shared" si="4"/>
        <v>20.76923076923077</v>
      </c>
      <c r="T7" s="1">
        <f t="shared" si="5"/>
        <v>20.76923076923077</v>
      </c>
      <c r="U7" s="1">
        <v>6.4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/>
      <c r="AD7" s="1">
        <f t="shared" si="6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26</v>
      </c>
      <c r="D8" s="1"/>
      <c r="E8" s="1">
        <v>14</v>
      </c>
      <c r="F8" s="1">
        <v>12</v>
      </c>
      <c r="G8" s="7">
        <v>0.18</v>
      </c>
      <c r="H8" s="1"/>
      <c r="I8" s="1"/>
      <c r="J8" s="1"/>
      <c r="K8" s="1">
        <v>42</v>
      </c>
      <c r="L8" s="1">
        <f t="shared" si="2"/>
        <v>-28</v>
      </c>
      <c r="M8" s="1"/>
      <c r="N8" s="1"/>
      <c r="O8" s="1">
        <v>108</v>
      </c>
      <c r="P8" s="1">
        <f t="shared" si="3"/>
        <v>2.8</v>
      </c>
      <c r="Q8" s="5"/>
      <c r="R8" s="5"/>
      <c r="S8" s="1">
        <f t="shared" si="4"/>
        <v>42.857142857142861</v>
      </c>
      <c r="T8" s="1">
        <f t="shared" si="5"/>
        <v>42.857142857142861</v>
      </c>
      <c r="U8" s="1">
        <v>7.8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32</v>
      </c>
      <c r="C9" s="1">
        <v>25.725999999999999</v>
      </c>
      <c r="D9" s="1"/>
      <c r="E9" s="1">
        <v>3.2320000000000002</v>
      </c>
      <c r="F9" s="1">
        <v>22.494</v>
      </c>
      <c r="G9" s="7">
        <v>1</v>
      </c>
      <c r="H9" s="1"/>
      <c r="I9" s="1"/>
      <c r="J9" s="1"/>
      <c r="K9" s="1">
        <v>3.5</v>
      </c>
      <c r="L9" s="1">
        <f t="shared" si="2"/>
        <v>-0.26799999999999979</v>
      </c>
      <c r="M9" s="1"/>
      <c r="N9" s="1"/>
      <c r="O9" s="1"/>
      <c r="P9" s="1">
        <f t="shared" si="3"/>
        <v>0.64640000000000009</v>
      </c>
      <c r="Q9" s="5"/>
      <c r="R9" s="5"/>
      <c r="S9" s="1">
        <f t="shared" si="4"/>
        <v>34.798886138613859</v>
      </c>
      <c r="T9" s="1">
        <f t="shared" si="5"/>
        <v>34.798886138613859</v>
      </c>
      <c r="U9" s="1">
        <v>0</v>
      </c>
      <c r="V9" s="1">
        <v>1.8504</v>
      </c>
      <c r="W9" s="1">
        <v>3.8519999999999999</v>
      </c>
      <c r="X9" s="1">
        <v>16.388400000000001</v>
      </c>
      <c r="Y9" s="1">
        <v>3.7936000000000001</v>
      </c>
      <c r="Z9" s="1">
        <v>0.63880000000000003</v>
      </c>
      <c r="AA9" s="1">
        <v>0</v>
      </c>
      <c r="AB9" s="1">
        <v>0</v>
      </c>
      <c r="AC9" s="14" t="s">
        <v>62</v>
      </c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35</v>
      </c>
      <c r="C10" s="1">
        <v>194</v>
      </c>
      <c r="D10" s="1"/>
      <c r="E10" s="1"/>
      <c r="F10" s="1">
        <v>194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/>
      <c r="S10" s="1" t="e">
        <f t="shared" si="4"/>
        <v>#DIV/0!</v>
      </c>
      <c r="T10" s="1" t="e">
        <f t="shared" si="5"/>
        <v>#DIV/0!</v>
      </c>
      <c r="U10" s="1">
        <v>0.2</v>
      </c>
      <c r="V10" s="1">
        <v>0</v>
      </c>
      <c r="W10" s="1">
        <v>4.8</v>
      </c>
      <c r="X10" s="1">
        <v>3</v>
      </c>
      <c r="Y10" s="1">
        <v>4.4000000000000004</v>
      </c>
      <c r="Z10" s="1">
        <v>10</v>
      </c>
      <c r="AA10" s="1">
        <v>2.8</v>
      </c>
      <c r="AB10" s="1">
        <v>1</v>
      </c>
      <c r="AC10" s="15" t="s">
        <v>33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35</v>
      </c>
      <c r="C11" s="1">
        <v>618</v>
      </c>
      <c r="D11" s="1">
        <v>197</v>
      </c>
      <c r="E11" s="1">
        <v>84</v>
      </c>
      <c r="F11" s="1">
        <v>722</v>
      </c>
      <c r="G11" s="7">
        <v>0.372</v>
      </c>
      <c r="H11" s="1">
        <v>180</v>
      </c>
      <c r="I11" s="1"/>
      <c r="J11" s="1"/>
      <c r="K11" s="1">
        <v>82</v>
      </c>
      <c r="L11" s="1">
        <f t="shared" si="2"/>
        <v>2</v>
      </c>
      <c r="M11" s="1"/>
      <c r="N11" s="1"/>
      <c r="O11" s="1"/>
      <c r="P11" s="1">
        <f t="shared" si="3"/>
        <v>16.8</v>
      </c>
      <c r="Q11" s="5"/>
      <c r="R11" s="5"/>
      <c r="S11" s="1">
        <f t="shared" si="4"/>
        <v>42.976190476190474</v>
      </c>
      <c r="T11" s="1">
        <f t="shared" si="5"/>
        <v>42.976190476190474</v>
      </c>
      <c r="U11" s="1">
        <v>32.4</v>
      </c>
      <c r="V11" s="1">
        <v>10</v>
      </c>
      <c r="W11" s="1">
        <v>49</v>
      </c>
      <c r="X11" s="1">
        <v>8.6</v>
      </c>
      <c r="Y11" s="1">
        <v>37.799999999999997</v>
      </c>
      <c r="Z11" s="1">
        <v>58.2</v>
      </c>
      <c r="AA11" s="1">
        <v>47.6</v>
      </c>
      <c r="AB11" s="1">
        <v>29.8</v>
      </c>
      <c r="AC11" s="15" t="s">
        <v>33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35</v>
      </c>
      <c r="C12" s="1">
        <v>524</v>
      </c>
      <c r="D12" s="1">
        <v>216</v>
      </c>
      <c r="E12" s="1">
        <v>32</v>
      </c>
      <c r="F12" s="1">
        <v>706</v>
      </c>
      <c r="G12" s="7">
        <v>0.74399999999999999</v>
      </c>
      <c r="H12" s="1">
        <v>180</v>
      </c>
      <c r="I12" s="1"/>
      <c r="J12" s="1"/>
      <c r="K12" s="1">
        <v>28</v>
      </c>
      <c r="L12" s="1">
        <f t="shared" si="2"/>
        <v>4</v>
      </c>
      <c r="M12" s="1"/>
      <c r="N12" s="1"/>
      <c r="O12" s="1"/>
      <c r="P12" s="1">
        <f t="shared" si="3"/>
        <v>6.4</v>
      </c>
      <c r="Q12" s="5"/>
      <c r="R12" s="5"/>
      <c r="S12" s="1">
        <f t="shared" si="4"/>
        <v>110.3125</v>
      </c>
      <c r="T12" s="1">
        <f t="shared" si="5"/>
        <v>110.3125</v>
      </c>
      <c r="U12" s="1">
        <v>17.399999999999999</v>
      </c>
      <c r="V12" s="1">
        <v>6</v>
      </c>
      <c r="W12" s="1">
        <v>40.6</v>
      </c>
      <c r="X12" s="1">
        <v>19.600000000000001</v>
      </c>
      <c r="Y12" s="1">
        <v>32.4</v>
      </c>
      <c r="Z12" s="1">
        <v>48</v>
      </c>
      <c r="AA12" s="1">
        <v>33.6</v>
      </c>
      <c r="AB12" s="1">
        <v>7.2</v>
      </c>
      <c r="AC12" s="15" t="s">
        <v>33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35</v>
      </c>
      <c r="C13" s="1">
        <v>1158</v>
      </c>
      <c r="D13" s="1">
        <v>29</v>
      </c>
      <c r="E13" s="1">
        <v>98</v>
      </c>
      <c r="F13" s="1">
        <v>1070</v>
      </c>
      <c r="G13" s="7">
        <v>0.372</v>
      </c>
      <c r="H13" s="1">
        <v>180</v>
      </c>
      <c r="I13" s="1"/>
      <c r="J13" s="1"/>
      <c r="K13" s="1">
        <v>108</v>
      </c>
      <c r="L13" s="1">
        <f t="shared" si="2"/>
        <v>-10</v>
      </c>
      <c r="M13" s="1"/>
      <c r="N13" s="1"/>
      <c r="O13" s="1"/>
      <c r="P13" s="1">
        <f t="shared" si="3"/>
        <v>19.600000000000001</v>
      </c>
      <c r="Q13" s="5"/>
      <c r="R13" s="5"/>
      <c r="S13" s="1">
        <f t="shared" si="4"/>
        <v>54.591836734693871</v>
      </c>
      <c r="T13" s="1">
        <f t="shared" si="5"/>
        <v>54.591836734693871</v>
      </c>
      <c r="U13" s="1">
        <v>43.6</v>
      </c>
      <c r="V13" s="1">
        <v>20.6</v>
      </c>
      <c r="W13" s="1">
        <v>69.400000000000006</v>
      </c>
      <c r="X13" s="1">
        <v>43.4</v>
      </c>
      <c r="Y13" s="1">
        <v>43.6</v>
      </c>
      <c r="Z13" s="1">
        <v>97.8</v>
      </c>
      <c r="AA13" s="1">
        <v>52.6</v>
      </c>
      <c r="AB13" s="1">
        <v>1.8</v>
      </c>
      <c r="AC13" s="15" t="s">
        <v>33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35</v>
      </c>
      <c r="C14" s="1">
        <v>855</v>
      </c>
      <c r="D14" s="1">
        <v>360</v>
      </c>
      <c r="E14" s="1">
        <v>116</v>
      </c>
      <c r="F14" s="1">
        <v>1013</v>
      </c>
      <c r="G14" s="7">
        <v>0.74399999999999999</v>
      </c>
      <c r="H14" s="1">
        <v>180</v>
      </c>
      <c r="I14" s="1"/>
      <c r="J14" s="1"/>
      <c r="K14" s="1">
        <v>114</v>
      </c>
      <c r="L14" s="1">
        <f t="shared" si="2"/>
        <v>2</v>
      </c>
      <c r="M14" s="1"/>
      <c r="N14" s="1"/>
      <c r="O14" s="1"/>
      <c r="P14" s="1">
        <f t="shared" si="3"/>
        <v>23.2</v>
      </c>
      <c r="Q14" s="5"/>
      <c r="R14" s="5"/>
      <c r="S14" s="1">
        <f t="shared" si="4"/>
        <v>43.663793103448278</v>
      </c>
      <c r="T14" s="1">
        <f t="shared" si="5"/>
        <v>43.663793103448278</v>
      </c>
      <c r="U14" s="1">
        <v>29.8</v>
      </c>
      <c r="V14" s="1">
        <v>25.6</v>
      </c>
      <c r="W14" s="1">
        <v>71.8</v>
      </c>
      <c r="X14" s="1">
        <v>24.2</v>
      </c>
      <c r="Y14" s="1">
        <v>41.4</v>
      </c>
      <c r="Z14" s="1">
        <v>82.6</v>
      </c>
      <c r="AA14" s="1">
        <v>43.8</v>
      </c>
      <c r="AB14" s="1">
        <v>31</v>
      </c>
      <c r="AC14" s="15" t="s">
        <v>33</v>
      </c>
      <c r="AD14" s="1">
        <f t="shared" si="6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35</v>
      </c>
      <c r="C15" s="1">
        <v>267</v>
      </c>
      <c r="D15" s="1">
        <v>64</v>
      </c>
      <c r="E15" s="1">
        <v>78</v>
      </c>
      <c r="F15" s="1">
        <v>252</v>
      </c>
      <c r="G15" s="7">
        <v>0.14000000000000001</v>
      </c>
      <c r="H15" s="1"/>
      <c r="I15" s="1"/>
      <c r="J15" s="1"/>
      <c r="K15" s="1">
        <v>66</v>
      </c>
      <c r="L15" s="1">
        <f t="shared" si="2"/>
        <v>12</v>
      </c>
      <c r="M15" s="1"/>
      <c r="N15" s="1"/>
      <c r="O15" s="1"/>
      <c r="P15" s="1">
        <f t="shared" si="3"/>
        <v>15.6</v>
      </c>
      <c r="Q15" s="5">
        <f>18*P15-O15-F15</f>
        <v>28.800000000000011</v>
      </c>
      <c r="R15" s="5">
        <f>VLOOKUP(A15,заказ!A:B,2,0)</f>
        <v>32</v>
      </c>
      <c r="S15" s="1">
        <f t="shared" si="4"/>
        <v>18</v>
      </c>
      <c r="T15" s="1">
        <f t="shared" si="5"/>
        <v>16.153846153846153</v>
      </c>
      <c r="U15" s="1">
        <v>1.8</v>
      </c>
      <c r="V15" s="1">
        <v>2.6</v>
      </c>
      <c r="W15" s="1">
        <v>15.2</v>
      </c>
      <c r="X15" s="1">
        <v>5.8</v>
      </c>
      <c r="Y15" s="1">
        <v>3.2</v>
      </c>
      <c r="Z15" s="1">
        <v>9.4</v>
      </c>
      <c r="AA15" s="1">
        <v>2.4</v>
      </c>
      <c r="AB15" s="1">
        <v>4.4000000000000004</v>
      </c>
      <c r="AC15" s="1"/>
      <c r="AD15" s="1">
        <f t="shared" si="6"/>
        <v>4.0320000000000018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35</v>
      </c>
      <c r="C16" s="1">
        <v>245</v>
      </c>
      <c r="D16" s="1">
        <v>128</v>
      </c>
      <c r="E16" s="1">
        <v>106</v>
      </c>
      <c r="F16" s="1">
        <v>250</v>
      </c>
      <c r="G16" s="7">
        <v>0.18</v>
      </c>
      <c r="H16" s="1">
        <v>270</v>
      </c>
      <c r="I16" s="1"/>
      <c r="J16" s="1"/>
      <c r="K16" s="1">
        <v>98</v>
      </c>
      <c r="L16" s="1">
        <f t="shared" si="2"/>
        <v>8</v>
      </c>
      <c r="M16" s="1"/>
      <c r="N16" s="1"/>
      <c r="O16" s="1"/>
      <c r="P16" s="1">
        <f t="shared" si="3"/>
        <v>21.2</v>
      </c>
      <c r="Q16" s="5">
        <f t="shared" ref="Q16:Q17" si="7">18*P16-O16-F16</f>
        <v>131.59999999999997</v>
      </c>
      <c r="R16" s="5">
        <f>VLOOKUP(A16,заказ!A:B,2,0)</f>
        <v>128</v>
      </c>
      <c r="S16" s="1">
        <f t="shared" si="4"/>
        <v>18</v>
      </c>
      <c r="T16" s="1">
        <f t="shared" si="5"/>
        <v>11.79245283018868</v>
      </c>
      <c r="U16" s="1">
        <v>6.2</v>
      </c>
      <c r="V16" s="1">
        <v>6</v>
      </c>
      <c r="W16" s="1">
        <v>17</v>
      </c>
      <c r="X16" s="1">
        <v>6.4</v>
      </c>
      <c r="Y16" s="1">
        <v>8</v>
      </c>
      <c r="Z16" s="1">
        <v>12.6</v>
      </c>
      <c r="AA16" s="1">
        <v>6.6</v>
      </c>
      <c r="AB16" s="1">
        <v>0.8</v>
      </c>
      <c r="AC16" s="1"/>
      <c r="AD16" s="1">
        <f t="shared" si="6"/>
        <v>23.687999999999992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45</v>
      </c>
      <c r="B17" s="1" t="s">
        <v>35</v>
      </c>
      <c r="C17" s="1">
        <v>91</v>
      </c>
      <c r="D17" s="1">
        <v>240</v>
      </c>
      <c r="E17" s="1">
        <v>106</v>
      </c>
      <c r="F17" s="1">
        <v>211</v>
      </c>
      <c r="G17" s="7">
        <v>0.18</v>
      </c>
      <c r="H17" s="1">
        <v>270</v>
      </c>
      <c r="I17" s="1"/>
      <c r="J17" s="1"/>
      <c r="K17" s="1">
        <v>98</v>
      </c>
      <c r="L17" s="1">
        <f t="shared" si="2"/>
        <v>8</v>
      </c>
      <c r="M17" s="1"/>
      <c r="N17" s="1"/>
      <c r="O17" s="1"/>
      <c r="P17" s="1">
        <f t="shared" si="3"/>
        <v>21.2</v>
      </c>
      <c r="Q17" s="5">
        <f t="shared" si="7"/>
        <v>170.59999999999997</v>
      </c>
      <c r="R17" s="5">
        <f>VLOOKUP(A17,заказ!A:B,2,0)</f>
        <v>176</v>
      </c>
      <c r="S17" s="1">
        <f t="shared" si="4"/>
        <v>18</v>
      </c>
      <c r="T17" s="1">
        <f t="shared" si="5"/>
        <v>9.9528301886792452</v>
      </c>
      <c r="U17" s="1">
        <v>7</v>
      </c>
      <c r="V17" s="1">
        <v>6.4</v>
      </c>
      <c r="W17" s="1">
        <v>17.8</v>
      </c>
      <c r="X17" s="1">
        <v>6.4</v>
      </c>
      <c r="Y17" s="1">
        <v>7.4</v>
      </c>
      <c r="Z17" s="1">
        <v>12.6</v>
      </c>
      <c r="AA17" s="1">
        <v>8.4</v>
      </c>
      <c r="AB17" s="1">
        <v>10.4</v>
      </c>
      <c r="AC17" s="1"/>
      <c r="AD17" s="1">
        <f t="shared" si="6"/>
        <v>30.707999999999991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6" t="s">
        <v>46</v>
      </c>
      <c r="B18" s="1" t="s">
        <v>35</v>
      </c>
      <c r="C18" s="1">
        <v>83</v>
      </c>
      <c r="D18" s="1">
        <v>16</v>
      </c>
      <c r="E18" s="1">
        <v>89</v>
      </c>
      <c r="F18" s="1">
        <v>5</v>
      </c>
      <c r="G18" s="7">
        <v>0.1</v>
      </c>
      <c r="H18" s="1"/>
      <c r="I18" s="1"/>
      <c r="J18" s="1"/>
      <c r="K18" s="1">
        <v>86</v>
      </c>
      <c r="L18" s="1">
        <f t="shared" si="2"/>
        <v>3</v>
      </c>
      <c r="M18" s="1"/>
      <c r="N18" s="1"/>
      <c r="O18" s="1"/>
      <c r="P18" s="1">
        <f t="shared" si="3"/>
        <v>17.8</v>
      </c>
      <c r="Q18" s="5">
        <f>8*P18-O18-F18</f>
        <v>137.4</v>
      </c>
      <c r="R18" s="5">
        <f>VLOOKUP(A18,заказ!A:B,2,0)</f>
        <v>136</v>
      </c>
      <c r="S18" s="1">
        <f t="shared" si="4"/>
        <v>8</v>
      </c>
      <c r="T18" s="1">
        <f t="shared" si="5"/>
        <v>0.28089887640449435</v>
      </c>
      <c r="U18" s="1">
        <v>2.2000000000000002</v>
      </c>
      <c r="V18" s="1">
        <v>4</v>
      </c>
      <c r="W18" s="1">
        <v>6</v>
      </c>
      <c r="X18" s="1">
        <v>0</v>
      </c>
      <c r="Y18" s="1">
        <v>-0.2</v>
      </c>
      <c r="Z18" s="1">
        <v>5.2</v>
      </c>
      <c r="AA18" s="1">
        <v>6.6</v>
      </c>
      <c r="AB18" s="1">
        <v>0.2</v>
      </c>
      <c r="AC18" s="1"/>
      <c r="AD18" s="1">
        <f t="shared" si="6"/>
        <v>13.740000000000002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47</v>
      </c>
      <c r="B19" s="1" t="s">
        <v>35</v>
      </c>
      <c r="C19" s="1">
        <v>2</v>
      </c>
      <c r="D19" s="1">
        <v>16</v>
      </c>
      <c r="E19" s="1">
        <v>8</v>
      </c>
      <c r="F19" s="1">
        <v>4</v>
      </c>
      <c r="G19" s="7">
        <v>0.1</v>
      </c>
      <c r="H19" s="1"/>
      <c r="I19" s="1"/>
      <c r="J19" s="1"/>
      <c r="K19" s="1">
        <v>15</v>
      </c>
      <c r="L19" s="1">
        <f t="shared" si="2"/>
        <v>-7</v>
      </c>
      <c r="M19" s="1"/>
      <c r="N19" s="1"/>
      <c r="O19" s="1"/>
      <c r="P19" s="1">
        <f t="shared" si="3"/>
        <v>1.6</v>
      </c>
      <c r="Q19" s="5">
        <f>13*P19-O19-F19</f>
        <v>16.8</v>
      </c>
      <c r="R19" s="5">
        <f>VLOOKUP(A19,заказ!A:B,2,0)</f>
        <v>16</v>
      </c>
      <c r="S19" s="1">
        <f t="shared" si="4"/>
        <v>13</v>
      </c>
      <c r="T19" s="1">
        <f t="shared" si="5"/>
        <v>2.5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3.2</v>
      </c>
      <c r="AA19" s="1">
        <v>2.4</v>
      </c>
      <c r="AB19" s="1">
        <v>-0.8</v>
      </c>
      <c r="AC19" s="1"/>
      <c r="AD19" s="1">
        <f t="shared" si="6"/>
        <v>1.6800000000000002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48</v>
      </c>
      <c r="B20" s="1" t="s">
        <v>35</v>
      </c>
      <c r="C20" s="1">
        <v>740</v>
      </c>
      <c r="D20" s="1">
        <v>10</v>
      </c>
      <c r="E20" s="1">
        <v>711</v>
      </c>
      <c r="F20" s="1">
        <v>-10</v>
      </c>
      <c r="G20" s="7">
        <v>0.18</v>
      </c>
      <c r="H20" s="1"/>
      <c r="I20" s="1"/>
      <c r="J20" s="1"/>
      <c r="K20" s="1">
        <v>704</v>
      </c>
      <c r="L20" s="1">
        <f t="shared" si="2"/>
        <v>7</v>
      </c>
      <c r="M20" s="1"/>
      <c r="N20" s="1"/>
      <c r="O20" s="1"/>
      <c r="P20" s="1">
        <f t="shared" si="3"/>
        <v>142.19999999999999</v>
      </c>
      <c r="Q20" s="5">
        <f t="shared" ref="Q20:Q21" si="8">8*P20-O20-F20</f>
        <v>1147.5999999999999</v>
      </c>
      <c r="R20" s="5">
        <f>VLOOKUP(A20,заказ!A:B,2,0)</f>
        <v>1150</v>
      </c>
      <c r="S20" s="1">
        <f t="shared" si="4"/>
        <v>8</v>
      </c>
      <c r="T20" s="1">
        <f t="shared" si="5"/>
        <v>-7.0323488045007043E-2</v>
      </c>
      <c r="U20" s="1">
        <v>2</v>
      </c>
      <c r="V20" s="1">
        <v>0</v>
      </c>
      <c r="W20" s="1">
        <v>38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/>
      <c r="AD20" s="1">
        <f t="shared" si="6"/>
        <v>206.56799999999998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49</v>
      </c>
      <c r="B21" s="1" t="s">
        <v>35</v>
      </c>
      <c r="C21" s="1">
        <v>650</v>
      </c>
      <c r="D21" s="1">
        <v>10</v>
      </c>
      <c r="E21" s="1">
        <v>653</v>
      </c>
      <c r="F21" s="1">
        <v>-10</v>
      </c>
      <c r="G21" s="7">
        <v>0.18</v>
      </c>
      <c r="H21" s="1"/>
      <c r="I21" s="1"/>
      <c r="J21" s="1"/>
      <c r="K21" s="1">
        <v>698</v>
      </c>
      <c r="L21" s="1">
        <f t="shared" si="2"/>
        <v>-45</v>
      </c>
      <c r="M21" s="1"/>
      <c r="N21" s="1"/>
      <c r="O21" s="1"/>
      <c r="P21" s="1">
        <f t="shared" si="3"/>
        <v>130.6</v>
      </c>
      <c r="Q21" s="5">
        <f t="shared" si="8"/>
        <v>1054.8</v>
      </c>
      <c r="R21" s="5">
        <f>VLOOKUP(A21,заказ!A:B,2,0)</f>
        <v>1050</v>
      </c>
      <c r="S21" s="1">
        <f t="shared" si="4"/>
        <v>8</v>
      </c>
      <c r="T21" s="1">
        <f t="shared" si="5"/>
        <v>-7.6569678407350697E-2</v>
      </c>
      <c r="U21" s="1">
        <v>2</v>
      </c>
      <c r="V21" s="1">
        <v>-3.4</v>
      </c>
      <c r="W21" s="1">
        <v>32.200000000000003</v>
      </c>
      <c r="X21" s="1">
        <v>0</v>
      </c>
      <c r="Y21" s="1">
        <v>0</v>
      </c>
      <c r="Z21" s="1">
        <v>0</v>
      </c>
      <c r="AA21" s="1">
        <v>0</v>
      </c>
      <c r="AB21" s="1">
        <v>1.8</v>
      </c>
      <c r="AC21" s="1"/>
      <c r="AD21" s="1">
        <f t="shared" si="6"/>
        <v>189.86399999999998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50</v>
      </c>
      <c r="B22" s="1" t="s">
        <v>35</v>
      </c>
      <c r="C22" s="1">
        <v>65</v>
      </c>
      <c r="D22" s="1"/>
      <c r="E22" s="1">
        <v>37</v>
      </c>
      <c r="F22" s="1">
        <v>28</v>
      </c>
      <c r="G22" s="7">
        <v>0.4</v>
      </c>
      <c r="H22" s="1">
        <v>270</v>
      </c>
      <c r="I22" s="1"/>
      <c r="J22" s="1"/>
      <c r="K22" s="1">
        <v>35</v>
      </c>
      <c r="L22" s="1">
        <f t="shared" si="2"/>
        <v>2</v>
      </c>
      <c r="M22" s="1"/>
      <c r="N22" s="1"/>
      <c r="O22" s="1"/>
      <c r="P22" s="1">
        <f t="shared" si="3"/>
        <v>7.4</v>
      </c>
      <c r="Q22" s="5">
        <f>14*P22-O22-F22</f>
        <v>75.600000000000009</v>
      </c>
      <c r="R22" s="5">
        <f>VLOOKUP(A22,заказ!A:B,2,0)</f>
        <v>72</v>
      </c>
      <c r="S22" s="1">
        <f t="shared" si="4"/>
        <v>14</v>
      </c>
      <c r="T22" s="1">
        <f t="shared" si="5"/>
        <v>3.7837837837837838</v>
      </c>
      <c r="U22" s="1">
        <v>1.6</v>
      </c>
      <c r="V22" s="1">
        <v>0.6</v>
      </c>
      <c r="W22" s="1">
        <v>0.2</v>
      </c>
      <c r="X22" s="1">
        <v>4</v>
      </c>
      <c r="Y22" s="1">
        <v>0.2</v>
      </c>
      <c r="Z22" s="1">
        <v>2</v>
      </c>
      <c r="AA22" s="1">
        <v>3.4</v>
      </c>
      <c r="AB22" s="1">
        <v>2.2000000000000002</v>
      </c>
      <c r="AC22" s="1"/>
      <c r="AD22" s="1">
        <f t="shared" si="6"/>
        <v>30.240000000000006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51</v>
      </c>
      <c r="B23" s="1" t="s">
        <v>35</v>
      </c>
      <c r="C23" s="1">
        <v>16</v>
      </c>
      <c r="D23" s="1">
        <v>3</v>
      </c>
      <c r="E23" s="1">
        <v>4</v>
      </c>
      <c r="F23" s="1">
        <v>15</v>
      </c>
      <c r="G23" s="7">
        <v>0.4</v>
      </c>
      <c r="H23" s="1">
        <v>270</v>
      </c>
      <c r="I23" s="1"/>
      <c r="J23" s="1"/>
      <c r="K23" s="1">
        <v>4</v>
      </c>
      <c r="L23" s="1">
        <f t="shared" si="2"/>
        <v>0</v>
      </c>
      <c r="M23" s="1"/>
      <c r="N23" s="1"/>
      <c r="O23" s="1">
        <v>28</v>
      </c>
      <c r="P23" s="1">
        <f t="shared" si="3"/>
        <v>0.8</v>
      </c>
      <c r="Q23" s="5"/>
      <c r="R23" s="5"/>
      <c r="S23" s="1">
        <f t="shared" si="4"/>
        <v>53.75</v>
      </c>
      <c r="T23" s="1">
        <f t="shared" si="5"/>
        <v>53.75</v>
      </c>
      <c r="U23" s="1">
        <v>1.6</v>
      </c>
      <c r="V23" s="1">
        <v>1.2</v>
      </c>
      <c r="W23" s="1">
        <v>1.6</v>
      </c>
      <c r="X23" s="1">
        <v>3.8</v>
      </c>
      <c r="Y23" s="1">
        <v>0.6</v>
      </c>
      <c r="Z23" s="1">
        <v>3.4</v>
      </c>
      <c r="AA23" s="1">
        <v>4</v>
      </c>
      <c r="AB23" s="1">
        <v>1.4</v>
      </c>
      <c r="AC23" s="1"/>
      <c r="AD23" s="1">
        <f t="shared" si="6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52</v>
      </c>
      <c r="B24" s="1" t="s">
        <v>35</v>
      </c>
      <c r="C24" s="1">
        <v>99</v>
      </c>
      <c r="D24" s="1">
        <v>16</v>
      </c>
      <c r="E24" s="1">
        <v>60</v>
      </c>
      <c r="F24" s="1">
        <v>49</v>
      </c>
      <c r="G24" s="7">
        <v>0.18</v>
      </c>
      <c r="H24" s="1"/>
      <c r="I24" s="1"/>
      <c r="J24" s="1"/>
      <c r="K24" s="1">
        <v>52</v>
      </c>
      <c r="L24" s="1">
        <f t="shared" si="2"/>
        <v>8</v>
      </c>
      <c r="M24" s="1"/>
      <c r="N24" s="1"/>
      <c r="O24" s="1"/>
      <c r="P24" s="1">
        <f t="shared" si="3"/>
        <v>12</v>
      </c>
      <c r="Q24" s="5">
        <f>14*P24-O24-F24</f>
        <v>119</v>
      </c>
      <c r="R24" s="5">
        <f>VLOOKUP(A24,заказ!A:B,2,0)</f>
        <v>112</v>
      </c>
      <c r="S24" s="1">
        <f t="shared" si="4"/>
        <v>14</v>
      </c>
      <c r="T24" s="1">
        <f t="shared" si="5"/>
        <v>4.083333333333333</v>
      </c>
      <c r="U24" s="1">
        <v>1.8</v>
      </c>
      <c r="V24" s="1">
        <v>5.4</v>
      </c>
      <c r="W24" s="1">
        <v>6.6</v>
      </c>
      <c r="X24" s="1">
        <v>1.6</v>
      </c>
      <c r="Y24" s="1">
        <v>2</v>
      </c>
      <c r="Z24" s="1">
        <v>7.6</v>
      </c>
      <c r="AA24" s="1">
        <v>4.5999999999999996</v>
      </c>
      <c r="AB24" s="1">
        <v>11.4</v>
      </c>
      <c r="AC24" s="1"/>
      <c r="AD24" s="1">
        <f t="shared" si="6"/>
        <v>21.419999999999998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35</v>
      </c>
      <c r="C25" s="1">
        <v>151</v>
      </c>
      <c r="D25" s="1">
        <v>2</v>
      </c>
      <c r="E25" s="1">
        <v>3</v>
      </c>
      <c r="F25" s="1">
        <v>149</v>
      </c>
      <c r="G25" s="7">
        <v>0.2</v>
      </c>
      <c r="H25" s="1"/>
      <c r="I25" s="1"/>
      <c r="J25" s="1"/>
      <c r="K25" s="1">
        <v>3</v>
      </c>
      <c r="L25" s="1">
        <f t="shared" si="2"/>
        <v>0</v>
      </c>
      <c r="M25" s="1"/>
      <c r="N25" s="1"/>
      <c r="O25" s="1"/>
      <c r="P25" s="1">
        <f t="shared" si="3"/>
        <v>0.6</v>
      </c>
      <c r="Q25" s="5"/>
      <c r="R25" s="5"/>
      <c r="S25" s="1">
        <f t="shared" si="4"/>
        <v>248.33333333333334</v>
      </c>
      <c r="T25" s="1">
        <f t="shared" si="5"/>
        <v>248.33333333333334</v>
      </c>
      <c r="U25" s="1">
        <v>0.8</v>
      </c>
      <c r="V25" s="1">
        <v>0</v>
      </c>
      <c r="W25" s="1">
        <v>0.6</v>
      </c>
      <c r="X25" s="1">
        <v>0</v>
      </c>
      <c r="Y25" s="1">
        <v>0.4</v>
      </c>
      <c r="Z25" s="1">
        <v>5.8</v>
      </c>
      <c r="AA25" s="1">
        <v>3.8</v>
      </c>
      <c r="AB25" s="1">
        <v>1.6</v>
      </c>
      <c r="AC25" s="15" t="s">
        <v>33</v>
      </c>
      <c r="AD25" s="1">
        <f t="shared" si="6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54</v>
      </c>
      <c r="B26" s="1" t="s">
        <v>32</v>
      </c>
      <c r="C26" s="1">
        <v>205.38300000000001</v>
      </c>
      <c r="D26" s="1"/>
      <c r="E26" s="1"/>
      <c r="F26" s="1">
        <v>205.38300000000001</v>
      </c>
      <c r="G26" s="7">
        <v>1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0.65100000000000002</v>
      </c>
      <c r="V26" s="1">
        <v>0.65100000000000002</v>
      </c>
      <c r="W26" s="1">
        <v>0</v>
      </c>
      <c r="X26" s="1">
        <v>2.29</v>
      </c>
      <c r="Y26" s="1">
        <v>0</v>
      </c>
      <c r="Z26" s="1">
        <v>0</v>
      </c>
      <c r="AA26" s="1">
        <v>1.3140000000000001</v>
      </c>
      <c r="AB26" s="1">
        <v>3.5859999999999999</v>
      </c>
      <c r="AC26" s="15" t="s">
        <v>33</v>
      </c>
      <c r="AD26" s="1">
        <f t="shared" si="6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6" t="s">
        <v>55</v>
      </c>
      <c r="B27" s="1" t="s">
        <v>32</v>
      </c>
      <c r="C27" s="1">
        <v>54.12</v>
      </c>
      <c r="D27" s="1"/>
      <c r="E27" s="1"/>
      <c r="F27" s="1">
        <v>4.2439999999999998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1.3220000000000001</v>
      </c>
      <c r="Y27" s="1">
        <v>1.302</v>
      </c>
      <c r="Z27" s="1">
        <v>0.872</v>
      </c>
      <c r="AA27" s="1">
        <v>0.65959999999999996</v>
      </c>
      <c r="AB27" s="1">
        <v>1.302</v>
      </c>
      <c r="AC27" s="1" t="s">
        <v>84</v>
      </c>
      <c r="AD27" s="1">
        <f t="shared" si="6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56</v>
      </c>
      <c r="B28" s="1" t="s">
        <v>35</v>
      </c>
      <c r="C28" s="1">
        <v>40</v>
      </c>
      <c r="D28" s="1">
        <v>2</v>
      </c>
      <c r="E28" s="1">
        <v>31</v>
      </c>
      <c r="F28" s="1">
        <v>6</v>
      </c>
      <c r="G28" s="7">
        <v>0.18</v>
      </c>
      <c r="H28" s="1">
        <v>150</v>
      </c>
      <c r="I28" s="1"/>
      <c r="J28" s="1"/>
      <c r="K28" s="1">
        <v>40</v>
      </c>
      <c r="L28" s="1">
        <f t="shared" si="2"/>
        <v>-9</v>
      </c>
      <c r="M28" s="1"/>
      <c r="N28" s="1"/>
      <c r="O28" s="1">
        <v>156</v>
      </c>
      <c r="P28" s="1">
        <f t="shared" si="3"/>
        <v>6.2</v>
      </c>
      <c r="Q28" s="5"/>
      <c r="R28" s="5"/>
      <c r="S28" s="1">
        <f t="shared" si="4"/>
        <v>26.129032258064516</v>
      </c>
      <c r="T28" s="1">
        <f t="shared" si="5"/>
        <v>26.129032258064516</v>
      </c>
      <c r="U28" s="1">
        <v>9.8000000000000007</v>
      </c>
      <c r="V28" s="1">
        <v>-0.2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/>
      <c r="AD28" s="1">
        <f t="shared" si="6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57</v>
      </c>
      <c r="B29" s="1" t="s">
        <v>35</v>
      </c>
      <c r="C29" s="1">
        <v>35</v>
      </c>
      <c r="D29" s="1">
        <v>24</v>
      </c>
      <c r="E29" s="1">
        <v>18</v>
      </c>
      <c r="F29" s="1">
        <v>37</v>
      </c>
      <c r="G29" s="7">
        <v>0.1</v>
      </c>
      <c r="H29" s="1"/>
      <c r="I29" s="1"/>
      <c r="J29" s="1"/>
      <c r="K29" s="1">
        <v>15</v>
      </c>
      <c r="L29" s="1">
        <f t="shared" si="2"/>
        <v>3</v>
      </c>
      <c r="M29" s="1"/>
      <c r="N29" s="1"/>
      <c r="O29" s="1"/>
      <c r="P29" s="1">
        <f t="shared" si="3"/>
        <v>3.6</v>
      </c>
      <c r="Q29" s="5">
        <f t="shared" ref="Q29" si="9">18*P29-O29-F29</f>
        <v>27.799999999999997</v>
      </c>
      <c r="R29" s="5">
        <f>VLOOKUP(A29,заказ!A:B,2,0)</f>
        <v>24</v>
      </c>
      <c r="S29" s="1">
        <f t="shared" si="4"/>
        <v>18</v>
      </c>
      <c r="T29" s="1">
        <f t="shared" si="5"/>
        <v>10.277777777777777</v>
      </c>
      <c r="U29" s="1">
        <v>1</v>
      </c>
      <c r="V29" s="1">
        <v>2.4</v>
      </c>
      <c r="W29" s="1">
        <v>3.8</v>
      </c>
      <c r="X29" s="1">
        <v>2.2000000000000002</v>
      </c>
      <c r="Y29" s="1">
        <v>4.2</v>
      </c>
      <c r="Z29" s="1">
        <v>0</v>
      </c>
      <c r="AA29" s="1">
        <v>-0.2</v>
      </c>
      <c r="AB29" s="1">
        <v>5.2</v>
      </c>
      <c r="AC29" s="1"/>
      <c r="AD29" s="1">
        <f t="shared" si="6"/>
        <v>2.78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58</v>
      </c>
      <c r="B30" s="1" t="s">
        <v>35</v>
      </c>
      <c r="C30" s="1"/>
      <c r="D30" s="1">
        <v>16</v>
      </c>
      <c r="E30" s="1">
        <v>8</v>
      </c>
      <c r="F30" s="1">
        <v>5</v>
      </c>
      <c r="G30" s="7">
        <v>0.1</v>
      </c>
      <c r="H30" s="1"/>
      <c r="I30" s="1"/>
      <c r="J30" s="1"/>
      <c r="K30" s="1">
        <v>8</v>
      </c>
      <c r="L30" s="1">
        <f t="shared" si="2"/>
        <v>0</v>
      </c>
      <c r="M30" s="1"/>
      <c r="N30" s="1"/>
      <c r="O30" s="1"/>
      <c r="P30" s="1">
        <f t="shared" si="3"/>
        <v>1.6</v>
      </c>
      <c r="Q30" s="5">
        <f>13*P30-O30-F30</f>
        <v>15.8</v>
      </c>
      <c r="R30" s="5">
        <f>VLOOKUP(A30,заказ!A:B,2,0)</f>
        <v>16</v>
      </c>
      <c r="S30" s="1">
        <f t="shared" si="4"/>
        <v>13</v>
      </c>
      <c r="T30" s="1">
        <f t="shared" si="5"/>
        <v>3.125</v>
      </c>
      <c r="U30" s="1">
        <v>0</v>
      </c>
      <c r="V30" s="1">
        <v>0</v>
      </c>
      <c r="W30" s="1">
        <v>-0.6</v>
      </c>
      <c r="X30" s="1">
        <v>0</v>
      </c>
      <c r="Y30" s="1">
        <v>3</v>
      </c>
      <c r="Z30" s="1">
        <v>0.2</v>
      </c>
      <c r="AA30" s="1">
        <v>-0.6</v>
      </c>
      <c r="AB30" s="1">
        <v>3.2</v>
      </c>
      <c r="AC30" s="1"/>
      <c r="AD30" s="1">
        <f t="shared" si="6"/>
        <v>1.58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59</v>
      </c>
      <c r="B31" s="1" t="s">
        <v>35</v>
      </c>
      <c r="C31" s="1">
        <v>79</v>
      </c>
      <c r="D31" s="1">
        <v>21</v>
      </c>
      <c r="E31" s="1">
        <v>70</v>
      </c>
      <c r="F31" s="1">
        <v>14</v>
      </c>
      <c r="G31" s="7">
        <v>0.1</v>
      </c>
      <c r="H31" s="1"/>
      <c r="I31" s="1"/>
      <c r="J31" s="1"/>
      <c r="K31" s="1">
        <v>78</v>
      </c>
      <c r="L31" s="1">
        <f t="shared" si="2"/>
        <v>-8</v>
      </c>
      <c r="M31" s="1"/>
      <c r="N31" s="1"/>
      <c r="O31" s="1"/>
      <c r="P31" s="1">
        <f t="shared" si="3"/>
        <v>14</v>
      </c>
      <c r="Q31" s="5">
        <f>10*P31-O31-F31</f>
        <v>126</v>
      </c>
      <c r="R31" s="5">
        <f>VLOOKUP(A31,заказ!A:B,2,0)</f>
        <v>128</v>
      </c>
      <c r="S31" s="1">
        <f t="shared" si="4"/>
        <v>10</v>
      </c>
      <c r="T31" s="1">
        <f t="shared" si="5"/>
        <v>1</v>
      </c>
      <c r="U31" s="1">
        <v>4.2</v>
      </c>
      <c r="V31" s="1">
        <v>4.4000000000000004</v>
      </c>
      <c r="W31" s="1">
        <v>4.5999999999999996</v>
      </c>
      <c r="X31" s="1">
        <v>8</v>
      </c>
      <c r="Y31" s="1">
        <v>9.4</v>
      </c>
      <c r="Z31" s="1">
        <v>8.1999999999999993</v>
      </c>
      <c r="AA31" s="1">
        <v>7.8</v>
      </c>
      <c r="AB31" s="1">
        <v>0</v>
      </c>
      <c r="AC31" s="1"/>
      <c r="AD31" s="1">
        <f t="shared" si="6"/>
        <v>12.600000000000001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60</v>
      </c>
      <c r="B32" s="1" t="s">
        <v>35</v>
      </c>
      <c r="C32" s="1">
        <v>432</v>
      </c>
      <c r="D32" s="1">
        <v>451</v>
      </c>
      <c r="E32" s="1">
        <v>257</v>
      </c>
      <c r="F32" s="1">
        <v>579</v>
      </c>
      <c r="G32" s="7">
        <v>0.18</v>
      </c>
      <c r="H32" s="1"/>
      <c r="I32" s="1"/>
      <c r="J32" s="1"/>
      <c r="K32" s="1">
        <v>270</v>
      </c>
      <c r="L32" s="1">
        <f t="shared" si="2"/>
        <v>-13</v>
      </c>
      <c r="M32" s="1"/>
      <c r="N32" s="1"/>
      <c r="O32" s="1"/>
      <c r="P32" s="1">
        <f t="shared" si="3"/>
        <v>51.4</v>
      </c>
      <c r="Q32" s="5">
        <f t="shared" ref="Q32:Q34" si="10">18*P32-O32-F32</f>
        <v>346.19999999999993</v>
      </c>
      <c r="R32" s="5">
        <f>VLOOKUP(A32,заказ!A:B,2,0)</f>
        <v>350</v>
      </c>
      <c r="S32" s="1">
        <f t="shared" si="4"/>
        <v>18</v>
      </c>
      <c r="T32" s="1">
        <f t="shared" si="5"/>
        <v>11.264591439688717</v>
      </c>
      <c r="U32" s="1">
        <v>35</v>
      </c>
      <c r="V32" s="1">
        <v>47.2</v>
      </c>
      <c r="W32" s="1">
        <v>52.8</v>
      </c>
      <c r="X32" s="1">
        <v>3.6</v>
      </c>
      <c r="Y32" s="1">
        <v>50.4</v>
      </c>
      <c r="Z32" s="1">
        <v>63.8</v>
      </c>
      <c r="AA32" s="1">
        <v>63.8</v>
      </c>
      <c r="AB32" s="1">
        <v>62.6</v>
      </c>
      <c r="AC32" s="1"/>
      <c r="AD32" s="1">
        <f t="shared" si="6"/>
        <v>62.315999999999988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61</v>
      </c>
      <c r="B33" s="1" t="s">
        <v>35</v>
      </c>
      <c r="C33" s="1">
        <v>945</v>
      </c>
      <c r="D33" s="1">
        <v>37</v>
      </c>
      <c r="E33" s="1">
        <v>269</v>
      </c>
      <c r="F33" s="1">
        <v>640</v>
      </c>
      <c r="G33" s="7">
        <v>0.18</v>
      </c>
      <c r="H33" s="1">
        <v>150</v>
      </c>
      <c r="I33" s="1"/>
      <c r="J33" s="1"/>
      <c r="K33" s="1">
        <v>292</v>
      </c>
      <c r="L33" s="1">
        <f t="shared" si="2"/>
        <v>-23</v>
      </c>
      <c r="M33" s="1"/>
      <c r="N33" s="1"/>
      <c r="O33" s="1"/>
      <c r="P33" s="1">
        <f t="shared" si="3"/>
        <v>53.8</v>
      </c>
      <c r="Q33" s="5">
        <f t="shared" si="10"/>
        <v>328.4</v>
      </c>
      <c r="R33" s="5">
        <f>VLOOKUP(A33,заказ!A:B,2,0)</f>
        <v>330</v>
      </c>
      <c r="S33" s="1">
        <f t="shared" si="4"/>
        <v>18</v>
      </c>
      <c r="T33" s="1">
        <f t="shared" si="5"/>
        <v>11.895910780669146</v>
      </c>
      <c r="U33" s="1">
        <v>28.8</v>
      </c>
      <c r="V33" s="1">
        <v>37.799999999999997</v>
      </c>
      <c r="W33" s="1">
        <v>60.2</v>
      </c>
      <c r="X33" s="1">
        <v>6.2</v>
      </c>
      <c r="Y33" s="1">
        <v>63.4</v>
      </c>
      <c r="Z33" s="1">
        <v>32.799999999999997</v>
      </c>
      <c r="AA33" s="1">
        <v>83.4</v>
      </c>
      <c r="AB33" s="1">
        <v>59.8</v>
      </c>
      <c r="AC33" s="1"/>
      <c r="AD33" s="1">
        <f t="shared" si="6"/>
        <v>59.111999999999995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63</v>
      </c>
      <c r="B34" s="1" t="s">
        <v>35</v>
      </c>
      <c r="C34" s="1">
        <v>393</v>
      </c>
      <c r="D34" s="1">
        <v>332</v>
      </c>
      <c r="E34" s="1">
        <v>151</v>
      </c>
      <c r="F34" s="1">
        <v>529</v>
      </c>
      <c r="G34" s="7">
        <v>0.18</v>
      </c>
      <c r="H34" s="1">
        <v>150</v>
      </c>
      <c r="I34" s="1"/>
      <c r="J34" s="1"/>
      <c r="K34" s="1">
        <v>182</v>
      </c>
      <c r="L34" s="1">
        <f t="shared" si="2"/>
        <v>-31</v>
      </c>
      <c r="M34" s="1"/>
      <c r="N34" s="1"/>
      <c r="O34" s="1"/>
      <c r="P34" s="1">
        <f t="shared" si="3"/>
        <v>30.2</v>
      </c>
      <c r="Q34" s="5">
        <f t="shared" si="10"/>
        <v>14.600000000000023</v>
      </c>
      <c r="R34" s="5">
        <f>VLOOKUP(A34,заказ!A:B,2,0)</f>
        <v>10</v>
      </c>
      <c r="S34" s="1">
        <f t="shared" si="4"/>
        <v>18</v>
      </c>
      <c r="T34" s="1">
        <f t="shared" si="5"/>
        <v>17.516556291390728</v>
      </c>
      <c r="U34" s="1">
        <v>14.6</v>
      </c>
      <c r="V34" s="1">
        <v>35.200000000000003</v>
      </c>
      <c r="W34" s="1">
        <v>26</v>
      </c>
      <c r="X34" s="1">
        <v>3.2</v>
      </c>
      <c r="Y34" s="1">
        <v>40</v>
      </c>
      <c r="Z34" s="1">
        <v>-0.2</v>
      </c>
      <c r="AA34" s="1">
        <v>3.4</v>
      </c>
      <c r="AB34" s="1">
        <v>35</v>
      </c>
      <c r="AC34" s="1"/>
      <c r="AD34" s="1">
        <f t="shared" si="6"/>
        <v>2.6280000000000041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64</v>
      </c>
      <c r="B35" s="1" t="s">
        <v>35</v>
      </c>
      <c r="C35" s="1">
        <v>524</v>
      </c>
      <c r="D35" s="1">
        <v>232</v>
      </c>
      <c r="E35" s="1">
        <v>186</v>
      </c>
      <c r="F35" s="1">
        <v>537</v>
      </c>
      <c r="G35" s="7">
        <v>0.18</v>
      </c>
      <c r="H35" s="1">
        <v>120</v>
      </c>
      <c r="I35" s="1"/>
      <c r="J35" s="1"/>
      <c r="K35" s="1">
        <v>204</v>
      </c>
      <c r="L35" s="1">
        <f t="shared" si="2"/>
        <v>-18</v>
      </c>
      <c r="M35" s="1"/>
      <c r="N35" s="1"/>
      <c r="O35" s="1"/>
      <c r="P35" s="1">
        <f t="shared" si="3"/>
        <v>37.200000000000003</v>
      </c>
      <c r="Q35" s="5">
        <f t="shared" ref="Q35" si="11">20*P35-O35-F35</f>
        <v>207</v>
      </c>
      <c r="R35" s="5">
        <f>VLOOKUP(A35,заказ!A:B,2,0)</f>
        <v>210</v>
      </c>
      <c r="S35" s="1">
        <f t="shared" si="4"/>
        <v>20</v>
      </c>
      <c r="T35" s="1">
        <f t="shared" si="5"/>
        <v>14.43548387096774</v>
      </c>
      <c r="U35" s="1">
        <v>16.8</v>
      </c>
      <c r="V35" s="1">
        <v>38</v>
      </c>
      <c r="W35" s="1">
        <v>33.799999999999997</v>
      </c>
      <c r="X35" s="1">
        <v>29.6</v>
      </c>
      <c r="Y35" s="1">
        <v>58.4</v>
      </c>
      <c r="Z35" s="1">
        <v>45.6</v>
      </c>
      <c r="AA35" s="1">
        <v>81.8</v>
      </c>
      <c r="AB35" s="1">
        <v>4.2</v>
      </c>
      <c r="AC35" s="1"/>
      <c r="AD35" s="1">
        <f t="shared" si="6"/>
        <v>37.26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65</v>
      </c>
      <c r="B36" s="1" t="s">
        <v>35</v>
      </c>
      <c r="C36" s="1">
        <v>722</v>
      </c>
      <c r="D36" s="1">
        <v>414</v>
      </c>
      <c r="E36" s="1">
        <v>474</v>
      </c>
      <c r="F36" s="1">
        <v>570</v>
      </c>
      <c r="G36" s="7">
        <v>0.18</v>
      </c>
      <c r="H36" s="1">
        <v>150</v>
      </c>
      <c r="I36" s="1"/>
      <c r="J36" s="1"/>
      <c r="K36" s="1">
        <v>498</v>
      </c>
      <c r="L36" s="1">
        <f t="shared" si="2"/>
        <v>-24</v>
      </c>
      <c r="M36" s="1"/>
      <c r="N36" s="1"/>
      <c r="O36" s="1"/>
      <c r="P36" s="1">
        <f t="shared" si="3"/>
        <v>94.8</v>
      </c>
      <c r="Q36" s="5">
        <f>16*P36-O36-F36</f>
        <v>946.8</v>
      </c>
      <c r="R36" s="5">
        <f>VLOOKUP(A36,заказ!A:B,2,0)</f>
        <v>950</v>
      </c>
      <c r="S36" s="1">
        <f t="shared" si="4"/>
        <v>16</v>
      </c>
      <c r="T36" s="1">
        <f t="shared" si="5"/>
        <v>6.0126582278481013</v>
      </c>
      <c r="U36" s="1">
        <v>49.4</v>
      </c>
      <c r="V36" s="1">
        <v>61</v>
      </c>
      <c r="W36" s="1">
        <v>68.599999999999994</v>
      </c>
      <c r="X36" s="1">
        <v>53.8</v>
      </c>
      <c r="Y36" s="1">
        <v>94.6</v>
      </c>
      <c r="Z36" s="1">
        <v>81.599999999999994</v>
      </c>
      <c r="AA36" s="1">
        <v>72.599999999999994</v>
      </c>
      <c r="AB36" s="1">
        <v>77.2</v>
      </c>
      <c r="AC36" s="1"/>
      <c r="AD36" s="1">
        <f t="shared" si="6"/>
        <v>170.42399999999998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66</v>
      </c>
      <c r="B37" s="1" t="s">
        <v>35</v>
      </c>
      <c r="C37" s="1">
        <v>937</v>
      </c>
      <c r="D37" s="1">
        <v>22</v>
      </c>
      <c r="E37" s="1">
        <v>176</v>
      </c>
      <c r="F37" s="1">
        <v>746</v>
      </c>
      <c r="G37" s="7">
        <v>0.18</v>
      </c>
      <c r="H37" s="1">
        <v>120</v>
      </c>
      <c r="I37" s="1"/>
      <c r="J37" s="1"/>
      <c r="K37" s="1">
        <v>194</v>
      </c>
      <c r="L37" s="1">
        <f t="shared" si="2"/>
        <v>-18</v>
      </c>
      <c r="M37" s="1"/>
      <c r="N37" s="1"/>
      <c r="O37" s="1"/>
      <c r="P37" s="1">
        <f t="shared" si="3"/>
        <v>35.200000000000003</v>
      </c>
      <c r="Q37" s="5"/>
      <c r="R37" s="5"/>
      <c r="S37" s="1">
        <f t="shared" si="4"/>
        <v>21.193181818181817</v>
      </c>
      <c r="T37" s="1">
        <f t="shared" si="5"/>
        <v>21.193181818181817</v>
      </c>
      <c r="U37" s="1">
        <v>25</v>
      </c>
      <c r="V37" s="1">
        <v>38.6</v>
      </c>
      <c r="W37" s="1">
        <v>29</v>
      </c>
      <c r="X37" s="1">
        <v>31.8</v>
      </c>
      <c r="Y37" s="1">
        <v>62.4</v>
      </c>
      <c r="Z37" s="1">
        <v>39.6</v>
      </c>
      <c r="AA37" s="1">
        <v>56.6</v>
      </c>
      <c r="AB37" s="1">
        <v>22.8</v>
      </c>
      <c r="AC37" s="14" t="s">
        <v>62</v>
      </c>
      <c r="AD37" s="1">
        <f t="shared" si="6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67</v>
      </c>
      <c r="B38" s="1" t="s">
        <v>35</v>
      </c>
      <c r="C38" s="1">
        <v>151</v>
      </c>
      <c r="D38" s="1">
        <v>128</v>
      </c>
      <c r="E38" s="1">
        <v>71</v>
      </c>
      <c r="F38" s="1">
        <v>203</v>
      </c>
      <c r="G38" s="7">
        <v>0.14000000000000001</v>
      </c>
      <c r="H38" s="1">
        <v>180</v>
      </c>
      <c r="I38" s="1"/>
      <c r="J38" s="1"/>
      <c r="K38" s="1">
        <v>59</v>
      </c>
      <c r="L38" s="1">
        <f t="shared" si="2"/>
        <v>12</v>
      </c>
      <c r="M38" s="1"/>
      <c r="N38" s="1"/>
      <c r="O38" s="1"/>
      <c r="P38" s="1">
        <f t="shared" si="3"/>
        <v>14.2</v>
      </c>
      <c r="Q38" s="5">
        <f>18*P38-O38-F38</f>
        <v>52.599999999999994</v>
      </c>
      <c r="R38" s="5">
        <f>VLOOKUP(A38,заказ!A:B,2,0)</f>
        <v>48</v>
      </c>
      <c r="S38" s="1">
        <f t="shared" si="4"/>
        <v>18</v>
      </c>
      <c r="T38" s="1">
        <f t="shared" si="5"/>
        <v>14.295774647887324</v>
      </c>
      <c r="U38" s="1">
        <v>3.2</v>
      </c>
      <c r="V38" s="1">
        <v>3</v>
      </c>
      <c r="W38" s="1">
        <v>15.4</v>
      </c>
      <c r="X38" s="1">
        <v>7</v>
      </c>
      <c r="Y38" s="1">
        <v>5.8</v>
      </c>
      <c r="Z38" s="1">
        <v>11.2</v>
      </c>
      <c r="AA38" s="1">
        <v>3.6</v>
      </c>
      <c r="AB38" s="1">
        <v>0</v>
      </c>
      <c r="AC38" s="1"/>
      <c r="AD38" s="1">
        <f t="shared" si="6"/>
        <v>7.3639999999999999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68</v>
      </c>
      <c r="B39" s="1" t="s">
        <v>35</v>
      </c>
      <c r="C39" s="1">
        <v>965</v>
      </c>
      <c r="D39" s="1">
        <v>3</v>
      </c>
      <c r="E39" s="1">
        <v>117</v>
      </c>
      <c r="F39" s="1">
        <v>829</v>
      </c>
      <c r="G39" s="7">
        <v>0.18</v>
      </c>
      <c r="H39" s="1">
        <v>270</v>
      </c>
      <c r="I39" s="1"/>
      <c r="J39" s="1"/>
      <c r="K39" s="1">
        <v>112</v>
      </c>
      <c r="L39" s="1">
        <f t="shared" si="2"/>
        <v>5</v>
      </c>
      <c r="M39" s="1"/>
      <c r="N39" s="1"/>
      <c r="O39" s="1"/>
      <c r="P39" s="1">
        <f t="shared" si="3"/>
        <v>23.4</v>
      </c>
      <c r="Q39" s="5"/>
      <c r="R39" s="5"/>
      <c r="S39" s="1">
        <f t="shared" si="4"/>
        <v>35.427350427350433</v>
      </c>
      <c r="T39" s="1">
        <f t="shared" si="5"/>
        <v>35.427350427350433</v>
      </c>
      <c r="U39" s="1">
        <v>23</v>
      </c>
      <c r="V39" s="1">
        <v>22</v>
      </c>
      <c r="W39" s="1">
        <v>31.6</v>
      </c>
      <c r="X39" s="1">
        <v>9.1999999999999993</v>
      </c>
      <c r="Y39" s="1">
        <v>55.6</v>
      </c>
      <c r="Z39" s="1">
        <v>34.6</v>
      </c>
      <c r="AA39" s="1">
        <v>64</v>
      </c>
      <c r="AB39" s="1">
        <v>31</v>
      </c>
      <c r="AC39" s="15" t="s">
        <v>33</v>
      </c>
      <c r="AD39" s="1">
        <f t="shared" si="6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69</v>
      </c>
      <c r="B40" s="1" t="s">
        <v>32</v>
      </c>
      <c r="C40" s="1">
        <v>530.23400000000004</v>
      </c>
      <c r="D40" s="1">
        <v>3.448</v>
      </c>
      <c r="E40" s="1">
        <v>30.481000000000002</v>
      </c>
      <c r="F40" s="1">
        <v>499.75299999999999</v>
      </c>
      <c r="G40" s="7">
        <v>1</v>
      </c>
      <c r="H40" s="1"/>
      <c r="I40" s="1"/>
      <c r="J40" s="1"/>
      <c r="K40" s="1">
        <v>31.5</v>
      </c>
      <c r="L40" s="1">
        <f t="shared" si="2"/>
        <v>-1.0189999999999984</v>
      </c>
      <c r="M40" s="1"/>
      <c r="N40" s="1"/>
      <c r="O40" s="1"/>
      <c r="P40" s="1">
        <f t="shared" si="3"/>
        <v>6.0962000000000005</v>
      </c>
      <c r="Q40" s="5"/>
      <c r="R40" s="5"/>
      <c r="S40" s="1">
        <f t="shared" si="4"/>
        <v>81.97778944260358</v>
      </c>
      <c r="T40" s="1">
        <f t="shared" si="5"/>
        <v>81.97778944260358</v>
      </c>
      <c r="U40" s="1">
        <v>3.3424</v>
      </c>
      <c r="V40" s="1">
        <v>4.7187999999999999</v>
      </c>
      <c r="W40" s="1">
        <v>5.4383999999999997</v>
      </c>
      <c r="X40" s="1">
        <v>12.5824</v>
      </c>
      <c r="Y40" s="1">
        <v>6.2552000000000003</v>
      </c>
      <c r="Z40" s="1">
        <v>9.9288000000000007</v>
      </c>
      <c r="AA40" s="1">
        <v>6.5415999999999999</v>
      </c>
      <c r="AB40" s="1">
        <v>9.9700000000000006</v>
      </c>
      <c r="AC40" s="15" t="s">
        <v>33</v>
      </c>
      <c r="AD40" s="1">
        <f t="shared" si="6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70</v>
      </c>
      <c r="B41" s="1" t="s">
        <v>32</v>
      </c>
      <c r="C41" s="1">
        <v>93.542000000000002</v>
      </c>
      <c r="D41" s="1">
        <v>3.266</v>
      </c>
      <c r="E41" s="1">
        <v>58.082000000000001</v>
      </c>
      <c r="F41" s="1">
        <v>38.725999999999999</v>
      </c>
      <c r="G41" s="7">
        <v>1</v>
      </c>
      <c r="H41" s="1"/>
      <c r="I41" s="1"/>
      <c r="J41" s="1"/>
      <c r="K41" s="1">
        <v>49.5</v>
      </c>
      <c r="L41" s="1">
        <f t="shared" si="2"/>
        <v>8.5820000000000007</v>
      </c>
      <c r="M41" s="1"/>
      <c r="N41" s="1"/>
      <c r="O41" s="1"/>
      <c r="P41" s="1">
        <f t="shared" si="3"/>
        <v>11.616400000000001</v>
      </c>
      <c r="Q41" s="5">
        <f>13*P41-O41-F41</f>
        <v>112.28720000000001</v>
      </c>
      <c r="R41" s="5">
        <f>VLOOKUP(A41,заказ!A:B,2,0)</f>
        <v>116</v>
      </c>
      <c r="S41" s="1">
        <f t="shared" si="4"/>
        <v>13</v>
      </c>
      <c r="T41" s="1">
        <f t="shared" si="5"/>
        <v>3.3337350642195513</v>
      </c>
      <c r="U41" s="1">
        <v>3.92</v>
      </c>
      <c r="V41" s="1">
        <v>1.9652000000000001</v>
      </c>
      <c r="W41" s="1">
        <v>4.0278</v>
      </c>
      <c r="X41" s="1">
        <v>7.7087999999999992</v>
      </c>
      <c r="Y41" s="1">
        <v>9.3124000000000002</v>
      </c>
      <c r="Z41" s="1">
        <v>5.2211999999999996</v>
      </c>
      <c r="AA41" s="1">
        <v>0</v>
      </c>
      <c r="AB41" s="1">
        <v>0</v>
      </c>
      <c r="AC41" s="1"/>
      <c r="AD41" s="1">
        <f t="shared" si="6"/>
        <v>112.28720000000001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71</v>
      </c>
      <c r="B42" s="1" t="s">
        <v>32</v>
      </c>
      <c r="C42" s="1">
        <v>559.67600000000004</v>
      </c>
      <c r="D42" s="1">
        <v>3.2639999999999998</v>
      </c>
      <c r="E42" s="1">
        <v>131.52500000000001</v>
      </c>
      <c r="F42" s="1">
        <v>405.60899999999998</v>
      </c>
      <c r="G42" s="7">
        <v>1</v>
      </c>
      <c r="H42" s="1">
        <v>120</v>
      </c>
      <c r="I42" s="1"/>
      <c r="J42" s="1"/>
      <c r="K42" s="1">
        <v>123</v>
      </c>
      <c r="L42" s="1">
        <f t="shared" si="2"/>
        <v>8.5250000000000057</v>
      </c>
      <c r="M42" s="1"/>
      <c r="N42" s="1"/>
      <c r="O42" s="1"/>
      <c r="P42" s="1">
        <f t="shared" si="3"/>
        <v>26.305</v>
      </c>
      <c r="Q42" s="5">
        <f>18*P42-O42-F42</f>
        <v>67.881000000000029</v>
      </c>
      <c r="R42" s="5">
        <f>VLOOKUP(A42,заказ!A:B,2,0)</f>
        <v>66</v>
      </c>
      <c r="S42" s="1">
        <f t="shared" si="4"/>
        <v>18</v>
      </c>
      <c r="T42" s="1">
        <f t="shared" si="5"/>
        <v>15.419463980231894</v>
      </c>
      <c r="U42" s="1">
        <v>11.571199999999999</v>
      </c>
      <c r="V42" s="1">
        <v>10.096</v>
      </c>
      <c r="W42" s="1">
        <v>9.7864000000000004</v>
      </c>
      <c r="X42" s="1">
        <v>2.5036</v>
      </c>
      <c r="Y42" s="1">
        <v>0</v>
      </c>
      <c r="Z42" s="1">
        <v>24.099</v>
      </c>
      <c r="AA42" s="1">
        <v>24.089600000000001</v>
      </c>
      <c r="AB42" s="1">
        <v>22.079799999999999</v>
      </c>
      <c r="AC42" s="1"/>
      <c r="AD42" s="1">
        <f t="shared" si="6"/>
        <v>67.881000000000029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72</v>
      </c>
      <c r="B43" s="1" t="s">
        <v>32</v>
      </c>
      <c r="C43" s="1">
        <v>131.774</v>
      </c>
      <c r="D43" s="1">
        <v>3.33</v>
      </c>
      <c r="E43" s="1">
        <v>7.0220000000000002</v>
      </c>
      <c r="F43" s="1">
        <v>121.422</v>
      </c>
      <c r="G43" s="7">
        <v>1</v>
      </c>
      <c r="H43" s="1"/>
      <c r="I43" s="1"/>
      <c r="J43" s="1"/>
      <c r="K43" s="1">
        <v>10</v>
      </c>
      <c r="L43" s="1">
        <f t="shared" si="2"/>
        <v>-2.9779999999999998</v>
      </c>
      <c r="M43" s="1"/>
      <c r="N43" s="1"/>
      <c r="O43" s="1"/>
      <c r="P43" s="1">
        <f t="shared" si="3"/>
        <v>1.4044000000000001</v>
      </c>
      <c r="Q43" s="5"/>
      <c r="R43" s="5"/>
      <c r="S43" s="1">
        <f t="shared" si="4"/>
        <v>86.458273996012522</v>
      </c>
      <c r="T43" s="1">
        <f t="shared" si="5"/>
        <v>86.458273996012522</v>
      </c>
      <c r="U43" s="1">
        <v>2.2627999999999999</v>
      </c>
      <c r="V43" s="1">
        <v>1.9108000000000001</v>
      </c>
      <c r="W43" s="1">
        <v>1.9708000000000001</v>
      </c>
      <c r="X43" s="1">
        <v>8.595600000000001</v>
      </c>
      <c r="Y43" s="1">
        <v>1.8504</v>
      </c>
      <c r="Z43" s="1">
        <v>8.2704000000000004</v>
      </c>
      <c r="AA43" s="1">
        <v>4.3764000000000003</v>
      </c>
      <c r="AB43" s="1">
        <v>7.2476000000000003</v>
      </c>
      <c r="AC43" s="15" t="s">
        <v>33</v>
      </c>
      <c r="AD43" s="1">
        <f t="shared" si="6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73</v>
      </c>
      <c r="B44" s="1" t="s">
        <v>35</v>
      </c>
      <c r="C44" s="1">
        <v>217</v>
      </c>
      <c r="D44" s="1">
        <v>15</v>
      </c>
      <c r="E44" s="1">
        <v>92</v>
      </c>
      <c r="F44" s="1">
        <v>124</v>
      </c>
      <c r="G44" s="7">
        <v>0.1</v>
      </c>
      <c r="H44" s="1">
        <v>60</v>
      </c>
      <c r="I44" s="1"/>
      <c r="J44" s="1"/>
      <c r="K44" s="1">
        <v>105</v>
      </c>
      <c r="L44" s="1">
        <f t="shared" si="2"/>
        <v>-13</v>
      </c>
      <c r="M44" s="1"/>
      <c r="N44" s="1"/>
      <c r="O44" s="1"/>
      <c r="P44" s="1">
        <f t="shared" si="3"/>
        <v>18.399999999999999</v>
      </c>
      <c r="Q44" s="5">
        <f>15*P44-O44-F44</f>
        <v>152</v>
      </c>
      <c r="R44" s="5">
        <f>VLOOKUP(A44,заказ!A:B,2,0)</f>
        <v>150</v>
      </c>
      <c r="S44" s="1">
        <f t="shared" si="4"/>
        <v>15.000000000000002</v>
      </c>
      <c r="T44" s="1">
        <f t="shared" si="5"/>
        <v>6.7391304347826093</v>
      </c>
      <c r="U44" s="1">
        <v>9.1999999999999993</v>
      </c>
      <c r="V44" s="1">
        <v>14.6</v>
      </c>
      <c r="W44" s="1">
        <v>6.8</v>
      </c>
      <c r="X44" s="1">
        <v>13.8</v>
      </c>
      <c r="Y44" s="1">
        <v>9.1999999999999993</v>
      </c>
      <c r="Z44" s="1">
        <v>-0.2</v>
      </c>
      <c r="AA44" s="1">
        <v>1.8</v>
      </c>
      <c r="AB44" s="1">
        <v>13</v>
      </c>
      <c r="AC44" s="1"/>
      <c r="AD44" s="1">
        <f t="shared" si="6"/>
        <v>15.200000000000001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74</v>
      </c>
      <c r="B45" s="1" t="s">
        <v>35</v>
      </c>
      <c r="C45" s="1">
        <v>36</v>
      </c>
      <c r="D45" s="1">
        <v>213</v>
      </c>
      <c r="E45" s="1">
        <v>113</v>
      </c>
      <c r="F45" s="1">
        <v>123</v>
      </c>
      <c r="G45" s="7">
        <v>0.1</v>
      </c>
      <c r="H45" s="1">
        <v>90</v>
      </c>
      <c r="I45" s="1"/>
      <c r="J45" s="1"/>
      <c r="K45" s="1">
        <v>121</v>
      </c>
      <c r="L45" s="1">
        <f t="shared" si="2"/>
        <v>-8</v>
      </c>
      <c r="M45" s="1"/>
      <c r="N45" s="1"/>
      <c r="O45" s="1">
        <v>42</v>
      </c>
      <c r="P45" s="1">
        <f t="shared" si="3"/>
        <v>22.6</v>
      </c>
      <c r="Q45" s="5">
        <f>18*P45-O45-F45</f>
        <v>241.8</v>
      </c>
      <c r="R45" s="5">
        <f>VLOOKUP(A45,заказ!A:B,2,0)</f>
        <v>240</v>
      </c>
      <c r="S45" s="1">
        <f t="shared" si="4"/>
        <v>18</v>
      </c>
      <c r="T45" s="1">
        <f t="shared" si="5"/>
        <v>7.3008849557522115</v>
      </c>
      <c r="U45" s="1">
        <v>13.8</v>
      </c>
      <c r="V45" s="1">
        <v>13.2</v>
      </c>
      <c r="W45" s="1">
        <v>15.2</v>
      </c>
      <c r="X45" s="1">
        <v>12.6</v>
      </c>
      <c r="Y45" s="1">
        <v>11.2</v>
      </c>
      <c r="Z45" s="1">
        <v>11</v>
      </c>
      <c r="AA45" s="1">
        <v>18.2</v>
      </c>
      <c r="AB45" s="1">
        <v>1.4</v>
      </c>
      <c r="AC45" s="1"/>
      <c r="AD45" s="1">
        <f t="shared" si="6"/>
        <v>24.180000000000003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75</v>
      </c>
      <c r="B46" s="1" t="s">
        <v>35</v>
      </c>
      <c r="C46" s="1">
        <v>133</v>
      </c>
      <c r="D46" s="1">
        <v>19</v>
      </c>
      <c r="E46" s="1">
        <v>87</v>
      </c>
      <c r="F46" s="1">
        <v>54</v>
      </c>
      <c r="G46" s="7">
        <v>0.14000000000000001</v>
      </c>
      <c r="H46" s="1">
        <v>180</v>
      </c>
      <c r="I46" s="1"/>
      <c r="J46" s="1"/>
      <c r="K46" s="1">
        <v>78</v>
      </c>
      <c r="L46" s="1">
        <f t="shared" si="2"/>
        <v>9</v>
      </c>
      <c r="M46" s="1"/>
      <c r="N46" s="1"/>
      <c r="O46" s="1">
        <v>16</v>
      </c>
      <c r="P46" s="1">
        <f t="shared" si="3"/>
        <v>17.399999999999999</v>
      </c>
      <c r="Q46" s="5">
        <f>14*P46-O46-F46</f>
        <v>173.59999999999997</v>
      </c>
      <c r="R46" s="5">
        <f>VLOOKUP(A46,заказ!A:B,2,0)</f>
        <v>176</v>
      </c>
      <c r="S46" s="1">
        <f t="shared" si="4"/>
        <v>14</v>
      </c>
      <c r="T46" s="1">
        <f t="shared" si="5"/>
        <v>4.0229885057471266</v>
      </c>
      <c r="U46" s="1">
        <v>8.4</v>
      </c>
      <c r="V46" s="1">
        <v>9.1999999999999993</v>
      </c>
      <c r="W46" s="1">
        <v>10.4</v>
      </c>
      <c r="X46" s="1">
        <v>12.8</v>
      </c>
      <c r="Y46" s="1">
        <v>7.4</v>
      </c>
      <c r="Z46" s="1">
        <v>15.2</v>
      </c>
      <c r="AA46" s="1">
        <v>7.2</v>
      </c>
      <c r="AB46" s="1">
        <v>6</v>
      </c>
      <c r="AC46" s="1"/>
      <c r="AD46" s="1">
        <f t="shared" si="6"/>
        <v>24.303999999999998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0" t="s">
        <v>76</v>
      </c>
      <c r="B47" s="10" t="s">
        <v>35</v>
      </c>
      <c r="C47" s="10">
        <v>246</v>
      </c>
      <c r="D47" s="10">
        <v>70</v>
      </c>
      <c r="E47" s="13">
        <v>107</v>
      </c>
      <c r="F47" s="13">
        <v>169</v>
      </c>
      <c r="G47" s="11">
        <v>0</v>
      </c>
      <c r="H47" s="10"/>
      <c r="I47" s="10" t="s">
        <v>77</v>
      </c>
      <c r="J47" s="10" t="s">
        <v>78</v>
      </c>
      <c r="K47" s="10">
        <v>117</v>
      </c>
      <c r="L47" s="10">
        <f t="shared" si="2"/>
        <v>-10</v>
      </c>
      <c r="M47" s="10"/>
      <c r="N47" s="10"/>
      <c r="O47" s="10"/>
      <c r="P47" s="10">
        <f t="shared" si="3"/>
        <v>21.4</v>
      </c>
      <c r="Q47" s="12"/>
      <c r="R47" s="5"/>
      <c r="S47" s="10">
        <f t="shared" si="4"/>
        <v>7.8971962616822431</v>
      </c>
      <c r="T47" s="10">
        <f t="shared" si="5"/>
        <v>7.8971962616822431</v>
      </c>
      <c r="U47" s="10">
        <v>8.4</v>
      </c>
      <c r="V47" s="10">
        <v>0</v>
      </c>
      <c r="W47" s="10">
        <v>-0.8</v>
      </c>
      <c r="X47" s="10">
        <v>0</v>
      </c>
      <c r="Y47" s="10">
        <v>0</v>
      </c>
      <c r="Z47" s="10">
        <v>1</v>
      </c>
      <c r="AA47" s="10">
        <v>15</v>
      </c>
      <c r="AB47" s="10">
        <v>21</v>
      </c>
      <c r="AC47" s="10"/>
      <c r="AD47" s="10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78</v>
      </c>
      <c r="B48" s="1" t="s">
        <v>35</v>
      </c>
      <c r="C48" s="1"/>
      <c r="D48" s="1"/>
      <c r="E48" s="13">
        <f>0+E47</f>
        <v>107</v>
      </c>
      <c r="F48" s="13">
        <f>0+F47</f>
        <v>169</v>
      </c>
      <c r="G48" s="7">
        <v>0.2</v>
      </c>
      <c r="H48" s="1"/>
      <c r="I48" s="1"/>
      <c r="J48" s="1"/>
      <c r="K48" s="1"/>
      <c r="L48" s="1">
        <f t="shared" si="2"/>
        <v>107</v>
      </c>
      <c r="M48" s="1"/>
      <c r="N48" s="1"/>
      <c r="O48" s="1"/>
      <c r="P48" s="1">
        <f t="shared" si="3"/>
        <v>21.4</v>
      </c>
      <c r="Q48" s="5">
        <f t="shared" ref="Q48" si="12">20*P48-O48-F48</f>
        <v>259</v>
      </c>
      <c r="R48" s="5">
        <f>VLOOKUP(A48,заказ!A:B,2,0)</f>
        <v>260</v>
      </c>
      <c r="S48" s="1">
        <f t="shared" si="4"/>
        <v>20</v>
      </c>
      <c r="T48" s="1">
        <f t="shared" si="5"/>
        <v>7.8971962616822431</v>
      </c>
      <c r="U48" s="1">
        <v>8.4</v>
      </c>
      <c r="V48" s="1">
        <v>3.6</v>
      </c>
      <c r="W48" s="1">
        <v>15.8</v>
      </c>
      <c r="X48" s="1">
        <v>16.600000000000001</v>
      </c>
      <c r="Y48" s="1">
        <v>12.6</v>
      </c>
      <c r="Z48" s="1">
        <v>16.2</v>
      </c>
      <c r="AA48" s="1">
        <v>0</v>
      </c>
      <c r="AB48" s="1">
        <v>0</v>
      </c>
      <c r="AC48" s="1"/>
      <c r="AD48" s="1">
        <f>G48*Q48</f>
        <v>51.800000000000004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79</v>
      </c>
      <c r="B49" s="1" t="s">
        <v>32</v>
      </c>
      <c r="C49" s="1">
        <v>214.422</v>
      </c>
      <c r="D49" s="1"/>
      <c r="E49" s="1">
        <v>22.817</v>
      </c>
      <c r="F49" s="1">
        <v>191.60499999999999</v>
      </c>
      <c r="G49" s="7">
        <v>1</v>
      </c>
      <c r="H49" s="1"/>
      <c r="I49" s="1"/>
      <c r="J49" s="1"/>
      <c r="K49" s="1">
        <v>19</v>
      </c>
      <c r="L49" s="1">
        <f t="shared" si="2"/>
        <v>3.8170000000000002</v>
      </c>
      <c r="M49" s="1"/>
      <c r="N49" s="1"/>
      <c r="O49" s="1"/>
      <c r="P49" s="1">
        <f t="shared" si="3"/>
        <v>4.5633999999999997</v>
      </c>
      <c r="Q49" s="5"/>
      <c r="R49" s="5"/>
      <c r="S49" s="1">
        <f t="shared" si="4"/>
        <v>41.987334005346888</v>
      </c>
      <c r="T49" s="1">
        <f t="shared" si="5"/>
        <v>41.987334005346888</v>
      </c>
      <c r="U49" s="1">
        <v>0</v>
      </c>
      <c r="V49" s="1">
        <v>2.528</v>
      </c>
      <c r="W49" s="1">
        <v>0</v>
      </c>
      <c r="X49" s="1">
        <v>1.8715999999999999</v>
      </c>
      <c r="Y49" s="1">
        <v>3.1347999999999998</v>
      </c>
      <c r="Z49" s="1">
        <v>1.3140000000000001</v>
      </c>
      <c r="AA49" s="1">
        <v>8.7316000000000003</v>
      </c>
      <c r="AB49" s="1">
        <v>2.3915999999999999</v>
      </c>
      <c r="AC49" s="15" t="s">
        <v>33</v>
      </c>
      <c r="AD49" s="1">
        <f>G49*Q49</f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0" t="s">
        <v>80</v>
      </c>
      <c r="B50" s="10" t="s">
        <v>35</v>
      </c>
      <c r="C50" s="10">
        <v>25</v>
      </c>
      <c r="D50" s="10">
        <v>220</v>
      </c>
      <c r="E50" s="13">
        <v>29</v>
      </c>
      <c r="F50" s="13">
        <v>204</v>
      </c>
      <c r="G50" s="11">
        <v>0</v>
      </c>
      <c r="H50" s="10"/>
      <c r="I50" s="10" t="s">
        <v>77</v>
      </c>
      <c r="J50" s="10" t="s">
        <v>81</v>
      </c>
      <c r="K50" s="10">
        <v>29</v>
      </c>
      <c r="L50" s="10">
        <f t="shared" si="2"/>
        <v>0</v>
      </c>
      <c r="M50" s="10"/>
      <c r="N50" s="10"/>
      <c r="O50" s="10"/>
      <c r="P50" s="10">
        <f t="shared" si="3"/>
        <v>5.8</v>
      </c>
      <c r="Q50" s="12"/>
      <c r="R50" s="5"/>
      <c r="S50" s="10">
        <f t="shared" si="4"/>
        <v>35.172413793103452</v>
      </c>
      <c r="T50" s="10">
        <f t="shared" si="5"/>
        <v>35.172413793103452</v>
      </c>
      <c r="U50" s="10">
        <v>5.8</v>
      </c>
      <c r="V50" s="10">
        <v>0</v>
      </c>
      <c r="W50" s="10">
        <v>0</v>
      </c>
      <c r="X50" s="10">
        <v>0</v>
      </c>
      <c r="Y50" s="10">
        <v>0</v>
      </c>
      <c r="Z50" s="10">
        <v>0.2</v>
      </c>
      <c r="AA50" s="10">
        <v>4.2</v>
      </c>
      <c r="AB50" s="10">
        <v>14</v>
      </c>
      <c r="AC50" s="10"/>
      <c r="AD50" s="10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81</v>
      </c>
      <c r="B51" s="1" t="s">
        <v>35</v>
      </c>
      <c r="C51" s="1"/>
      <c r="D51" s="1"/>
      <c r="E51" s="13">
        <f>0+E50</f>
        <v>29</v>
      </c>
      <c r="F51" s="13">
        <f>0+F50</f>
        <v>204</v>
      </c>
      <c r="G51" s="7">
        <v>0.2</v>
      </c>
      <c r="H51" s="1"/>
      <c r="I51" s="1"/>
      <c r="J51" s="1"/>
      <c r="K51" s="1"/>
      <c r="L51" s="1">
        <f t="shared" si="2"/>
        <v>29</v>
      </c>
      <c r="M51" s="1"/>
      <c r="N51" s="1"/>
      <c r="O51" s="1"/>
      <c r="P51" s="1">
        <f t="shared" si="3"/>
        <v>5.8</v>
      </c>
      <c r="Q51" s="5"/>
      <c r="R51" s="5"/>
      <c r="S51" s="1">
        <f t="shared" si="4"/>
        <v>35.172413793103452</v>
      </c>
      <c r="T51" s="1">
        <f t="shared" si="5"/>
        <v>35.172413793103452</v>
      </c>
      <c r="U51" s="1">
        <v>5.8</v>
      </c>
      <c r="V51" s="1">
        <v>7.8</v>
      </c>
      <c r="W51" s="1">
        <v>14.2</v>
      </c>
      <c r="X51" s="1">
        <v>10</v>
      </c>
      <c r="Y51" s="1">
        <v>2</v>
      </c>
      <c r="Z51" s="1">
        <v>10.6</v>
      </c>
      <c r="AA51" s="1">
        <v>0</v>
      </c>
      <c r="AB51" s="1">
        <v>0</v>
      </c>
      <c r="AC51" s="1"/>
      <c r="AD51" s="1">
        <f>G51*Q51</f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82</v>
      </c>
      <c r="B52" s="1" t="s">
        <v>32</v>
      </c>
      <c r="C52" s="1">
        <v>317.32</v>
      </c>
      <c r="D52" s="1">
        <v>69.584000000000003</v>
      </c>
      <c r="E52" s="1">
        <v>67.433999999999997</v>
      </c>
      <c r="F52" s="13">
        <f>305.584+F53</f>
        <v>301.87599999999998</v>
      </c>
      <c r="G52" s="7">
        <v>1</v>
      </c>
      <c r="H52" s="1"/>
      <c r="I52" s="1"/>
      <c r="J52" s="1"/>
      <c r="K52" s="1">
        <v>64.5</v>
      </c>
      <c r="L52" s="1">
        <f t="shared" si="2"/>
        <v>2.9339999999999975</v>
      </c>
      <c r="M52" s="1"/>
      <c r="N52" s="1"/>
      <c r="O52" s="1"/>
      <c r="P52" s="1">
        <f t="shared" si="3"/>
        <v>13.486799999999999</v>
      </c>
      <c r="Q52" s="5"/>
      <c r="R52" s="5"/>
      <c r="S52" s="1">
        <f t="shared" si="4"/>
        <v>22.383070854465107</v>
      </c>
      <c r="T52" s="1">
        <f t="shared" si="5"/>
        <v>22.383070854465107</v>
      </c>
      <c r="U52" s="1">
        <v>8.6932000000000009</v>
      </c>
      <c r="V52" s="1">
        <v>17.745999999999999</v>
      </c>
      <c r="W52" s="1">
        <v>24.588799999999999</v>
      </c>
      <c r="X52" s="1">
        <v>8.9732000000000003</v>
      </c>
      <c r="Y52" s="1">
        <v>25.730399999999999</v>
      </c>
      <c r="Z52" s="1">
        <v>32.08</v>
      </c>
      <c r="AA52" s="1">
        <v>22.0228</v>
      </c>
      <c r="AB52" s="1">
        <v>20.520800000000001</v>
      </c>
      <c r="AC52" s="1"/>
      <c r="AD52" s="1">
        <f>G52*Q52</f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0" t="s">
        <v>83</v>
      </c>
      <c r="B53" s="10" t="s">
        <v>32</v>
      </c>
      <c r="C53" s="10">
        <v>-3.7080000000000002</v>
      </c>
      <c r="D53" s="10">
        <v>55.76</v>
      </c>
      <c r="E53" s="10"/>
      <c r="F53" s="13">
        <v>-3.7080000000000002</v>
      </c>
      <c r="G53" s="11">
        <v>0</v>
      </c>
      <c r="H53" s="10"/>
      <c r="I53" s="10" t="s">
        <v>77</v>
      </c>
      <c r="J53" s="10" t="s">
        <v>82</v>
      </c>
      <c r="K53" s="10">
        <v>3.5</v>
      </c>
      <c r="L53" s="10">
        <f t="shared" si="2"/>
        <v>-3.5</v>
      </c>
      <c r="M53" s="10"/>
      <c r="N53" s="10"/>
      <c r="O53" s="10"/>
      <c r="P53" s="10">
        <f t="shared" si="3"/>
        <v>0</v>
      </c>
      <c r="Q53" s="12"/>
      <c r="R53" s="5"/>
      <c r="S53" s="10" t="e">
        <f t="shared" si="4"/>
        <v>#DIV/0!</v>
      </c>
      <c r="T53" s="10" t="e">
        <f t="shared" si="5"/>
        <v>#DIV/0!</v>
      </c>
      <c r="U53" s="10">
        <v>0.74160000000000004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/>
      <c r="AD53" s="10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D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5D96-A96A-4D8C-A5BE-E97437012B6E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32</v>
      </c>
    </row>
    <row r="2" spans="1:2" x14ac:dyDescent="0.25">
      <c r="A2" t="s">
        <v>44</v>
      </c>
      <c r="B2">
        <v>128</v>
      </c>
    </row>
    <row r="3" spans="1:2" x14ac:dyDescent="0.25">
      <c r="A3" t="s">
        <v>45</v>
      </c>
      <c r="B3">
        <v>176</v>
      </c>
    </row>
    <row r="4" spans="1:2" x14ac:dyDescent="0.25">
      <c r="A4" t="s">
        <v>46</v>
      </c>
      <c r="B4">
        <v>136</v>
      </c>
    </row>
    <row r="5" spans="1:2" x14ac:dyDescent="0.25">
      <c r="A5" t="s">
        <v>47</v>
      </c>
      <c r="B5">
        <v>16</v>
      </c>
    </row>
    <row r="6" spans="1:2" x14ac:dyDescent="0.25">
      <c r="A6" t="s">
        <v>48</v>
      </c>
      <c r="B6">
        <v>1150</v>
      </c>
    </row>
    <row r="7" spans="1:2" x14ac:dyDescent="0.25">
      <c r="A7" t="s">
        <v>49</v>
      </c>
      <c r="B7">
        <v>1050</v>
      </c>
    </row>
    <row r="8" spans="1:2" x14ac:dyDescent="0.25">
      <c r="A8" t="s">
        <v>50</v>
      </c>
      <c r="B8">
        <v>72</v>
      </c>
    </row>
    <row r="9" spans="1:2" x14ac:dyDescent="0.25">
      <c r="A9" t="s">
        <v>52</v>
      </c>
      <c r="B9">
        <v>112</v>
      </c>
    </row>
    <row r="10" spans="1:2" x14ac:dyDescent="0.25">
      <c r="A10" t="s">
        <v>57</v>
      </c>
      <c r="B10">
        <v>24</v>
      </c>
    </row>
    <row r="11" spans="1:2" x14ac:dyDescent="0.25">
      <c r="A11" t="s">
        <v>58</v>
      </c>
      <c r="B11">
        <v>16</v>
      </c>
    </row>
    <row r="12" spans="1:2" x14ac:dyDescent="0.25">
      <c r="A12" t="s">
        <v>59</v>
      </c>
      <c r="B12">
        <v>128</v>
      </c>
    </row>
    <row r="13" spans="1:2" x14ac:dyDescent="0.25">
      <c r="A13" t="s">
        <v>60</v>
      </c>
      <c r="B13">
        <v>350</v>
      </c>
    </row>
    <row r="14" spans="1:2" x14ac:dyDescent="0.25">
      <c r="A14" t="s">
        <v>61</v>
      </c>
      <c r="B14">
        <v>330</v>
      </c>
    </row>
    <row r="15" spans="1:2" x14ac:dyDescent="0.25">
      <c r="A15" t="s">
        <v>63</v>
      </c>
      <c r="B15">
        <v>10</v>
      </c>
    </row>
    <row r="16" spans="1:2" x14ac:dyDescent="0.25">
      <c r="A16" t="s">
        <v>64</v>
      </c>
      <c r="B16">
        <v>210</v>
      </c>
    </row>
    <row r="17" spans="1:2" x14ac:dyDescent="0.25">
      <c r="A17" t="s">
        <v>65</v>
      </c>
      <c r="B17">
        <v>950</v>
      </c>
    </row>
    <row r="18" spans="1:2" x14ac:dyDescent="0.25">
      <c r="A18" t="s">
        <v>67</v>
      </c>
      <c r="B18">
        <v>48</v>
      </c>
    </row>
    <row r="19" spans="1:2" x14ac:dyDescent="0.25">
      <c r="A19" t="s">
        <v>70</v>
      </c>
      <c r="B19">
        <v>116</v>
      </c>
    </row>
    <row r="20" spans="1:2" x14ac:dyDescent="0.25">
      <c r="A20" t="s">
        <v>71</v>
      </c>
      <c r="B20">
        <v>66</v>
      </c>
    </row>
    <row r="21" spans="1:2" x14ac:dyDescent="0.25">
      <c r="A21" t="s">
        <v>73</v>
      </c>
      <c r="B21">
        <v>150</v>
      </c>
    </row>
    <row r="22" spans="1:2" x14ac:dyDescent="0.25">
      <c r="A22" t="s">
        <v>74</v>
      </c>
      <c r="B22">
        <v>240</v>
      </c>
    </row>
    <row r="23" spans="1:2" x14ac:dyDescent="0.25">
      <c r="A23" t="s">
        <v>75</v>
      </c>
      <c r="B23">
        <v>176</v>
      </c>
    </row>
    <row r="24" spans="1:2" x14ac:dyDescent="0.25">
      <c r="A24" t="s">
        <v>78</v>
      </c>
      <c r="B2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2026-07-21T17:54:40Z</dcterms:created>
  <dcterms:modified xsi:type="dcterms:W3CDTF">2026-07-26T16:14:38Z</dcterms:modified>
</cp:coreProperties>
</file>