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ПРОБЛЕМЫ\Сыр проблема\"/>
    </mc:Choice>
  </mc:AlternateContent>
  <xr:revisionPtr revIDLastSave="0" documentId="13_ncr:1_{A6085D8D-A210-46CE-8090-8BDCBEFE5A9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Sheet!$A$3:$AD$60</definedName>
  </definedNames>
  <calcPr calcId="191029" refMode="R1C1"/>
</workbook>
</file>

<file path=xl/calcChain.xml><?xml version="1.0" encoding="utf-8"?>
<calcChain xmlns="http://schemas.openxmlformats.org/spreadsheetml/2006/main">
  <c r="P11" i="1" l="1"/>
  <c r="R13" i="1"/>
  <c r="R14" i="1"/>
  <c r="R16" i="1"/>
  <c r="R17" i="1"/>
  <c r="R18" i="1"/>
  <c r="R20" i="1"/>
  <c r="R21" i="1"/>
  <c r="R23" i="1"/>
  <c r="R30" i="1"/>
  <c r="R31" i="1"/>
  <c r="R32" i="1"/>
  <c r="R33" i="1"/>
  <c r="R34" i="1"/>
  <c r="R35" i="1"/>
  <c r="R38" i="1"/>
  <c r="R46" i="1"/>
  <c r="R50" i="1"/>
  <c r="R52" i="1"/>
  <c r="R53" i="1"/>
  <c r="R55" i="1"/>
  <c r="R60" i="1"/>
  <c r="R6" i="1"/>
  <c r="R5" i="1" l="1"/>
  <c r="AD45" i="1"/>
  <c r="AD44" i="1"/>
  <c r="AD37" i="1"/>
  <c r="AD36" i="1"/>
  <c r="AD15" i="1"/>
  <c r="AD12" i="1"/>
  <c r="AD11" i="1"/>
  <c r="AD7" i="1"/>
  <c r="F60" i="1"/>
  <c r="E60" i="1"/>
  <c r="P60" i="1" s="1"/>
  <c r="P59" i="1"/>
  <c r="T59" i="1" s="1"/>
  <c r="L59" i="1"/>
  <c r="P58" i="1"/>
  <c r="T58" i="1" s="1"/>
  <c r="L58" i="1"/>
  <c r="F57" i="1"/>
  <c r="AD57" i="1" s="1"/>
  <c r="E57" i="1"/>
  <c r="P57" i="1" s="1"/>
  <c r="P56" i="1"/>
  <c r="T56" i="1" s="1"/>
  <c r="L56" i="1"/>
  <c r="P55" i="1"/>
  <c r="Q55" i="1" s="1"/>
  <c r="AD55" i="1" s="1"/>
  <c r="L55" i="1"/>
  <c r="P54" i="1"/>
  <c r="T54" i="1" s="1"/>
  <c r="L54" i="1"/>
  <c r="P53" i="1"/>
  <c r="T53" i="1" s="1"/>
  <c r="L53" i="1"/>
  <c r="P52" i="1"/>
  <c r="T52" i="1" s="1"/>
  <c r="L52" i="1"/>
  <c r="P51" i="1"/>
  <c r="T51" i="1" s="1"/>
  <c r="L51" i="1"/>
  <c r="P50" i="1"/>
  <c r="T50" i="1" s="1"/>
  <c r="L50" i="1"/>
  <c r="P49" i="1"/>
  <c r="S49" i="1" s="1"/>
  <c r="L49" i="1"/>
  <c r="P48" i="1"/>
  <c r="T48" i="1" s="1"/>
  <c r="L48" i="1"/>
  <c r="AD47" i="1"/>
  <c r="P47" i="1"/>
  <c r="L47" i="1"/>
  <c r="P46" i="1"/>
  <c r="T46" i="1" s="1"/>
  <c r="L46" i="1"/>
  <c r="P45" i="1"/>
  <c r="L45" i="1"/>
  <c r="P44" i="1"/>
  <c r="T44" i="1" s="1"/>
  <c r="L44" i="1"/>
  <c r="P43" i="1"/>
  <c r="T43" i="1" s="1"/>
  <c r="L43" i="1"/>
  <c r="P42" i="1"/>
  <c r="T42" i="1" s="1"/>
  <c r="L42" i="1"/>
  <c r="P41" i="1"/>
  <c r="T41" i="1" s="1"/>
  <c r="L41" i="1"/>
  <c r="P40" i="1"/>
  <c r="S40" i="1" s="1"/>
  <c r="L40" i="1"/>
  <c r="AD39" i="1"/>
  <c r="P39" i="1"/>
  <c r="T39" i="1" s="1"/>
  <c r="L39" i="1"/>
  <c r="E38" i="1"/>
  <c r="P38" i="1" s="1"/>
  <c r="Q38" i="1" s="1"/>
  <c r="AD38" i="1" s="1"/>
  <c r="F37" i="1"/>
  <c r="E37" i="1"/>
  <c r="P37" i="1" s="1"/>
  <c r="P36" i="1"/>
  <c r="T36" i="1" s="1"/>
  <c r="L36" i="1"/>
  <c r="P35" i="1"/>
  <c r="T35" i="1" s="1"/>
  <c r="L35" i="1"/>
  <c r="P34" i="1"/>
  <c r="Q34" i="1" s="1"/>
  <c r="AD34" i="1" s="1"/>
  <c r="L34" i="1"/>
  <c r="P33" i="1"/>
  <c r="T33" i="1" s="1"/>
  <c r="L33" i="1"/>
  <c r="P32" i="1"/>
  <c r="T32" i="1" s="1"/>
  <c r="L32" i="1"/>
  <c r="P31" i="1"/>
  <c r="Q31" i="1" s="1"/>
  <c r="AD31" i="1" s="1"/>
  <c r="L31" i="1"/>
  <c r="P30" i="1"/>
  <c r="T30" i="1" s="1"/>
  <c r="L30" i="1"/>
  <c r="P29" i="1"/>
  <c r="T29" i="1" s="1"/>
  <c r="L29" i="1"/>
  <c r="P28" i="1"/>
  <c r="AD28" i="1" s="1"/>
  <c r="L28" i="1"/>
  <c r="P27" i="1"/>
  <c r="T27" i="1" s="1"/>
  <c r="L27" i="1"/>
  <c r="P26" i="1"/>
  <c r="T26" i="1" s="1"/>
  <c r="L26" i="1"/>
  <c r="P25" i="1"/>
  <c r="L25" i="1"/>
  <c r="P24" i="1"/>
  <c r="AD24" i="1" s="1"/>
  <c r="L24" i="1"/>
  <c r="P23" i="1"/>
  <c r="Q23" i="1" s="1"/>
  <c r="AD23" i="1" s="1"/>
  <c r="L23" i="1"/>
  <c r="P22" i="1"/>
  <c r="S22" i="1" s="1"/>
  <c r="L22" i="1"/>
  <c r="P21" i="1"/>
  <c r="T21" i="1" s="1"/>
  <c r="L21" i="1"/>
  <c r="E20" i="1"/>
  <c r="P20" i="1" s="1"/>
  <c r="Q20" i="1" s="1"/>
  <c r="AD20" i="1" s="1"/>
  <c r="P19" i="1"/>
  <c r="S19" i="1" s="1"/>
  <c r="L19" i="1"/>
  <c r="P18" i="1"/>
  <c r="L18" i="1"/>
  <c r="P17" i="1"/>
  <c r="T17" i="1" s="1"/>
  <c r="L17" i="1"/>
  <c r="P16" i="1"/>
  <c r="T16" i="1" s="1"/>
  <c r="L16" i="1"/>
  <c r="P15" i="1"/>
  <c r="L15" i="1"/>
  <c r="P14" i="1"/>
  <c r="Q14" i="1" s="1"/>
  <c r="AD14" i="1" s="1"/>
  <c r="L14" i="1"/>
  <c r="P13" i="1"/>
  <c r="T13" i="1" s="1"/>
  <c r="L13" i="1"/>
  <c r="P12" i="1"/>
  <c r="T12" i="1" s="1"/>
  <c r="L12" i="1"/>
  <c r="L11" i="1"/>
  <c r="P10" i="1"/>
  <c r="L10" i="1"/>
  <c r="P9" i="1"/>
  <c r="L9" i="1"/>
  <c r="P8" i="1"/>
  <c r="L8" i="1"/>
  <c r="P7" i="1"/>
  <c r="L7" i="1"/>
  <c r="P6" i="1"/>
  <c r="L6" i="1"/>
  <c r="F6" i="1"/>
  <c r="AB5" i="1"/>
  <c r="AA5" i="1"/>
  <c r="Z5" i="1"/>
  <c r="Y5" i="1"/>
  <c r="X5" i="1"/>
  <c r="W5" i="1"/>
  <c r="V5" i="1"/>
  <c r="U5" i="1"/>
  <c r="O5" i="1"/>
  <c r="N5" i="1"/>
  <c r="M5" i="1"/>
  <c r="K5" i="1"/>
  <c r="Q53" i="1" l="1"/>
  <c r="AD53" i="1" s="1"/>
  <c r="Q30" i="1"/>
  <c r="AD30" i="1" s="1"/>
  <c r="Q52" i="1"/>
  <c r="Q16" i="1"/>
  <c r="AD16" i="1" s="1"/>
  <c r="Q6" i="1"/>
  <c r="AD6" i="1" s="1"/>
  <c r="T14" i="1"/>
  <c r="T60" i="1"/>
  <c r="Q13" i="1"/>
  <c r="AD13" i="1" s="1"/>
  <c r="Q35" i="1"/>
  <c r="AD35" i="1" s="1"/>
  <c r="Q46" i="1"/>
  <c r="AD46" i="1" s="1"/>
  <c r="S42" i="1"/>
  <c r="T57" i="1"/>
  <c r="T55" i="1"/>
  <c r="S34" i="1"/>
  <c r="Q17" i="1"/>
  <c r="AD17" i="1" s="1"/>
  <c r="Q18" i="1"/>
  <c r="AD18" i="1" s="1"/>
  <c r="Q21" i="1"/>
  <c r="AD21" i="1" s="1"/>
  <c r="AD48" i="1"/>
  <c r="S45" i="1"/>
  <c r="Q50" i="1"/>
  <c r="AD50" i="1" s="1"/>
  <c r="AD25" i="1"/>
  <c r="AD51" i="1"/>
  <c r="AD26" i="1"/>
  <c r="AD27" i="1"/>
  <c r="S14" i="1"/>
  <c r="AD54" i="1"/>
  <c r="S23" i="1"/>
  <c r="S47" i="1"/>
  <c r="AD8" i="1"/>
  <c r="AD56" i="1"/>
  <c r="AD9" i="1"/>
  <c r="Q32" i="1"/>
  <c r="AD32" i="1" s="1"/>
  <c r="AD10" i="1"/>
  <c r="Q33" i="1"/>
  <c r="AD33" i="1" s="1"/>
  <c r="Q60" i="1"/>
  <c r="AD60" i="1" s="1"/>
  <c r="S7" i="1"/>
  <c r="S28" i="1"/>
  <c r="S15" i="1"/>
  <c r="S24" i="1"/>
  <c r="S31" i="1"/>
  <c r="S11" i="1"/>
  <c r="S55" i="1"/>
  <c r="T34" i="1"/>
  <c r="T10" i="1"/>
  <c r="T24" i="1"/>
  <c r="S39" i="1"/>
  <c r="L60" i="1"/>
  <c r="L38" i="1"/>
  <c r="S56" i="1"/>
  <c r="T22" i="1"/>
  <c r="T28" i="1"/>
  <c r="L57" i="1"/>
  <c r="T8" i="1"/>
  <c r="T6" i="1"/>
  <c r="T47" i="1"/>
  <c r="T18" i="1"/>
  <c r="S12" i="1"/>
  <c r="S59" i="1"/>
  <c r="T31" i="1"/>
  <c r="S43" i="1"/>
  <c r="S37" i="1"/>
  <c r="T20" i="1"/>
  <c r="S20" i="1"/>
  <c r="T38" i="1"/>
  <c r="S38" i="1"/>
  <c r="S57" i="1"/>
  <c r="T7" i="1"/>
  <c r="T15" i="1"/>
  <c r="T25" i="1"/>
  <c r="S41" i="1"/>
  <c r="T9" i="1"/>
  <c r="T37" i="1"/>
  <c r="S54" i="1"/>
  <c r="S58" i="1"/>
  <c r="P5" i="1"/>
  <c r="T19" i="1"/>
  <c r="T40" i="1"/>
  <c r="T45" i="1"/>
  <c r="T49" i="1"/>
  <c r="T11" i="1"/>
  <c r="L37" i="1"/>
  <c r="S29" i="1"/>
  <c r="E5" i="1"/>
  <c r="F5" i="1"/>
  <c r="T23" i="1"/>
  <c r="S44" i="1"/>
  <c r="L20" i="1"/>
  <c r="S36" i="1"/>
  <c r="S35" i="1" l="1"/>
  <c r="S13" i="1"/>
  <c r="S46" i="1"/>
  <c r="S30" i="1"/>
  <c r="S53" i="1"/>
  <c r="S17" i="1"/>
  <c r="S6" i="1"/>
  <c r="S21" i="1"/>
  <c r="S16" i="1"/>
  <c r="AD52" i="1"/>
  <c r="AD5" i="1" s="1"/>
  <c r="S52" i="1"/>
  <c r="S25" i="1"/>
  <c r="S51" i="1"/>
  <c r="S27" i="1"/>
  <c r="S32" i="1"/>
  <c r="S33" i="1"/>
  <c r="S8" i="1"/>
  <c r="S50" i="1"/>
  <c r="S18" i="1"/>
  <c r="S10" i="1"/>
  <c r="S26" i="1"/>
  <c r="S48" i="1"/>
  <c r="S60" i="1"/>
  <c r="Q5" i="1"/>
  <c r="S9" i="1"/>
  <c r="L5" i="1"/>
</calcChain>
</file>

<file path=xl/sharedStrings.xml><?xml version="1.0" encoding="utf-8"?>
<sst xmlns="http://schemas.openxmlformats.org/spreadsheetml/2006/main" count="212" uniqueCount="96">
  <si>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</si>
  <si>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</si>
  <si>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</si>
  <si>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</si>
  <si>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</si>
  <si>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</si>
  <si>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</si>
  <si>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</si>
  <si>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</si>
  <si>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</si>
  <si>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</si>
  <si>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</si>
  <si>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</si>
  <si>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</si>
  <si>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</si>
  <si>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</si>
  <si>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</si>
  <si>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</si>
  <si>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</si>
  <si>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</si>
  <si>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</si>
  <si>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20,07,</t>
  </si>
  <si>
    <t>21,07,</t>
  </si>
  <si>
    <t>14,07,</t>
  </si>
  <si>
    <t>07,07,</t>
  </si>
  <si>
    <t>26,01,</t>
  </si>
  <si>
    <t>22,06,</t>
  </si>
  <si>
    <t>15,06,</t>
  </si>
  <si>
    <t>08,06,</t>
  </si>
  <si>
    <t>01,06,</t>
  </si>
  <si>
    <t>25,05,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</si>
  <si>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</si>
  <si>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</si>
  <si>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</si>
  <si>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шт</t>
  </si>
  <si>
    <t>нужно увеличить продажи!!!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</si>
  <si>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</si>
  <si>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</si>
  <si>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</si>
  <si>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</si>
  <si>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</si>
  <si>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</si>
  <si>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</si>
  <si>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</si>
  <si>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</si>
  <si>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</si>
  <si>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</si>
  <si>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А_Сыр Боккончини копченый 40% 100 гр.  ОСТАНКИНО</t>
  </si>
  <si>
    <t>акция</t>
  </si>
  <si>
    <t>Масло "Папа может" 82,5% 180гр  Останкино</t>
  </si>
  <si>
    <t>Масло сливочное 72,5 % 180 гр.(10 шт) СЛАВЯНА  Останкино</t>
  </si>
  <si>
    <t>Масло сливочное ж.82,5% 180г фольга ТМ Папа Может (вл 12)  Останкино</t>
  </si>
  <si>
    <t>дубль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</si>
  <si>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</si>
  <si>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</si>
  <si>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</si>
  <si>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</si>
  <si>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</si>
  <si>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</si>
  <si>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Российский сливочный 45% ТМ Папа Может, брус (2шт) 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</si>
  <si>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</si>
  <si>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</si>
  <si>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</si>
  <si>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</si>
  <si>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</si>
  <si>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</si>
  <si>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</si>
  <si>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</si>
  <si>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</si>
  <si>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</si>
  <si>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Папин Завтрак 50% 200г  Останкино</t>
  </si>
  <si>
    <t>Сыр Папа Может Российский  50% 200гр    Останкино</t>
  </si>
  <si>
    <t>Сыр Папа Может Тильзитер   45% 200гр     Останкино</t>
  </si>
  <si>
    <t>Сыр Плавленый Сливочный Папа Может 55% 190гр  Останкино</t>
  </si>
  <si>
    <t>Сыр плавленный Сливочный ж.45% 180г ТМ Папа может (16шт)  Останкино</t>
  </si>
  <si>
    <t>Сыр Скаморца свежий 100 гр.  ОСТАНКИНО</t>
  </si>
  <si>
    <t>Сыр Творожный с зеленью 60% Папа может 140 гр.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</si>
  <si>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</si>
  <si>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</si>
  <si>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"Российский" с массовой долей жира 50%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</si>
  <si>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</si>
  <si>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</si>
  <si>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</si>
  <si>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</si>
  <si>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</si>
  <si>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</si>
  <si>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</si>
  <si>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14,07,26 разовая продажа 295 кг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</si>
  <si>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</si>
  <si>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</si>
  <si>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(5 кг брус) СЗМЖ  ОСТАНКИНО</t>
  </si>
  <si>
    <t>Сыч/Прод Коровино Тильзитер Оригин 50% ВЕС НОВАЯ (5 кг брус) СЗМЖ  ОСТАНКИНО</t>
  </si>
  <si>
    <t>нужно увеличить продажи</t>
  </si>
  <si>
    <t>итого</t>
  </si>
  <si>
    <t>заказ</t>
  </si>
  <si>
    <t>27,07,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</si>
</sst>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C5" sqref="AC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1" customWidth="1"/>
    <col min="15" max="18" width="7" customWidth="1"/>
    <col min="19" max="20" width="5" customWidth="1"/>
    <col min="21" max="28" width="6" customWidth="1"/>
    <col min="29" max="29" width="44" customWidth="1"/>
    <col min="30" max="30" width="7" customWidth="1"/>
    <col min="31" max="31" width="4.140625" customWidth="1"/>
    <col min="32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93</v>
      </c>
      <c r="R3" s="3" t="s">
        <v>94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19</v>
      </c>
      <c r="AD3" s="2" t="s">
        <v>20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95</v>
      </c>
      <c r="S4" s="1"/>
      <c r="T4" s="1"/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4358.6729999999989</v>
      </c>
      <c r="F5" s="4">
        <f>SUM(F6:F500)</f>
        <v>11223.422999999999</v>
      </c>
      <c r="G5" s="7"/>
      <c r="H5" s="1"/>
      <c r="I5" s="1"/>
      <c r="J5" s="1"/>
      <c r="K5" s="4">
        <f t="shared" ref="K5:R5" si="0">SUM(K6:K500)</f>
        <v>4936.0999999999995</v>
      </c>
      <c r="L5" s="4">
        <f t="shared" si="0"/>
        <v>-577.42699999999991</v>
      </c>
      <c r="M5" s="4">
        <f t="shared" si="0"/>
        <v>0</v>
      </c>
      <c r="N5" s="4">
        <f t="shared" si="0"/>
        <v>0</v>
      </c>
      <c r="O5" s="4">
        <f t="shared" si="0"/>
        <v>1363</v>
      </c>
      <c r="P5" s="4">
        <f t="shared" si="0"/>
        <v>871.73460000000011</v>
      </c>
      <c r="Q5" s="4">
        <f t="shared" si="0"/>
        <v>6754.866</v>
      </c>
      <c r="R5" s="4">
        <f t="shared" si="0"/>
        <v>6793</v>
      </c>
      <c r="S5" s="1"/>
      <c r="T5" s="1"/>
      <c r="U5" s="4">
        <f t="shared" ref="U5:AB5" si="1">SUM(U6:U500)</f>
        <v>775.56739999999968</v>
      </c>
      <c r="V5" s="4">
        <f t="shared" si="1"/>
        <v>843.3592000000001</v>
      </c>
      <c r="W5" s="4">
        <f t="shared" si="1"/>
        <v>765.10399999999993</v>
      </c>
      <c r="X5" s="4">
        <f t="shared" si="1"/>
        <v>655.50919999999996</v>
      </c>
      <c r="Y5" s="4">
        <f t="shared" si="1"/>
        <v>702.91539999999986</v>
      </c>
      <c r="Z5" s="4">
        <f t="shared" si="1"/>
        <v>878.79880000000003</v>
      </c>
      <c r="AA5" s="4">
        <f t="shared" si="1"/>
        <v>528.02279999999996</v>
      </c>
      <c r="AB5" s="4">
        <f t="shared" si="1"/>
        <v>881.30419999999981</v>
      </c>
      <c r="AC5" s="1"/>
      <c r="AD5" s="4">
        <f>SUM(AD6:AD500)</f>
        <v>1437.7139999999999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31</v>
      </c>
      <c r="B6" s="1" t="s">
        <v>32</v>
      </c>
      <c r="C6" s="1">
        <v>208.72800000000001</v>
      </c>
      <c r="D6" s="1">
        <v>43.286999999999999</v>
      </c>
      <c r="E6" s="1">
        <v>83.634</v>
      </c>
      <c r="F6" s="12">
        <f>92.828+F49</f>
        <v>91.69</v>
      </c>
      <c r="G6" s="7">
        <v>1</v>
      </c>
      <c r="H6" s="1"/>
      <c r="I6" s="1"/>
      <c r="J6" s="1"/>
      <c r="K6" s="1">
        <v>85.5</v>
      </c>
      <c r="L6" s="1">
        <f t="shared" ref="L6:L37" si="2">E6-K6</f>
        <v>-1.8659999999999997</v>
      </c>
      <c r="M6" s="1"/>
      <c r="N6" s="1"/>
      <c r="O6" s="1">
        <v>90</v>
      </c>
      <c r="P6" s="1">
        <f t="shared" ref="P6:P37" si="3">E6/5</f>
        <v>16.726800000000001</v>
      </c>
      <c r="Q6" s="5">
        <f>20*P6-O6-F6</f>
        <v>152.846</v>
      </c>
      <c r="R6" s="5">
        <f>VLOOKUP(A6,заказ!A:B,2,0)</f>
        <v>155</v>
      </c>
      <c r="S6" s="1">
        <f t="shared" ref="S6:S37" si="4">(F6+O6+Q6)/P6</f>
        <v>20</v>
      </c>
      <c r="T6" s="1">
        <f t="shared" ref="T6:T37" si="5">(F6+O6)/P6</f>
        <v>10.862209149389004</v>
      </c>
      <c r="U6" s="1">
        <v>14.728400000000001</v>
      </c>
      <c r="V6" s="1">
        <v>13.632400000000001</v>
      </c>
      <c r="W6" s="1">
        <v>9.0015999999999998</v>
      </c>
      <c r="X6" s="1">
        <v>20.434799999999999</v>
      </c>
      <c r="Y6" s="1">
        <v>20.461600000000001</v>
      </c>
      <c r="Z6" s="1">
        <v>14.24</v>
      </c>
      <c r="AA6" s="1">
        <v>16.459399999999999</v>
      </c>
      <c r="AB6" s="1">
        <v>5.8540000000000001</v>
      </c>
      <c r="AC6" s="1"/>
      <c r="AD6" s="1">
        <f t="shared" ref="AD6:AD18" si="6">G6*Q6</f>
        <v>152.846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33</v>
      </c>
      <c r="B7" s="1" t="s">
        <v>34</v>
      </c>
      <c r="C7" s="1">
        <v>300</v>
      </c>
      <c r="D7" s="1">
        <v>17</v>
      </c>
      <c r="E7" s="1">
        <v>32</v>
      </c>
      <c r="F7" s="1">
        <v>276</v>
      </c>
      <c r="G7" s="7">
        <v>0.18</v>
      </c>
      <c r="H7" s="1"/>
      <c r="I7" s="1"/>
      <c r="J7" s="1"/>
      <c r="K7" s="1">
        <v>33</v>
      </c>
      <c r="L7" s="1">
        <f t="shared" si="2"/>
        <v>-1</v>
      </c>
      <c r="M7" s="1"/>
      <c r="N7" s="1"/>
      <c r="O7" s="1"/>
      <c r="P7" s="1">
        <f t="shared" si="3"/>
        <v>6.4</v>
      </c>
      <c r="Q7" s="5"/>
      <c r="R7" s="5"/>
      <c r="S7" s="1">
        <f t="shared" si="4"/>
        <v>43.125</v>
      </c>
      <c r="T7" s="1">
        <f t="shared" si="5"/>
        <v>43.125</v>
      </c>
      <c r="U7" s="1">
        <v>5.2</v>
      </c>
      <c r="V7" s="1">
        <v>4.5999999999999996</v>
      </c>
      <c r="W7" s="1">
        <v>6.8</v>
      </c>
      <c r="X7" s="1">
        <v>6.6</v>
      </c>
      <c r="Y7" s="1">
        <v>7.4</v>
      </c>
      <c r="Z7" s="1">
        <v>1</v>
      </c>
      <c r="AA7" s="1">
        <v>0</v>
      </c>
      <c r="AB7" s="1">
        <v>62</v>
      </c>
      <c r="AC7" s="14" t="s">
        <v>35</v>
      </c>
      <c r="AD7" s="1">
        <f t="shared" si="6"/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36</v>
      </c>
      <c r="B8" s="1" t="s">
        <v>34</v>
      </c>
      <c r="C8" s="1">
        <v>326</v>
      </c>
      <c r="D8" s="1">
        <v>3</v>
      </c>
      <c r="E8" s="1">
        <v>18</v>
      </c>
      <c r="F8" s="1">
        <v>260</v>
      </c>
      <c r="G8" s="7">
        <v>0.18</v>
      </c>
      <c r="H8" s="1"/>
      <c r="I8" s="1"/>
      <c r="J8" s="1"/>
      <c r="K8" s="1">
        <v>23</v>
      </c>
      <c r="L8" s="1">
        <f t="shared" si="2"/>
        <v>-5</v>
      </c>
      <c r="M8" s="1"/>
      <c r="N8" s="1"/>
      <c r="O8" s="1"/>
      <c r="P8" s="1">
        <f t="shared" si="3"/>
        <v>3.6</v>
      </c>
      <c r="Q8" s="5"/>
      <c r="R8" s="5"/>
      <c r="S8" s="1">
        <f t="shared" si="4"/>
        <v>72.222222222222214</v>
      </c>
      <c r="T8" s="1">
        <f t="shared" si="5"/>
        <v>72.222222222222214</v>
      </c>
      <c r="U8" s="1">
        <v>3</v>
      </c>
      <c r="V8" s="1">
        <v>7.2</v>
      </c>
      <c r="W8" s="1">
        <v>8</v>
      </c>
      <c r="X8" s="1">
        <v>4.4000000000000004</v>
      </c>
      <c r="Y8" s="1">
        <v>11.2</v>
      </c>
      <c r="Z8" s="1">
        <v>9.1999999999999993</v>
      </c>
      <c r="AA8" s="1">
        <v>5.6</v>
      </c>
      <c r="AB8" s="1">
        <v>81</v>
      </c>
      <c r="AC8" s="14" t="s">
        <v>35</v>
      </c>
      <c r="AD8" s="1">
        <f t="shared" si="6"/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37</v>
      </c>
      <c r="B9" s="1" t="s">
        <v>32</v>
      </c>
      <c r="C9" s="1">
        <v>6.375</v>
      </c>
      <c r="D9" s="1">
        <v>9.4E-2</v>
      </c>
      <c r="E9" s="1">
        <v>3.4060000000000001</v>
      </c>
      <c r="F9" s="1"/>
      <c r="G9" s="7">
        <v>1</v>
      </c>
      <c r="H9" s="1"/>
      <c r="I9" s="1"/>
      <c r="J9" s="1"/>
      <c r="K9" s="1">
        <v>6.5</v>
      </c>
      <c r="L9" s="1">
        <f t="shared" si="2"/>
        <v>-3.0939999999999999</v>
      </c>
      <c r="M9" s="1"/>
      <c r="N9" s="1"/>
      <c r="O9" s="1">
        <v>50</v>
      </c>
      <c r="P9" s="1">
        <f t="shared" si="3"/>
        <v>0.68120000000000003</v>
      </c>
      <c r="Q9" s="5"/>
      <c r="R9" s="5"/>
      <c r="S9" s="1">
        <f t="shared" si="4"/>
        <v>73.399882560187905</v>
      </c>
      <c r="T9" s="1">
        <f t="shared" si="5"/>
        <v>73.399882560187905</v>
      </c>
      <c r="U9" s="1">
        <v>4.0174000000000003</v>
      </c>
      <c r="V9" s="1">
        <v>6.1176000000000004</v>
      </c>
      <c r="W9" s="1">
        <v>5.7628000000000004</v>
      </c>
      <c r="X9" s="1">
        <v>5.9207999999999998</v>
      </c>
      <c r="Y9" s="1">
        <v>6.5167999999999999</v>
      </c>
      <c r="Z9" s="1">
        <v>0.61439999999999995</v>
      </c>
      <c r="AA9" s="1">
        <v>0</v>
      </c>
      <c r="AB9" s="1">
        <v>0</v>
      </c>
      <c r="AC9" s="1"/>
      <c r="AD9" s="1">
        <f t="shared" si="6"/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6" t="s">
        <v>38</v>
      </c>
      <c r="B10" s="1" t="s">
        <v>34</v>
      </c>
      <c r="C10" s="1">
        <v>132</v>
      </c>
      <c r="D10" s="1"/>
      <c r="E10" s="1">
        <v>9</v>
      </c>
      <c r="F10" s="1">
        <v>119</v>
      </c>
      <c r="G10" s="7">
        <v>0.82450000000000001</v>
      </c>
      <c r="H10" s="1">
        <v>180</v>
      </c>
      <c r="I10" s="1"/>
      <c r="J10" s="1"/>
      <c r="K10" s="1">
        <v>9</v>
      </c>
      <c r="L10" s="1">
        <f t="shared" si="2"/>
        <v>0</v>
      </c>
      <c r="M10" s="1"/>
      <c r="N10" s="1"/>
      <c r="O10" s="1"/>
      <c r="P10" s="1">
        <f t="shared" si="3"/>
        <v>1.8</v>
      </c>
      <c r="Q10" s="5"/>
      <c r="R10" s="5"/>
      <c r="S10" s="1">
        <f t="shared" si="4"/>
        <v>66.111111111111114</v>
      </c>
      <c r="T10" s="1">
        <f t="shared" si="5"/>
        <v>66.111111111111114</v>
      </c>
      <c r="U10" s="1">
        <v>2.8</v>
      </c>
      <c r="V10" s="1">
        <v>2.8</v>
      </c>
      <c r="W10" s="1">
        <v>3.8</v>
      </c>
      <c r="X10" s="1">
        <v>1.6</v>
      </c>
      <c r="Y10" s="1">
        <v>3.8</v>
      </c>
      <c r="Z10" s="1">
        <v>2.2000000000000002</v>
      </c>
      <c r="AA10" s="1">
        <v>1</v>
      </c>
      <c r="AB10" s="1">
        <v>7.6</v>
      </c>
      <c r="AC10" s="14" t="s">
        <v>35</v>
      </c>
      <c r="AD10" s="1">
        <f t="shared" si="6"/>
        <v>0</v>
      </c>
      <c r="AE10" s="1">
        <v>3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39</v>
      </c>
      <c r="B11" s="1" t="s">
        <v>34</v>
      </c>
      <c r="C11" s="1">
        <v>259</v>
      </c>
      <c r="D11" s="1">
        <v>497</v>
      </c>
      <c r="E11" s="1">
        <v>73</v>
      </c>
      <c r="F11" s="1">
        <v>598</v>
      </c>
      <c r="G11" s="7">
        <v>0.372</v>
      </c>
      <c r="H11" s="1">
        <v>180</v>
      </c>
      <c r="I11" s="1"/>
      <c r="J11" s="1"/>
      <c r="K11" s="1">
        <v>77</v>
      </c>
      <c r="L11" s="1">
        <f t="shared" si="2"/>
        <v>-4</v>
      </c>
      <c r="M11" s="1"/>
      <c r="N11" s="1"/>
      <c r="O11" s="1"/>
      <c r="P11" s="1">
        <f t="shared" si="3"/>
        <v>14.6</v>
      </c>
      <c r="Q11" s="5"/>
      <c r="R11" s="5"/>
      <c r="S11" s="1">
        <f t="shared" si="4"/>
        <v>40.958904109589042</v>
      </c>
      <c r="T11" s="1">
        <f t="shared" si="5"/>
        <v>40.958904109589042</v>
      </c>
      <c r="U11" s="1">
        <v>26.2</v>
      </c>
      <c r="V11" s="1">
        <v>40.6</v>
      </c>
      <c r="W11" s="1">
        <v>29.2</v>
      </c>
      <c r="X11" s="1">
        <v>21</v>
      </c>
      <c r="Y11" s="1">
        <v>20.6</v>
      </c>
      <c r="Z11" s="1">
        <v>44.4</v>
      </c>
      <c r="AA11" s="1">
        <v>21.8</v>
      </c>
      <c r="AB11" s="1">
        <v>32.200000000000003</v>
      </c>
      <c r="AC11" s="14" t="s">
        <v>35</v>
      </c>
      <c r="AD11" s="1">
        <f t="shared" si="6"/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40</v>
      </c>
      <c r="B12" s="1" t="s">
        <v>34</v>
      </c>
      <c r="C12" s="1">
        <v>224</v>
      </c>
      <c r="D12" s="1">
        <v>328</v>
      </c>
      <c r="E12" s="1">
        <v>28</v>
      </c>
      <c r="F12" s="1">
        <v>474</v>
      </c>
      <c r="G12" s="7">
        <v>0.74399999999999999</v>
      </c>
      <c r="H12" s="1">
        <v>180</v>
      </c>
      <c r="I12" s="1"/>
      <c r="J12" s="1"/>
      <c r="K12" s="1">
        <v>29</v>
      </c>
      <c r="L12" s="1">
        <f t="shared" si="2"/>
        <v>-1</v>
      </c>
      <c r="M12" s="1"/>
      <c r="N12" s="1"/>
      <c r="O12" s="1"/>
      <c r="P12" s="1">
        <f t="shared" si="3"/>
        <v>5.6</v>
      </c>
      <c r="Q12" s="5"/>
      <c r="R12" s="5"/>
      <c r="S12" s="1">
        <f t="shared" si="4"/>
        <v>84.642857142857153</v>
      </c>
      <c r="T12" s="1">
        <f t="shared" si="5"/>
        <v>84.642857142857153</v>
      </c>
      <c r="U12" s="1">
        <v>21.2</v>
      </c>
      <c r="V12" s="1">
        <v>30.2</v>
      </c>
      <c r="W12" s="1">
        <v>24</v>
      </c>
      <c r="X12" s="1">
        <v>20</v>
      </c>
      <c r="Y12" s="1">
        <v>19</v>
      </c>
      <c r="Z12" s="1">
        <v>23.4</v>
      </c>
      <c r="AA12" s="1">
        <v>21.2</v>
      </c>
      <c r="AB12" s="1">
        <v>6.2</v>
      </c>
      <c r="AC12" s="14" t="s">
        <v>35</v>
      </c>
      <c r="AD12" s="1">
        <f t="shared" si="6"/>
        <v>0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41</v>
      </c>
      <c r="B13" s="1" t="s">
        <v>34</v>
      </c>
      <c r="C13" s="1">
        <v>815</v>
      </c>
      <c r="D13" s="1">
        <v>870</v>
      </c>
      <c r="E13" s="1">
        <v>313</v>
      </c>
      <c r="F13" s="1">
        <v>1166</v>
      </c>
      <c r="G13" s="7">
        <v>0.372</v>
      </c>
      <c r="H13" s="1">
        <v>180</v>
      </c>
      <c r="I13" s="1"/>
      <c r="J13" s="1"/>
      <c r="K13" s="1">
        <v>309</v>
      </c>
      <c r="L13" s="1">
        <f t="shared" si="2"/>
        <v>4</v>
      </c>
      <c r="M13" s="1"/>
      <c r="N13" s="1"/>
      <c r="O13" s="1"/>
      <c r="P13" s="1">
        <f t="shared" si="3"/>
        <v>62.6</v>
      </c>
      <c r="Q13" s="5">
        <f t="shared" ref="Q13:Q18" si="7">20*P13-O13-F13</f>
        <v>86</v>
      </c>
      <c r="R13" s="5">
        <f>VLOOKUP(A13,заказ!A:B,2,0)</f>
        <v>84</v>
      </c>
      <c r="S13" s="1">
        <f t="shared" si="4"/>
        <v>20</v>
      </c>
      <c r="T13" s="1">
        <f t="shared" si="5"/>
        <v>18.626198083067091</v>
      </c>
      <c r="U13" s="1">
        <v>42.2</v>
      </c>
      <c r="V13" s="1">
        <v>83.8</v>
      </c>
      <c r="W13" s="1">
        <v>64.8</v>
      </c>
      <c r="X13" s="1">
        <v>50</v>
      </c>
      <c r="Y13" s="1">
        <v>61.2</v>
      </c>
      <c r="Z13" s="1">
        <v>70.8</v>
      </c>
      <c r="AA13" s="1">
        <v>48</v>
      </c>
      <c r="AB13" s="1">
        <v>54.4</v>
      </c>
      <c r="AC13" s="1"/>
      <c r="AD13" s="1">
        <f t="shared" si="6"/>
        <v>31.992000000000001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42</v>
      </c>
      <c r="B14" s="1" t="s">
        <v>34</v>
      </c>
      <c r="C14" s="1">
        <v>432</v>
      </c>
      <c r="D14" s="1">
        <v>913</v>
      </c>
      <c r="E14" s="1">
        <v>264</v>
      </c>
      <c r="F14" s="1">
        <v>977</v>
      </c>
      <c r="G14" s="7">
        <v>0.74399999999999999</v>
      </c>
      <c r="H14" s="1">
        <v>180</v>
      </c>
      <c r="I14" s="1"/>
      <c r="J14" s="1"/>
      <c r="K14" s="1">
        <v>255</v>
      </c>
      <c r="L14" s="1">
        <f t="shared" si="2"/>
        <v>9</v>
      </c>
      <c r="M14" s="1"/>
      <c r="N14" s="1"/>
      <c r="O14" s="1"/>
      <c r="P14" s="1">
        <f t="shared" si="3"/>
        <v>52.8</v>
      </c>
      <c r="Q14" s="5">
        <f t="shared" si="7"/>
        <v>79</v>
      </c>
      <c r="R14" s="5">
        <f>VLOOKUP(A14,заказ!A:B,2,0)</f>
        <v>84</v>
      </c>
      <c r="S14" s="1">
        <f t="shared" si="4"/>
        <v>20</v>
      </c>
      <c r="T14" s="1">
        <f t="shared" si="5"/>
        <v>18.503787878787879</v>
      </c>
      <c r="U14" s="1">
        <v>34.200000000000003</v>
      </c>
      <c r="V14" s="1">
        <v>70.599999999999994</v>
      </c>
      <c r="W14" s="1">
        <v>39.799999999999997</v>
      </c>
      <c r="X14" s="1">
        <v>36.4</v>
      </c>
      <c r="Y14" s="1">
        <v>48.8</v>
      </c>
      <c r="Z14" s="1">
        <v>39</v>
      </c>
      <c r="AA14" s="1">
        <v>32.200000000000003</v>
      </c>
      <c r="AB14" s="1">
        <v>31</v>
      </c>
      <c r="AC14" s="1"/>
      <c r="AD14" s="1">
        <f t="shared" si="6"/>
        <v>58.775999999999996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43</v>
      </c>
      <c r="B15" s="1" t="s">
        <v>34</v>
      </c>
      <c r="C15" s="1">
        <v>79</v>
      </c>
      <c r="D15" s="1">
        <v>3</v>
      </c>
      <c r="E15" s="1">
        <v>11</v>
      </c>
      <c r="F15" s="1">
        <v>63</v>
      </c>
      <c r="G15" s="7">
        <v>0.14000000000000001</v>
      </c>
      <c r="H15" s="1"/>
      <c r="I15" s="1"/>
      <c r="J15" s="1"/>
      <c r="K15" s="1">
        <v>16</v>
      </c>
      <c r="L15" s="1">
        <f t="shared" si="2"/>
        <v>-5</v>
      </c>
      <c r="M15" s="1"/>
      <c r="N15" s="1"/>
      <c r="O15" s="1">
        <v>16</v>
      </c>
      <c r="P15" s="1">
        <f t="shared" si="3"/>
        <v>2.2000000000000002</v>
      </c>
      <c r="Q15" s="5"/>
      <c r="R15" s="5"/>
      <c r="S15" s="1">
        <f t="shared" si="4"/>
        <v>35.909090909090907</v>
      </c>
      <c r="T15" s="1">
        <f t="shared" si="5"/>
        <v>35.909090909090907</v>
      </c>
      <c r="U15" s="1">
        <v>4.5999999999999996</v>
      </c>
      <c r="V15" s="1">
        <v>3.4</v>
      </c>
      <c r="W15" s="1">
        <v>1.6</v>
      </c>
      <c r="X15" s="1">
        <v>3.8</v>
      </c>
      <c r="Y15" s="1">
        <v>0.4</v>
      </c>
      <c r="Z15" s="1">
        <v>2.2000000000000002</v>
      </c>
      <c r="AA15" s="1">
        <v>3.4</v>
      </c>
      <c r="AB15" s="1">
        <v>1.4</v>
      </c>
      <c r="AC15" s="14" t="s">
        <v>35</v>
      </c>
      <c r="AD15" s="1">
        <f t="shared" si="6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44</v>
      </c>
      <c r="B16" s="1" t="s">
        <v>34</v>
      </c>
      <c r="C16" s="1">
        <v>31</v>
      </c>
      <c r="D16" s="1">
        <v>3</v>
      </c>
      <c r="E16" s="1">
        <v>26</v>
      </c>
      <c r="F16" s="1"/>
      <c r="G16" s="7">
        <v>0.18</v>
      </c>
      <c r="H16" s="1"/>
      <c r="I16" s="1"/>
      <c r="J16" s="1"/>
      <c r="K16" s="1">
        <v>80</v>
      </c>
      <c r="L16" s="1">
        <f t="shared" si="2"/>
        <v>-54</v>
      </c>
      <c r="M16" s="1"/>
      <c r="N16" s="1"/>
      <c r="O16" s="1"/>
      <c r="P16" s="1">
        <f t="shared" si="3"/>
        <v>5.2</v>
      </c>
      <c r="Q16" s="5">
        <f>15*P16-O16-F16</f>
        <v>78</v>
      </c>
      <c r="R16" s="5">
        <f>VLOOKUP(A16,заказ!A:B,2,0)</f>
        <v>80</v>
      </c>
      <c r="S16" s="1">
        <f t="shared" si="4"/>
        <v>15</v>
      </c>
      <c r="T16" s="1">
        <f t="shared" si="5"/>
        <v>0</v>
      </c>
      <c r="U16" s="1">
        <v>0.2</v>
      </c>
      <c r="V16" s="1">
        <v>0</v>
      </c>
      <c r="W16" s="1">
        <v>-0.4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/>
      <c r="AD16" s="1">
        <f t="shared" si="6"/>
        <v>14.04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45</v>
      </c>
      <c r="B17" s="1" t="s">
        <v>34</v>
      </c>
      <c r="C17" s="1">
        <v>62</v>
      </c>
      <c r="D17" s="1">
        <v>41</v>
      </c>
      <c r="E17" s="1">
        <v>65</v>
      </c>
      <c r="F17" s="1">
        <v>26</v>
      </c>
      <c r="G17" s="7">
        <v>0.18</v>
      </c>
      <c r="H17" s="1">
        <v>270</v>
      </c>
      <c r="I17" s="1"/>
      <c r="J17" s="1"/>
      <c r="K17" s="1">
        <v>80</v>
      </c>
      <c r="L17" s="1">
        <f t="shared" si="2"/>
        <v>-15</v>
      </c>
      <c r="M17" s="1"/>
      <c r="N17" s="1"/>
      <c r="O17" s="1">
        <v>96</v>
      </c>
      <c r="P17" s="1">
        <f t="shared" si="3"/>
        <v>13</v>
      </c>
      <c r="Q17" s="5">
        <f t="shared" si="7"/>
        <v>138</v>
      </c>
      <c r="R17" s="5">
        <f>VLOOKUP(A17,заказ!A:B,2,0)</f>
        <v>144</v>
      </c>
      <c r="S17" s="1">
        <f t="shared" si="4"/>
        <v>20</v>
      </c>
      <c r="T17" s="1">
        <f t="shared" si="5"/>
        <v>9.384615384615385</v>
      </c>
      <c r="U17" s="1">
        <v>9.1999999999999993</v>
      </c>
      <c r="V17" s="1">
        <v>7.4</v>
      </c>
      <c r="W17" s="1">
        <v>7.2</v>
      </c>
      <c r="X17" s="1">
        <v>8.4</v>
      </c>
      <c r="Y17" s="1">
        <v>8.8000000000000007</v>
      </c>
      <c r="Z17" s="1">
        <v>12</v>
      </c>
      <c r="AA17" s="1">
        <v>11</v>
      </c>
      <c r="AB17" s="1">
        <v>10.8</v>
      </c>
      <c r="AC17" s="1"/>
      <c r="AD17" s="1">
        <f t="shared" si="6"/>
        <v>24.84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46</v>
      </c>
      <c r="B18" s="1" t="s">
        <v>34</v>
      </c>
      <c r="C18" s="1">
        <v>47</v>
      </c>
      <c r="D18" s="1">
        <v>69</v>
      </c>
      <c r="E18" s="1">
        <v>46</v>
      </c>
      <c r="F18" s="1">
        <v>58</v>
      </c>
      <c r="G18" s="7">
        <v>0.1</v>
      </c>
      <c r="H18" s="1"/>
      <c r="I18" s="1"/>
      <c r="J18" s="1"/>
      <c r="K18" s="1">
        <v>54</v>
      </c>
      <c r="L18" s="1">
        <f t="shared" si="2"/>
        <v>-8</v>
      </c>
      <c r="M18" s="1"/>
      <c r="N18" s="1"/>
      <c r="O18" s="1"/>
      <c r="P18" s="1">
        <f t="shared" si="3"/>
        <v>9.1999999999999993</v>
      </c>
      <c r="Q18" s="5">
        <f t="shared" si="7"/>
        <v>126</v>
      </c>
      <c r="R18" s="5">
        <f>VLOOKUP(A18,заказ!A:B,2,0)</f>
        <v>128</v>
      </c>
      <c r="S18" s="1">
        <f t="shared" si="4"/>
        <v>20</v>
      </c>
      <c r="T18" s="1">
        <f t="shared" si="5"/>
        <v>6.304347826086957</v>
      </c>
      <c r="U18" s="1">
        <v>2</v>
      </c>
      <c r="V18" s="1">
        <v>6.4</v>
      </c>
      <c r="W18" s="1">
        <v>2.8</v>
      </c>
      <c r="X18" s="1">
        <v>5.4</v>
      </c>
      <c r="Y18" s="1">
        <v>8.6</v>
      </c>
      <c r="Z18" s="1">
        <v>9</v>
      </c>
      <c r="AA18" s="1">
        <v>5.2</v>
      </c>
      <c r="AB18" s="1">
        <v>11.6</v>
      </c>
      <c r="AC18" s="1"/>
      <c r="AD18" s="1">
        <f t="shared" si="6"/>
        <v>12.600000000000001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9" t="s">
        <v>47</v>
      </c>
      <c r="B19" s="9" t="s">
        <v>34</v>
      </c>
      <c r="C19" s="9">
        <v>10</v>
      </c>
      <c r="D19" s="9">
        <v>24</v>
      </c>
      <c r="E19" s="9"/>
      <c r="F19" s="9">
        <v>34</v>
      </c>
      <c r="G19" s="10">
        <v>0</v>
      </c>
      <c r="H19" s="9"/>
      <c r="I19" s="9" t="s">
        <v>48</v>
      </c>
      <c r="J19" s="9"/>
      <c r="K19" s="9"/>
      <c r="L19" s="9">
        <f t="shared" si="2"/>
        <v>0</v>
      </c>
      <c r="M19" s="9"/>
      <c r="N19" s="9"/>
      <c r="O19" s="9"/>
      <c r="P19" s="9">
        <f t="shared" si="3"/>
        <v>0</v>
      </c>
      <c r="Q19" s="11"/>
      <c r="R19" s="5"/>
      <c r="S19" s="9" t="e">
        <f t="shared" si="4"/>
        <v>#DIV/0!</v>
      </c>
      <c r="T19" s="9" t="e">
        <f t="shared" si="5"/>
        <v>#DIV/0!</v>
      </c>
      <c r="U19" s="9">
        <v>0</v>
      </c>
      <c r="V19" s="9">
        <v>0</v>
      </c>
      <c r="W19" s="9">
        <v>0</v>
      </c>
      <c r="X19" s="9">
        <v>2</v>
      </c>
      <c r="Y19" s="9">
        <v>0</v>
      </c>
      <c r="Z19" s="9">
        <v>0</v>
      </c>
      <c r="AA19" s="9">
        <v>0</v>
      </c>
      <c r="AB19" s="9">
        <v>0</v>
      </c>
      <c r="AC19" s="9"/>
      <c r="AD19" s="9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49</v>
      </c>
      <c r="B20" s="1" t="s">
        <v>34</v>
      </c>
      <c r="C20" s="1">
        <v>1040</v>
      </c>
      <c r="D20" s="1">
        <v>177</v>
      </c>
      <c r="E20" s="12">
        <f>455+E22</f>
        <v>465</v>
      </c>
      <c r="F20" s="1">
        <v>501</v>
      </c>
      <c r="G20" s="7">
        <v>0.18</v>
      </c>
      <c r="H20" s="1">
        <v>120</v>
      </c>
      <c r="I20" s="1"/>
      <c r="J20" s="1"/>
      <c r="K20" s="1">
        <v>486</v>
      </c>
      <c r="L20" s="1">
        <f t="shared" si="2"/>
        <v>-21</v>
      </c>
      <c r="M20" s="1"/>
      <c r="N20" s="1"/>
      <c r="O20" s="1">
        <v>200</v>
      </c>
      <c r="P20" s="1">
        <f t="shared" si="3"/>
        <v>93</v>
      </c>
      <c r="Q20" s="5">
        <f t="shared" ref="Q20:Q21" si="8">20*P20-O20-F20</f>
        <v>1159</v>
      </c>
      <c r="R20" s="5">
        <f>VLOOKUP(A20,заказ!A:B,2,0)</f>
        <v>1160</v>
      </c>
      <c r="S20" s="1">
        <f t="shared" si="4"/>
        <v>20</v>
      </c>
      <c r="T20" s="1">
        <f t="shared" si="5"/>
        <v>7.5376344086021509</v>
      </c>
      <c r="U20" s="1">
        <v>72.599999999999994</v>
      </c>
      <c r="V20" s="1">
        <v>37.4</v>
      </c>
      <c r="W20" s="1">
        <v>18.399999999999999</v>
      </c>
      <c r="X20" s="1">
        <v>80.8</v>
      </c>
      <c r="Y20" s="1">
        <v>1.4</v>
      </c>
      <c r="Z20" s="1">
        <v>32</v>
      </c>
      <c r="AA20" s="1">
        <v>35.200000000000003</v>
      </c>
      <c r="AB20" s="1">
        <v>41</v>
      </c>
      <c r="AC20" s="1"/>
      <c r="AD20" s="1">
        <f>G20*Q20</f>
        <v>208.62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50</v>
      </c>
      <c r="B21" s="1" t="s">
        <v>34</v>
      </c>
      <c r="C21" s="1">
        <v>1652</v>
      </c>
      <c r="D21" s="1">
        <v>472</v>
      </c>
      <c r="E21" s="1">
        <v>554</v>
      </c>
      <c r="F21" s="1">
        <v>1406</v>
      </c>
      <c r="G21" s="7">
        <v>0.18</v>
      </c>
      <c r="H21" s="1">
        <v>120</v>
      </c>
      <c r="I21" s="1"/>
      <c r="J21" s="1"/>
      <c r="K21" s="1">
        <v>619</v>
      </c>
      <c r="L21" s="1">
        <f t="shared" si="2"/>
        <v>-65</v>
      </c>
      <c r="M21" s="1"/>
      <c r="N21" s="1"/>
      <c r="O21" s="1"/>
      <c r="P21" s="1">
        <f t="shared" si="3"/>
        <v>110.8</v>
      </c>
      <c r="Q21" s="5">
        <f t="shared" si="8"/>
        <v>810</v>
      </c>
      <c r="R21" s="5">
        <f>VLOOKUP(A21,заказ!A:B,2,0)</f>
        <v>810</v>
      </c>
      <c r="S21" s="1">
        <f t="shared" si="4"/>
        <v>20</v>
      </c>
      <c r="T21" s="1">
        <f t="shared" si="5"/>
        <v>12.689530685920579</v>
      </c>
      <c r="U21" s="1">
        <v>97.8</v>
      </c>
      <c r="V21" s="1">
        <v>126.6</v>
      </c>
      <c r="W21" s="1">
        <v>138.80000000000001</v>
      </c>
      <c r="X21" s="1">
        <v>42</v>
      </c>
      <c r="Y21" s="1">
        <v>156</v>
      </c>
      <c r="Z21" s="1">
        <v>193.8</v>
      </c>
      <c r="AA21" s="1">
        <v>94.6</v>
      </c>
      <c r="AB21" s="1">
        <v>137.6</v>
      </c>
      <c r="AC21" s="1"/>
      <c r="AD21" s="1">
        <f>G21*Q21</f>
        <v>145.79999999999998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9" t="s">
        <v>51</v>
      </c>
      <c r="B22" s="9" t="s">
        <v>34</v>
      </c>
      <c r="C22" s="9">
        <v>-10</v>
      </c>
      <c r="D22" s="9">
        <v>20</v>
      </c>
      <c r="E22" s="12">
        <v>10</v>
      </c>
      <c r="F22" s="9"/>
      <c r="G22" s="10">
        <v>0</v>
      </c>
      <c r="H22" s="9"/>
      <c r="I22" s="9" t="s">
        <v>52</v>
      </c>
      <c r="J22" s="9" t="s">
        <v>49</v>
      </c>
      <c r="K22" s="9">
        <v>10</v>
      </c>
      <c r="L22" s="9">
        <f t="shared" si="2"/>
        <v>0</v>
      </c>
      <c r="M22" s="9"/>
      <c r="N22" s="9"/>
      <c r="O22" s="9"/>
      <c r="P22" s="9">
        <f t="shared" si="3"/>
        <v>2</v>
      </c>
      <c r="Q22" s="11"/>
      <c r="R22" s="5"/>
      <c r="S22" s="9">
        <f t="shared" si="4"/>
        <v>0</v>
      </c>
      <c r="T22" s="9">
        <f t="shared" si="5"/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/>
      <c r="AD22" s="9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53</v>
      </c>
      <c r="B23" s="1" t="s">
        <v>34</v>
      </c>
      <c r="C23" s="1">
        <v>29</v>
      </c>
      <c r="D23" s="1">
        <v>8</v>
      </c>
      <c r="E23" s="1">
        <v>16</v>
      </c>
      <c r="F23" s="1">
        <v>12</v>
      </c>
      <c r="G23" s="7">
        <v>0.4</v>
      </c>
      <c r="H23" s="1">
        <v>270</v>
      </c>
      <c r="I23" s="1"/>
      <c r="J23" s="1"/>
      <c r="K23" s="1">
        <v>25</v>
      </c>
      <c r="L23" s="1">
        <f t="shared" si="2"/>
        <v>-9</v>
      </c>
      <c r="M23" s="1"/>
      <c r="N23" s="1"/>
      <c r="O23" s="1">
        <v>24</v>
      </c>
      <c r="P23" s="1">
        <f t="shared" si="3"/>
        <v>3.2</v>
      </c>
      <c r="Q23" s="5">
        <f t="shared" ref="Q23" si="9">20*P23-O23-F23</f>
        <v>28</v>
      </c>
      <c r="R23" s="5">
        <f>VLOOKUP(A23,заказ!A:B,2,0)</f>
        <v>32</v>
      </c>
      <c r="S23" s="1">
        <f t="shared" si="4"/>
        <v>20</v>
      </c>
      <c r="T23" s="1">
        <f t="shared" si="5"/>
        <v>11.25</v>
      </c>
      <c r="U23" s="1">
        <v>2.6</v>
      </c>
      <c r="V23" s="1">
        <v>0</v>
      </c>
      <c r="W23" s="1">
        <v>2.2000000000000002</v>
      </c>
      <c r="X23" s="1">
        <v>0.8</v>
      </c>
      <c r="Y23" s="1">
        <v>2.8</v>
      </c>
      <c r="Z23" s="1">
        <v>0.6</v>
      </c>
      <c r="AA23" s="1">
        <v>0.6</v>
      </c>
      <c r="AB23" s="1">
        <v>0.4</v>
      </c>
      <c r="AC23" s="1"/>
      <c r="AD23" s="1">
        <f t="shared" ref="AD23:AD28" si="10">G23*Q23</f>
        <v>11.200000000000001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54</v>
      </c>
      <c r="B24" s="1" t="s">
        <v>34</v>
      </c>
      <c r="C24" s="1">
        <v>90</v>
      </c>
      <c r="D24" s="1"/>
      <c r="E24" s="1"/>
      <c r="F24" s="1">
        <v>86</v>
      </c>
      <c r="G24" s="7">
        <v>0.4</v>
      </c>
      <c r="H24" s="1">
        <v>270</v>
      </c>
      <c r="I24" s="1"/>
      <c r="J24" s="1"/>
      <c r="K24" s="1"/>
      <c r="L24" s="1">
        <f t="shared" si="2"/>
        <v>0</v>
      </c>
      <c r="M24" s="1"/>
      <c r="N24" s="1"/>
      <c r="O24" s="1"/>
      <c r="P24" s="1">
        <f t="shared" si="3"/>
        <v>0</v>
      </c>
      <c r="Q24" s="5"/>
      <c r="R24" s="5"/>
      <c r="S24" s="1" t="e">
        <f t="shared" si="4"/>
        <v>#DIV/0!</v>
      </c>
      <c r="T24" s="1" t="e">
        <f t="shared" si="5"/>
        <v>#DIV/0!</v>
      </c>
      <c r="U24" s="1">
        <v>0.2</v>
      </c>
      <c r="V24" s="1">
        <v>0</v>
      </c>
      <c r="W24" s="1">
        <v>0</v>
      </c>
      <c r="X24" s="1">
        <v>0.2</v>
      </c>
      <c r="Y24" s="1">
        <v>0.2</v>
      </c>
      <c r="Z24" s="1">
        <v>0.2</v>
      </c>
      <c r="AA24" s="1">
        <v>0</v>
      </c>
      <c r="AB24" s="1">
        <v>1</v>
      </c>
      <c r="AC24" s="14" t="s">
        <v>35</v>
      </c>
      <c r="AD24" s="1">
        <f t="shared" si="10"/>
        <v>0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6" t="s">
        <v>55</v>
      </c>
      <c r="B25" s="1" t="s">
        <v>34</v>
      </c>
      <c r="C25" s="1">
        <v>189</v>
      </c>
      <c r="D25" s="1">
        <v>3</v>
      </c>
      <c r="E25" s="1">
        <v>14</v>
      </c>
      <c r="F25" s="1">
        <v>177</v>
      </c>
      <c r="G25" s="7">
        <v>0.18</v>
      </c>
      <c r="H25" s="1"/>
      <c r="I25" s="1"/>
      <c r="J25" s="1"/>
      <c r="K25" s="1">
        <v>15</v>
      </c>
      <c r="L25" s="1">
        <f t="shared" si="2"/>
        <v>-1</v>
      </c>
      <c r="M25" s="1"/>
      <c r="N25" s="1"/>
      <c r="O25" s="1"/>
      <c r="P25" s="1">
        <f t="shared" si="3"/>
        <v>2.8</v>
      </c>
      <c r="Q25" s="5"/>
      <c r="R25" s="5"/>
      <c r="S25" s="1">
        <f t="shared" si="4"/>
        <v>63.214285714285715</v>
      </c>
      <c r="T25" s="1">
        <f t="shared" si="5"/>
        <v>63.214285714285715</v>
      </c>
      <c r="U25" s="1">
        <v>3.6</v>
      </c>
      <c r="V25" s="1">
        <v>1.8</v>
      </c>
      <c r="W25" s="1">
        <v>1</v>
      </c>
      <c r="X25" s="1">
        <v>1</v>
      </c>
      <c r="Y25" s="1">
        <v>1.4</v>
      </c>
      <c r="Z25" s="1">
        <v>0.6</v>
      </c>
      <c r="AA25" s="1">
        <v>3.2</v>
      </c>
      <c r="AB25" s="1">
        <v>3.6</v>
      </c>
      <c r="AC25" s="14" t="s">
        <v>35</v>
      </c>
      <c r="AD25" s="1">
        <f t="shared" si="10"/>
        <v>0</v>
      </c>
      <c r="AE25" s="1">
        <v>4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56</v>
      </c>
      <c r="B26" s="1" t="s">
        <v>34</v>
      </c>
      <c r="C26" s="1">
        <v>27</v>
      </c>
      <c r="D26" s="1"/>
      <c r="E26" s="1"/>
      <c r="F26" s="1">
        <v>21</v>
      </c>
      <c r="G26" s="7">
        <v>0.2</v>
      </c>
      <c r="H26" s="1"/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5"/>
      <c r="S26" s="1" t="e">
        <f t="shared" si="4"/>
        <v>#DIV/0!</v>
      </c>
      <c r="T26" s="1" t="e">
        <f t="shared" si="5"/>
        <v>#DIV/0!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1</v>
      </c>
      <c r="AB26" s="1">
        <v>0</v>
      </c>
      <c r="AC26" s="14" t="s">
        <v>35</v>
      </c>
      <c r="AD26" s="1">
        <f t="shared" si="10"/>
        <v>0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57</v>
      </c>
      <c r="B27" s="1" t="s">
        <v>32</v>
      </c>
      <c r="C27" s="1">
        <v>62.22</v>
      </c>
      <c r="D27" s="1">
        <v>2.8149999999999999</v>
      </c>
      <c r="E27" s="1">
        <v>4.4450000000000003</v>
      </c>
      <c r="F27" s="1">
        <v>16.96</v>
      </c>
      <c r="G27" s="7">
        <v>1</v>
      </c>
      <c r="H27" s="1"/>
      <c r="I27" s="1"/>
      <c r="J27" s="1"/>
      <c r="K27" s="1">
        <v>3.5</v>
      </c>
      <c r="L27" s="1">
        <f t="shared" si="2"/>
        <v>0.94500000000000028</v>
      </c>
      <c r="M27" s="1"/>
      <c r="N27" s="1"/>
      <c r="O27" s="1"/>
      <c r="P27" s="1">
        <f t="shared" si="3"/>
        <v>0.88900000000000001</v>
      </c>
      <c r="Q27" s="5"/>
      <c r="R27" s="5"/>
      <c r="S27" s="1">
        <f t="shared" si="4"/>
        <v>19.077615298087739</v>
      </c>
      <c r="T27" s="1">
        <f t="shared" si="5"/>
        <v>19.077615298087739</v>
      </c>
      <c r="U27" s="1">
        <v>0.34799999999999998</v>
      </c>
      <c r="V27" s="1">
        <v>0.56299999999999994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5" t="s">
        <v>92</v>
      </c>
      <c r="AD27" s="1">
        <f t="shared" si="10"/>
        <v>0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58</v>
      </c>
      <c r="B28" s="1" t="s">
        <v>32</v>
      </c>
      <c r="C28" s="1">
        <v>54.895000000000003</v>
      </c>
      <c r="D28" s="1">
        <v>4.5</v>
      </c>
      <c r="E28" s="1"/>
      <c r="F28" s="1">
        <v>54.895000000000003</v>
      </c>
      <c r="G28" s="7">
        <v>1</v>
      </c>
      <c r="H28" s="1"/>
      <c r="I28" s="1"/>
      <c r="J28" s="1"/>
      <c r="K28" s="1"/>
      <c r="L28" s="1">
        <f t="shared" si="2"/>
        <v>0</v>
      </c>
      <c r="M28" s="1"/>
      <c r="N28" s="1"/>
      <c r="O28" s="1"/>
      <c r="P28" s="1">
        <f t="shared" si="3"/>
        <v>0</v>
      </c>
      <c r="Q28" s="5"/>
      <c r="R28" s="5"/>
      <c r="S28" s="1" t="e">
        <f t="shared" si="4"/>
        <v>#DIV/0!</v>
      </c>
      <c r="T28" s="1" t="e">
        <f t="shared" si="5"/>
        <v>#DIV/0!</v>
      </c>
      <c r="U28" s="1">
        <v>0</v>
      </c>
      <c r="V28" s="1">
        <v>0</v>
      </c>
      <c r="W28" s="1">
        <v>0</v>
      </c>
      <c r="X28" s="1">
        <v>0</v>
      </c>
      <c r="Y28" s="1">
        <v>1.7669999999999999</v>
      </c>
      <c r="Z28" s="1">
        <v>0</v>
      </c>
      <c r="AA28" s="1">
        <v>0.97499999999999998</v>
      </c>
      <c r="AB28" s="1">
        <v>0.44500000000000001</v>
      </c>
      <c r="AC28" s="14" t="s">
        <v>35</v>
      </c>
      <c r="AD28" s="1">
        <f t="shared" si="10"/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9" t="s">
        <v>59</v>
      </c>
      <c r="B29" s="9" t="s">
        <v>32</v>
      </c>
      <c r="C29" s="9">
        <v>-1.1879999999999999</v>
      </c>
      <c r="D29" s="9">
        <v>1.1879999999999999</v>
      </c>
      <c r="E29" s="9"/>
      <c r="F29" s="9"/>
      <c r="G29" s="10">
        <v>0</v>
      </c>
      <c r="H29" s="9"/>
      <c r="I29" s="9" t="s">
        <v>52</v>
      </c>
      <c r="J29" s="9" t="s">
        <v>31</v>
      </c>
      <c r="K29" s="9"/>
      <c r="L29" s="9">
        <f t="shared" si="2"/>
        <v>0</v>
      </c>
      <c r="M29" s="9"/>
      <c r="N29" s="9"/>
      <c r="O29" s="9"/>
      <c r="P29" s="9">
        <f t="shared" si="3"/>
        <v>0</v>
      </c>
      <c r="Q29" s="11"/>
      <c r="R29" s="5"/>
      <c r="S29" s="9" t="e">
        <f t="shared" si="4"/>
        <v>#DIV/0!</v>
      </c>
      <c r="T29" s="9" t="e">
        <f t="shared" si="5"/>
        <v>#DIV/0!</v>
      </c>
      <c r="U29" s="9">
        <v>0</v>
      </c>
      <c r="V29" s="9">
        <v>-0.23760000000000001</v>
      </c>
      <c r="W29" s="9">
        <v>0.23760000000000001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/>
      <c r="AD29" s="9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60</v>
      </c>
      <c r="B30" s="1" t="s">
        <v>34</v>
      </c>
      <c r="C30" s="1">
        <v>275</v>
      </c>
      <c r="D30" s="1">
        <v>5</v>
      </c>
      <c r="E30" s="1">
        <v>60</v>
      </c>
      <c r="F30" s="1">
        <v>205</v>
      </c>
      <c r="G30" s="7">
        <v>0.18</v>
      </c>
      <c r="H30" s="1">
        <v>150</v>
      </c>
      <c r="I30" s="1"/>
      <c r="J30" s="1"/>
      <c r="K30" s="1">
        <v>88</v>
      </c>
      <c r="L30" s="1">
        <f t="shared" si="2"/>
        <v>-28</v>
      </c>
      <c r="M30" s="1"/>
      <c r="N30" s="1"/>
      <c r="O30" s="1"/>
      <c r="P30" s="1">
        <f t="shared" si="3"/>
        <v>12</v>
      </c>
      <c r="Q30" s="5">
        <f>18*P30-O30-F30</f>
        <v>11</v>
      </c>
      <c r="R30" s="5">
        <f>VLOOKUP(A30,заказ!A:B,2,0)</f>
        <v>12</v>
      </c>
      <c r="S30" s="1">
        <f t="shared" si="4"/>
        <v>18</v>
      </c>
      <c r="T30" s="1">
        <f t="shared" si="5"/>
        <v>17.083333333333332</v>
      </c>
      <c r="U30" s="1">
        <v>4.2</v>
      </c>
      <c r="V30" s="1">
        <v>5.4</v>
      </c>
      <c r="W30" s="1">
        <v>0</v>
      </c>
      <c r="X30" s="1">
        <v>0</v>
      </c>
      <c r="Y30" s="1">
        <v>-0.2</v>
      </c>
      <c r="Z30" s="1">
        <v>-0.6</v>
      </c>
      <c r="AA30" s="1">
        <v>-0.6</v>
      </c>
      <c r="AB30" s="1">
        <v>0</v>
      </c>
      <c r="AC30" s="1"/>
      <c r="AD30" s="1">
        <f t="shared" ref="AD30:AD39" si="11">G30*Q30</f>
        <v>1.98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61</v>
      </c>
      <c r="B31" s="1" t="s">
        <v>34</v>
      </c>
      <c r="C31" s="1">
        <v>135</v>
      </c>
      <c r="D31" s="1">
        <v>30</v>
      </c>
      <c r="E31" s="1">
        <v>80</v>
      </c>
      <c r="F31" s="1">
        <v>-10</v>
      </c>
      <c r="G31" s="7">
        <v>0.1</v>
      </c>
      <c r="H31" s="1">
        <v>90</v>
      </c>
      <c r="I31" s="1"/>
      <c r="J31" s="1"/>
      <c r="K31" s="1">
        <v>75</v>
      </c>
      <c r="L31" s="1">
        <f t="shared" si="2"/>
        <v>5</v>
      </c>
      <c r="M31" s="1"/>
      <c r="N31" s="1"/>
      <c r="O31" s="1">
        <v>96</v>
      </c>
      <c r="P31" s="1">
        <f t="shared" si="3"/>
        <v>16</v>
      </c>
      <c r="Q31" s="5">
        <f t="shared" ref="Q31:Q38" si="12">20*P31-O31-F31</f>
        <v>234</v>
      </c>
      <c r="R31" s="5">
        <f>VLOOKUP(A31,заказ!A:B,2,0)</f>
        <v>232</v>
      </c>
      <c r="S31" s="1">
        <f t="shared" si="4"/>
        <v>20</v>
      </c>
      <c r="T31" s="1">
        <f t="shared" si="5"/>
        <v>5.375</v>
      </c>
      <c r="U31" s="1">
        <v>13.8</v>
      </c>
      <c r="V31" s="1">
        <v>0.2</v>
      </c>
      <c r="W31" s="1">
        <v>7.4</v>
      </c>
      <c r="X31" s="1">
        <v>12.2</v>
      </c>
      <c r="Y31" s="1">
        <v>-0.6</v>
      </c>
      <c r="Z31" s="1">
        <v>0</v>
      </c>
      <c r="AA31" s="1">
        <v>0</v>
      </c>
      <c r="AB31" s="1">
        <v>0</v>
      </c>
      <c r="AC31" s="1"/>
      <c r="AD31" s="1">
        <f t="shared" si="11"/>
        <v>23.400000000000002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62</v>
      </c>
      <c r="B32" s="1" t="s">
        <v>34</v>
      </c>
      <c r="C32" s="1">
        <v>511</v>
      </c>
      <c r="D32" s="1">
        <v>24</v>
      </c>
      <c r="E32" s="1">
        <v>149</v>
      </c>
      <c r="F32" s="1">
        <v>311</v>
      </c>
      <c r="G32" s="7">
        <v>0.1</v>
      </c>
      <c r="H32" s="1"/>
      <c r="I32" s="1"/>
      <c r="J32" s="1"/>
      <c r="K32" s="1">
        <v>182</v>
      </c>
      <c r="L32" s="1">
        <f t="shared" si="2"/>
        <v>-33</v>
      </c>
      <c r="M32" s="1"/>
      <c r="N32" s="1"/>
      <c r="O32" s="1"/>
      <c r="P32" s="1">
        <f t="shared" si="3"/>
        <v>29.8</v>
      </c>
      <c r="Q32" s="5">
        <f t="shared" si="12"/>
        <v>285</v>
      </c>
      <c r="R32" s="5">
        <f>VLOOKUP(A32,заказ!A:B,2,0)</f>
        <v>288</v>
      </c>
      <c r="S32" s="1">
        <f t="shared" si="4"/>
        <v>20</v>
      </c>
      <c r="T32" s="1">
        <f t="shared" si="5"/>
        <v>10.436241610738255</v>
      </c>
      <c r="U32" s="1">
        <v>18.399999999999999</v>
      </c>
      <c r="V32" s="1">
        <v>30.4</v>
      </c>
      <c r="W32" s="1">
        <v>37.4</v>
      </c>
      <c r="X32" s="1">
        <v>2</v>
      </c>
      <c r="Y32" s="1">
        <v>24.8</v>
      </c>
      <c r="Z32" s="1">
        <v>44.2</v>
      </c>
      <c r="AA32" s="1">
        <v>5.2</v>
      </c>
      <c r="AB32" s="1">
        <v>14</v>
      </c>
      <c r="AC32" s="1"/>
      <c r="AD32" s="1">
        <f t="shared" si="11"/>
        <v>28.5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63</v>
      </c>
      <c r="B33" s="1" t="s">
        <v>34</v>
      </c>
      <c r="C33" s="1">
        <v>341</v>
      </c>
      <c r="D33" s="1">
        <v>28</v>
      </c>
      <c r="E33" s="1">
        <v>153</v>
      </c>
      <c r="F33" s="1">
        <v>137</v>
      </c>
      <c r="G33" s="7">
        <v>0.1</v>
      </c>
      <c r="H33" s="1"/>
      <c r="I33" s="1"/>
      <c r="J33" s="1"/>
      <c r="K33" s="1">
        <v>188</v>
      </c>
      <c r="L33" s="1">
        <f t="shared" si="2"/>
        <v>-35</v>
      </c>
      <c r="M33" s="1"/>
      <c r="N33" s="1"/>
      <c r="O33" s="1">
        <v>32</v>
      </c>
      <c r="P33" s="1">
        <f t="shared" si="3"/>
        <v>30.6</v>
      </c>
      <c r="Q33" s="5">
        <f t="shared" si="12"/>
        <v>443</v>
      </c>
      <c r="R33" s="5">
        <f>VLOOKUP(A33,заказ!A:B,2,0)</f>
        <v>440</v>
      </c>
      <c r="S33" s="1">
        <f t="shared" si="4"/>
        <v>20</v>
      </c>
      <c r="T33" s="1">
        <f t="shared" si="5"/>
        <v>5.522875816993464</v>
      </c>
      <c r="U33" s="1">
        <v>18.8</v>
      </c>
      <c r="V33" s="1">
        <v>21</v>
      </c>
      <c r="W33" s="1">
        <v>26.6</v>
      </c>
      <c r="X33" s="1">
        <v>20.6</v>
      </c>
      <c r="Y33" s="1">
        <v>21.4</v>
      </c>
      <c r="Z33" s="1">
        <v>28</v>
      </c>
      <c r="AA33" s="1">
        <v>2.2000000000000002</v>
      </c>
      <c r="AB33" s="1">
        <v>16.2</v>
      </c>
      <c r="AC33" s="1"/>
      <c r="AD33" s="1">
        <f t="shared" si="11"/>
        <v>44.300000000000004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64</v>
      </c>
      <c r="B34" s="1" t="s">
        <v>34</v>
      </c>
      <c r="C34" s="1">
        <v>341</v>
      </c>
      <c r="D34" s="1">
        <v>352</v>
      </c>
      <c r="E34" s="1">
        <v>198</v>
      </c>
      <c r="F34" s="1">
        <v>377</v>
      </c>
      <c r="G34" s="7">
        <v>0.18</v>
      </c>
      <c r="H34" s="1">
        <v>150</v>
      </c>
      <c r="I34" s="1"/>
      <c r="J34" s="1"/>
      <c r="K34" s="1">
        <v>221</v>
      </c>
      <c r="L34" s="1">
        <f t="shared" si="2"/>
        <v>-23</v>
      </c>
      <c r="M34" s="1"/>
      <c r="N34" s="1"/>
      <c r="O34" s="1">
        <v>10</v>
      </c>
      <c r="P34" s="1">
        <f t="shared" si="3"/>
        <v>39.6</v>
      </c>
      <c r="Q34" s="5">
        <f t="shared" si="12"/>
        <v>405</v>
      </c>
      <c r="R34" s="5">
        <f>VLOOKUP(A34,заказ!A:B,2,0)</f>
        <v>400</v>
      </c>
      <c r="S34" s="1">
        <f t="shared" si="4"/>
        <v>20</v>
      </c>
      <c r="T34" s="1">
        <f t="shared" si="5"/>
        <v>9.7727272727272716</v>
      </c>
      <c r="U34" s="1">
        <v>29</v>
      </c>
      <c r="V34" s="1">
        <v>34.799999999999997</v>
      </c>
      <c r="W34" s="1">
        <v>33.200000000000003</v>
      </c>
      <c r="X34" s="1">
        <v>23.2</v>
      </c>
      <c r="Y34" s="1">
        <v>15</v>
      </c>
      <c r="Z34" s="1">
        <v>35</v>
      </c>
      <c r="AA34" s="1">
        <v>37.799999999999997</v>
      </c>
      <c r="AB34" s="1">
        <v>39.4</v>
      </c>
      <c r="AC34" s="1"/>
      <c r="AD34" s="1">
        <f t="shared" si="11"/>
        <v>72.899999999999991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65</v>
      </c>
      <c r="B35" s="1" t="s">
        <v>34</v>
      </c>
      <c r="C35" s="1">
        <v>1046</v>
      </c>
      <c r="D35" s="1">
        <v>247</v>
      </c>
      <c r="E35" s="1">
        <v>340</v>
      </c>
      <c r="F35" s="1">
        <v>628</v>
      </c>
      <c r="G35" s="7">
        <v>0.18</v>
      </c>
      <c r="H35" s="1">
        <v>150</v>
      </c>
      <c r="I35" s="1"/>
      <c r="J35" s="1"/>
      <c r="K35" s="1">
        <v>361</v>
      </c>
      <c r="L35" s="1">
        <f t="shared" si="2"/>
        <v>-21</v>
      </c>
      <c r="M35" s="1"/>
      <c r="N35" s="1"/>
      <c r="O35" s="1">
        <v>250</v>
      </c>
      <c r="P35" s="1">
        <f t="shared" si="3"/>
        <v>68</v>
      </c>
      <c r="Q35" s="5">
        <f t="shared" si="12"/>
        <v>482</v>
      </c>
      <c r="R35" s="5">
        <f>VLOOKUP(A35,заказ!A:B,2,0)</f>
        <v>480</v>
      </c>
      <c r="S35" s="1">
        <f t="shared" si="4"/>
        <v>20</v>
      </c>
      <c r="T35" s="1">
        <f t="shared" si="5"/>
        <v>12.911764705882353</v>
      </c>
      <c r="U35" s="1">
        <v>72</v>
      </c>
      <c r="V35" s="1">
        <v>60.2</v>
      </c>
      <c r="W35" s="1">
        <v>84.2</v>
      </c>
      <c r="X35" s="1">
        <v>19.8</v>
      </c>
      <c r="Y35" s="1">
        <v>15.8</v>
      </c>
      <c r="Z35" s="1">
        <v>83.6</v>
      </c>
      <c r="AA35" s="1">
        <v>2</v>
      </c>
      <c r="AB35" s="1">
        <v>26.4</v>
      </c>
      <c r="AC35" s="1"/>
      <c r="AD35" s="1">
        <f t="shared" si="11"/>
        <v>86.759999999999991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66</v>
      </c>
      <c r="B36" s="1" t="s">
        <v>34</v>
      </c>
      <c r="C36" s="1">
        <v>119</v>
      </c>
      <c r="D36" s="1">
        <v>12</v>
      </c>
      <c r="E36" s="1"/>
      <c r="F36" s="1">
        <v>130</v>
      </c>
      <c r="G36" s="7">
        <v>0.18</v>
      </c>
      <c r="H36" s="1">
        <v>150</v>
      </c>
      <c r="I36" s="1"/>
      <c r="J36" s="1"/>
      <c r="K36" s="1">
        <v>63</v>
      </c>
      <c r="L36" s="1">
        <f t="shared" si="2"/>
        <v>-63</v>
      </c>
      <c r="M36" s="1"/>
      <c r="N36" s="1"/>
      <c r="O36" s="1"/>
      <c r="P36" s="1">
        <f t="shared" si="3"/>
        <v>0</v>
      </c>
      <c r="Q36" s="5"/>
      <c r="R36" s="5"/>
      <c r="S36" s="1" t="e">
        <f t="shared" si="4"/>
        <v>#DIV/0!</v>
      </c>
      <c r="T36" s="1" t="e">
        <f t="shared" si="5"/>
        <v>#DIV/0!</v>
      </c>
      <c r="U36" s="1">
        <v>0.4</v>
      </c>
      <c r="V36" s="1">
        <v>0</v>
      </c>
      <c r="W36" s="1">
        <v>-0.2</v>
      </c>
      <c r="X36" s="1">
        <v>0</v>
      </c>
      <c r="Y36" s="1">
        <v>-0.4</v>
      </c>
      <c r="Z36" s="1">
        <v>-0.4</v>
      </c>
      <c r="AA36" s="1">
        <v>0</v>
      </c>
      <c r="AB36" s="1">
        <v>0.2</v>
      </c>
      <c r="AC36" s="14" t="s">
        <v>35</v>
      </c>
      <c r="AD36" s="1">
        <f t="shared" si="11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67</v>
      </c>
      <c r="B37" s="1" t="s">
        <v>34</v>
      </c>
      <c r="C37" s="1">
        <v>294</v>
      </c>
      <c r="D37" s="1">
        <v>25</v>
      </c>
      <c r="E37" s="12">
        <f>47+E40</f>
        <v>53</v>
      </c>
      <c r="F37" s="12">
        <f>263+F40</f>
        <v>262</v>
      </c>
      <c r="G37" s="7">
        <v>0.18</v>
      </c>
      <c r="H37" s="1">
        <v>120</v>
      </c>
      <c r="I37" s="1"/>
      <c r="J37" s="1"/>
      <c r="K37" s="1">
        <v>54</v>
      </c>
      <c r="L37" s="1">
        <f t="shared" si="2"/>
        <v>-1</v>
      </c>
      <c r="M37" s="1"/>
      <c r="N37" s="1"/>
      <c r="O37" s="1">
        <v>60</v>
      </c>
      <c r="P37" s="1">
        <f t="shared" si="3"/>
        <v>10.6</v>
      </c>
      <c r="Q37" s="5"/>
      <c r="R37" s="5"/>
      <c r="S37" s="1">
        <f t="shared" si="4"/>
        <v>30.377358490566039</v>
      </c>
      <c r="T37" s="1">
        <f t="shared" si="5"/>
        <v>30.377358490566039</v>
      </c>
      <c r="U37" s="1">
        <v>17.2</v>
      </c>
      <c r="V37" s="1">
        <v>14.4</v>
      </c>
      <c r="W37" s="1">
        <v>14.6</v>
      </c>
      <c r="X37" s="1">
        <v>27</v>
      </c>
      <c r="Y37" s="1">
        <v>22.4</v>
      </c>
      <c r="Z37" s="1">
        <v>19.2</v>
      </c>
      <c r="AA37" s="1">
        <v>19.2</v>
      </c>
      <c r="AB37" s="1">
        <v>17.399999999999999</v>
      </c>
      <c r="AC37" s="13" t="s">
        <v>92</v>
      </c>
      <c r="AD37" s="1">
        <f t="shared" si="11"/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68</v>
      </c>
      <c r="B38" s="1" t="s">
        <v>34</v>
      </c>
      <c r="C38" s="1">
        <v>856</v>
      </c>
      <c r="D38" s="1">
        <v>644</v>
      </c>
      <c r="E38" s="12">
        <f>432+E41</f>
        <v>440</v>
      </c>
      <c r="F38" s="1">
        <v>685</v>
      </c>
      <c r="G38" s="7">
        <v>0.18</v>
      </c>
      <c r="H38" s="1">
        <v>150</v>
      </c>
      <c r="I38" s="1"/>
      <c r="J38" s="1"/>
      <c r="K38" s="1">
        <v>445</v>
      </c>
      <c r="L38" s="1">
        <f t="shared" ref="L38:L60" si="13">E38-K38</f>
        <v>-5</v>
      </c>
      <c r="M38" s="1"/>
      <c r="N38" s="1"/>
      <c r="O38" s="1"/>
      <c r="P38" s="1">
        <f t="shared" ref="P38:P60" si="14">E38/5</f>
        <v>88</v>
      </c>
      <c r="Q38" s="5">
        <f t="shared" si="12"/>
        <v>1075</v>
      </c>
      <c r="R38" s="5">
        <f>VLOOKUP(A38,заказ!A:B,2,0)</f>
        <v>1080</v>
      </c>
      <c r="S38" s="1">
        <f t="shared" ref="S38:S60" si="15">(F38+O38+Q38)/P38</f>
        <v>20</v>
      </c>
      <c r="T38" s="1">
        <f t="shared" ref="T38:T60" si="16">(F38+O38)/P38</f>
        <v>7.7840909090909092</v>
      </c>
      <c r="U38" s="1">
        <v>14</v>
      </c>
      <c r="V38" s="1">
        <v>62.6</v>
      </c>
      <c r="W38" s="1">
        <v>65</v>
      </c>
      <c r="X38" s="1">
        <v>24.4</v>
      </c>
      <c r="Y38" s="1">
        <v>46</v>
      </c>
      <c r="Z38" s="1">
        <v>78</v>
      </c>
      <c r="AA38" s="1">
        <v>1.2</v>
      </c>
      <c r="AB38" s="1">
        <v>47.8</v>
      </c>
      <c r="AC38" s="1"/>
      <c r="AD38" s="1">
        <f t="shared" si="11"/>
        <v>193.5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69</v>
      </c>
      <c r="B39" s="1" t="s">
        <v>34</v>
      </c>
      <c r="C39" s="1">
        <v>443</v>
      </c>
      <c r="D39" s="1">
        <v>114</v>
      </c>
      <c r="E39" s="1">
        <v>92</v>
      </c>
      <c r="F39" s="1">
        <v>434</v>
      </c>
      <c r="G39" s="7">
        <v>0.18</v>
      </c>
      <c r="H39" s="1">
        <v>120</v>
      </c>
      <c r="I39" s="1"/>
      <c r="J39" s="1"/>
      <c r="K39" s="1">
        <v>115</v>
      </c>
      <c r="L39" s="1">
        <f t="shared" si="13"/>
        <v>-23</v>
      </c>
      <c r="M39" s="1"/>
      <c r="N39" s="1"/>
      <c r="O39" s="1">
        <v>50</v>
      </c>
      <c r="P39" s="1">
        <f t="shared" si="14"/>
        <v>18.399999999999999</v>
      </c>
      <c r="Q39" s="5"/>
      <c r="R39" s="5"/>
      <c r="S39" s="1">
        <f t="shared" si="15"/>
        <v>26.304347826086957</v>
      </c>
      <c r="T39" s="1">
        <f t="shared" si="16"/>
        <v>26.304347826086957</v>
      </c>
      <c r="U39" s="1">
        <v>27.4</v>
      </c>
      <c r="V39" s="1">
        <v>23.8</v>
      </c>
      <c r="W39" s="1">
        <v>17</v>
      </c>
      <c r="X39" s="1">
        <v>36.799999999999997</v>
      </c>
      <c r="Y39" s="1">
        <v>22.6</v>
      </c>
      <c r="Z39" s="1">
        <v>22</v>
      </c>
      <c r="AA39" s="1">
        <v>28.4</v>
      </c>
      <c r="AB39" s="1">
        <v>31.4</v>
      </c>
      <c r="AC39" s="1"/>
      <c r="AD39" s="1">
        <f t="shared" si="11"/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9" t="s">
        <v>70</v>
      </c>
      <c r="B40" s="9" t="s">
        <v>34</v>
      </c>
      <c r="C40" s="9">
        <v>-10</v>
      </c>
      <c r="D40" s="9">
        <v>15</v>
      </c>
      <c r="E40" s="12">
        <v>6</v>
      </c>
      <c r="F40" s="12">
        <v>-1</v>
      </c>
      <c r="G40" s="10">
        <v>0</v>
      </c>
      <c r="H40" s="9"/>
      <c r="I40" s="9" t="s">
        <v>52</v>
      </c>
      <c r="J40" s="9" t="s">
        <v>67</v>
      </c>
      <c r="K40" s="9">
        <v>6</v>
      </c>
      <c r="L40" s="9">
        <f t="shared" si="13"/>
        <v>0</v>
      </c>
      <c r="M40" s="9"/>
      <c r="N40" s="9"/>
      <c r="O40" s="9"/>
      <c r="P40" s="9">
        <f t="shared" si="14"/>
        <v>1.2</v>
      </c>
      <c r="Q40" s="11"/>
      <c r="R40" s="5"/>
      <c r="S40" s="9">
        <f t="shared" si="15"/>
        <v>-0.83333333333333337</v>
      </c>
      <c r="T40" s="9">
        <f t="shared" si="16"/>
        <v>-0.83333333333333337</v>
      </c>
      <c r="U40" s="9">
        <v>1.2</v>
      </c>
      <c r="V40" s="9">
        <v>0.4</v>
      </c>
      <c r="W40" s="9">
        <v>0</v>
      </c>
      <c r="X40" s="9">
        <v>0.4</v>
      </c>
      <c r="Y40" s="9">
        <v>0</v>
      </c>
      <c r="Z40" s="9">
        <v>0</v>
      </c>
      <c r="AA40" s="9">
        <v>0</v>
      </c>
      <c r="AB40" s="9">
        <v>0</v>
      </c>
      <c r="AC40" s="9"/>
      <c r="AD40" s="9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9" t="s">
        <v>71</v>
      </c>
      <c r="B41" s="9" t="s">
        <v>34</v>
      </c>
      <c r="C41" s="9">
        <v>-4</v>
      </c>
      <c r="D41" s="9">
        <v>12</v>
      </c>
      <c r="E41" s="12">
        <v>8</v>
      </c>
      <c r="F41" s="9"/>
      <c r="G41" s="10">
        <v>0</v>
      </c>
      <c r="H41" s="9"/>
      <c r="I41" s="9" t="s">
        <v>52</v>
      </c>
      <c r="J41" s="9" t="s">
        <v>68</v>
      </c>
      <c r="K41" s="9">
        <v>10</v>
      </c>
      <c r="L41" s="9">
        <f t="shared" si="13"/>
        <v>-2</v>
      </c>
      <c r="M41" s="9"/>
      <c r="N41" s="9"/>
      <c r="O41" s="9"/>
      <c r="P41" s="9">
        <f t="shared" si="14"/>
        <v>1.6</v>
      </c>
      <c r="Q41" s="11"/>
      <c r="R41" s="5"/>
      <c r="S41" s="9">
        <f t="shared" si="15"/>
        <v>0</v>
      </c>
      <c r="T41" s="9">
        <f t="shared" si="16"/>
        <v>0</v>
      </c>
      <c r="U41" s="9">
        <v>0</v>
      </c>
      <c r="V41" s="9">
        <v>0.4</v>
      </c>
      <c r="W41" s="9">
        <v>0</v>
      </c>
      <c r="X41" s="9">
        <v>0.4</v>
      </c>
      <c r="Y41" s="9">
        <v>0</v>
      </c>
      <c r="Z41" s="9">
        <v>0</v>
      </c>
      <c r="AA41" s="9">
        <v>0</v>
      </c>
      <c r="AB41" s="9">
        <v>0</v>
      </c>
      <c r="AC41" s="9"/>
      <c r="AD41" s="9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9" t="s">
        <v>72</v>
      </c>
      <c r="B42" s="9" t="s">
        <v>34</v>
      </c>
      <c r="C42" s="9">
        <v>-1</v>
      </c>
      <c r="D42" s="9">
        <v>1</v>
      </c>
      <c r="E42" s="9"/>
      <c r="F42" s="9"/>
      <c r="G42" s="10">
        <v>0</v>
      </c>
      <c r="H42" s="9"/>
      <c r="I42" s="9" t="s">
        <v>52</v>
      </c>
      <c r="J42" s="9" t="s">
        <v>69</v>
      </c>
      <c r="K42" s="9"/>
      <c r="L42" s="9">
        <f t="shared" si="13"/>
        <v>0</v>
      </c>
      <c r="M42" s="9"/>
      <c r="N42" s="9"/>
      <c r="O42" s="9"/>
      <c r="P42" s="9">
        <f t="shared" si="14"/>
        <v>0</v>
      </c>
      <c r="Q42" s="11"/>
      <c r="R42" s="5"/>
      <c r="S42" s="9" t="e">
        <f t="shared" si="15"/>
        <v>#DIV/0!</v>
      </c>
      <c r="T42" s="9" t="e">
        <f t="shared" si="16"/>
        <v>#DIV/0!</v>
      </c>
      <c r="U42" s="9">
        <v>0</v>
      </c>
      <c r="V42" s="9">
        <v>0.2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/>
      <c r="AD42" s="9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9" t="s">
        <v>73</v>
      </c>
      <c r="B43" s="9" t="s">
        <v>34</v>
      </c>
      <c r="C43" s="9">
        <v>-8</v>
      </c>
      <c r="D43" s="9">
        <v>8</v>
      </c>
      <c r="E43" s="9"/>
      <c r="F43" s="9"/>
      <c r="G43" s="10">
        <v>0</v>
      </c>
      <c r="H43" s="9"/>
      <c r="I43" s="9" t="s">
        <v>52</v>
      </c>
      <c r="J43" s="9" t="s">
        <v>74</v>
      </c>
      <c r="K43" s="9">
        <v>8</v>
      </c>
      <c r="L43" s="9">
        <f t="shared" si="13"/>
        <v>-8</v>
      </c>
      <c r="M43" s="9"/>
      <c r="N43" s="9"/>
      <c r="O43" s="9"/>
      <c r="P43" s="9">
        <f t="shared" si="14"/>
        <v>0</v>
      </c>
      <c r="Q43" s="11"/>
      <c r="R43" s="5"/>
      <c r="S43" s="9" t="e">
        <f t="shared" si="15"/>
        <v>#DIV/0!</v>
      </c>
      <c r="T43" s="9" t="e">
        <f t="shared" si="16"/>
        <v>#DIV/0!</v>
      </c>
      <c r="U43" s="9">
        <v>0.8</v>
      </c>
      <c r="V43" s="9">
        <v>0.2</v>
      </c>
      <c r="W43" s="9">
        <v>0.6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/>
      <c r="AD43" s="9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75</v>
      </c>
      <c r="B44" s="1" t="s">
        <v>34</v>
      </c>
      <c r="C44" s="1">
        <v>98</v>
      </c>
      <c r="D44" s="1">
        <v>21</v>
      </c>
      <c r="E44" s="1">
        <v>1</v>
      </c>
      <c r="F44" s="1">
        <v>5</v>
      </c>
      <c r="G44" s="7">
        <v>0.1</v>
      </c>
      <c r="H44" s="1"/>
      <c r="I44" s="1"/>
      <c r="J44" s="1"/>
      <c r="K44" s="1">
        <v>47</v>
      </c>
      <c r="L44" s="1">
        <f t="shared" si="13"/>
        <v>-46</v>
      </c>
      <c r="M44" s="1"/>
      <c r="N44" s="1"/>
      <c r="O44" s="1"/>
      <c r="P44" s="1">
        <f t="shared" si="14"/>
        <v>0.2</v>
      </c>
      <c r="Q44" s="5"/>
      <c r="R44" s="5"/>
      <c r="S44" s="1">
        <f t="shared" si="15"/>
        <v>25</v>
      </c>
      <c r="T44" s="1">
        <f t="shared" si="16"/>
        <v>25</v>
      </c>
      <c r="U44" s="1">
        <v>2.8</v>
      </c>
      <c r="V44" s="1">
        <v>3</v>
      </c>
      <c r="W44" s="1">
        <v>1.8</v>
      </c>
      <c r="X44" s="1">
        <v>7.4</v>
      </c>
      <c r="Y44" s="1">
        <v>7.2</v>
      </c>
      <c r="Z44" s="1">
        <v>10.4</v>
      </c>
      <c r="AA44" s="1">
        <v>3.8</v>
      </c>
      <c r="AB44" s="1">
        <v>3.2</v>
      </c>
      <c r="AC44" s="13" t="s">
        <v>92</v>
      </c>
      <c r="AD44" s="1">
        <f>G44*Q44</f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76</v>
      </c>
      <c r="B45" s="1" t="s">
        <v>34</v>
      </c>
      <c r="C45" s="1">
        <v>40</v>
      </c>
      <c r="D45" s="1">
        <v>33</v>
      </c>
      <c r="E45" s="1">
        <v>17</v>
      </c>
      <c r="F45" s="1">
        <v>53</v>
      </c>
      <c r="G45" s="7">
        <v>0.14000000000000001</v>
      </c>
      <c r="H45" s="1">
        <v>180</v>
      </c>
      <c r="I45" s="1"/>
      <c r="J45" s="1"/>
      <c r="K45" s="1">
        <v>20</v>
      </c>
      <c r="L45" s="1">
        <f t="shared" si="13"/>
        <v>-3</v>
      </c>
      <c r="M45" s="1"/>
      <c r="N45" s="1"/>
      <c r="O45" s="1">
        <v>64</v>
      </c>
      <c r="P45" s="1">
        <f t="shared" si="14"/>
        <v>3.4</v>
      </c>
      <c r="Q45" s="5"/>
      <c r="R45" s="5"/>
      <c r="S45" s="1">
        <f t="shared" si="15"/>
        <v>34.411764705882355</v>
      </c>
      <c r="T45" s="1">
        <f t="shared" si="16"/>
        <v>34.411764705882355</v>
      </c>
      <c r="U45" s="1">
        <v>6.8</v>
      </c>
      <c r="V45" s="1">
        <v>5.4</v>
      </c>
      <c r="W45" s="1">
        <v>3.4</v>
      </c>
      <c r="X45" s="1">
        <v>5.6</v>
      </c>
      <c r="Y45" s="1">
        <v>1.8</v>
      </c>
      <c r="Z45" s="1">
        <v>5.4</v>
      </c>
      <c r="AA45" s="1">
        <v>7</v>
      </c>
      <c r="AB45" s="1">
        <v>2.4</v>
      </c>
      <c r="AC45" s="13" t="s">
        <v>92</v>
      </c>
      <c r="AD45" s="1">
        <f>G45*Q45</f>
        <v>0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74</v>
      </c>
      <c r="B46" s="1" t="s">
        <v>34</v>
      </c>
      <c r="C46" s="1">
        <v>282</v>
      </c>
      <c r="D46" s="1">
        <v>12</v>
      </c>
      <c r="E46" s="1">
        <v>84</v>
      </c>
      <c r="F46" s="1">
        <v>168</v>
      </c>
      <c r="G46" s="7">
        <v>0.18</v>
      </c>
      <c r="H46" s="1">
        <v>270</v>
      </c>
      <c r="I46" s="1"/>
      <c r="J46" s="1"/>
      <c r="K46" s="1">
        <v>86</v>
      </c>
      <c r="L46" s="1">
        <f t="shared" si="13"/>
        <v>-2</v>
      </c>
      <c r="M46" s="1"/>
      <c r="N46" s="1"/>
      <c r="O46" s="1">
        <v>16</v>
      </c>
      <c r="P46" s="1">
        <f t="shared" si="14"/>
        <v>16.8</v>
      </c>
      <c r="Q46" s="5">
        <f t="shared" ref="Q46" si="17">20*P46-O46-F46</f>
        <v>152</v>
      </c>
      <c r="R46" s="5">
        <f>VLOOKUP(A46,заказ!A:B,2,0)</f>
        <v>160</v>
      </c>
      <c r="S46" s="1">
        <f t="shared" si="15"/>
        <v>20</v>
      </c>
      <c r="T46" s="1">
        <f t="shared" si="16"/>
        <v>10.952380952380953</v>
      </c>
      <c r="U46" s="1">
        <v>14.2</v>
      </c>
      <c r="V46" s="1">
        <v>11.6</v>
      </c>
      <c r="W46" s="1">
        <v>20.2</v>
      </c>
      <c r="X46" s="1">
        <v>18.600000000000001</v>
      </c>
      <c r="Y46" s="1">
        <v>15.4</v>
      </c>
      <c r="Z46" s="1">
        <v>13.4</v>
      </c>
      <c r="AA46" s="1">
        <v>17</v>
      </c>
      <c r="AB46" s="1">
        <v>8.8000000000000007</v>
      </c>
      <c r="AC46" s="1"/>
      <c r="AD46" s="1">
        <f>G46*Q46</f>
        <v>27.36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6" t="s">
        <v>77</v>
      </c>
      <c r="B47" s="1" t="s">
        <v>32</v>
      </c>
      <c r="C47" s="1">
        <v>216.7</v>
      </c>
      <c r="D47" s="1">
        <v>33.411999999999999</v>
      </c>
      <c r="E47" s="1">
        <v>3.78</v>
      </c>
      <c r="F47" s="1">
        <v>243.06</v>
      </c>
      <c r="G47" s="7">
        <v>1</v>
      </c>
      <c r="H47" s="1"/>
      <c r="I47" s="1"/>
      <c r="J47" s="1"/>
      <c r="K47" s="1">
        <v>3</v>
      </c>
      <c r="L47" s="1">
        <f t="shared" si="13"/>
        <v>0.7799999999999998</v>
      </c>
      <c r="M47" s="1"/>
      <c r="N47" s="1"/>
      <c r="O47" s="1"/>
      <c r="P47" s="1">
        <f t="shared" si="14"/>
        <v>0.75600000000000001</v>
      </c>
      <c r="Q47" s="5"/>
      <c r="R47" s="5"/>
      <c r="S47" s="1">
        <f t="shared" si="15"/>
        <v>321.50793650793651</v>
      </c>
      <c r="T47" s="1">
        <f t="shared" si="16"/>
        <v>321.50793650793651</v>
      </c>
      <c r="U47" s="1">
        <v>1.2356</v>
      </c>
      <c r="V47" s="1">
        <v>4.1204000000000001</v>
      </c>
      <c r="W47" s="1">
        <v>1.3091999999999999</v>
      </c>
      <c r="X47" s="1">
        <v>4.6416000000000004</v>
      </c>
      <c r="Y47" s="1">
        <v>1.8744000000000001</v>
      </c>
      <c r="Z47" s="1">
        <v>3.3104</v>
      </c>
      <c r="AA47" s="1">
        <v>5.3731999999999998</v>
      </c>
      <c r="AB47" s="1">
        <v>10.0892</v>
      </c>
      <c r="AC47" s="14" t="s">
        <v>35</v>
      </c>
      <c r="AD47" s="1">
        <f>G47*Q47</f>
        <v>0</v>
      </c>
      <c r="AE47" s="1">
        <v>16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6" t="s">
        <v>78</v>
      </c>
      <c r="B48" s="1" t="s">
        <v>32</v>
      </c>
      <c r="C48" s="1">
        <v>91.616</v>
      </c>
      <c r="D48" s="1">
        <v>13.082000000000001</v>
      </c>
      <c r="E48" s="1">
        <v>10.401999999999999</v>
      </c>
      <c r="F48" s="1">
        <v>91.123999999999995</v>
      </c>
      <c r="G48" s="7">
        <v>1</v>
      </c>
      <c r="H48" s="1"/>
      <c r="I48" s="1"/>
      <c r="J48" s="1"/>
      <c r="K48" s="1">
        <v>10</v>
      </c>
      <c r="L48" s="1">
        <f t="shared" si="13"/>
        <v>0.40199999999999925</v>
      </c>
      <c r="M48" s="1"/>
      <c r="N48" s="1"/>
      <c r="O48" s="1"/>
      <c r="P48" s="1">
        <f t="shared" si="14"/>
        <v>2.0804</v>
      </c>
      <c r="Q48" s="5"/>
      <c r="R48" s="5"/>
      <c r="S48" s="1">
        <f t="shared" si="15"/>
        <v>43.801192078446448</v>
      </c>
      <c r="T48" s="1">
        <f t="shared" si="16"/>
        <v>43.801192078446448</v>
      </c>
      <c r="U48" s="1">
        <v>3.9416000000000002</v>
      </c>
      <c r="V48" s="1">
        <v>3.7991999999999999</v>
      </c>
      <c r="W48" s="1">
        <v>2.6511999999999998</v>
      </c>
      <c r="X48" s="1">
        <v>1.9648000000000001</v>
      </c>
      <c r="Y48" s="1">
        <v>5.1787999999999998</v>
      </c>
      <c r="Z48" s="1">
        <v>3.278</v>
      </c>
      <c r="AA48" s="1">
        <v>0</v>
      </c>
      <c r="AB48" s="1">
        <v>0</v>
      </c>
      <c r="AC48" s="14" t="s">
        <v>35</v>
      </c>
      <c r="AD48" s="1">
        <f>G48*Q48</f>
        <v>0</v>
      </c>
      <c r="AE48" s="1">
        <v>29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9" t="s">
        <v>79</v>
      </c>
      <c r="B49" s="9" t="s">
        <v>32</v>
      </c>
      <c r="C49" s="9">
        <v>-4.5519999999999996</v>
      </c>
      <c r="D49" s="9">
        <v>4.5519999999999996</v>
      </c>
      <c r="E49" s="9"/>
      <c r="F49" s="12">
        <v>-1.1379999999999999</v>
      </c>
      <c r="G49" s="10">
        <v>0</v>
      </c>
      <c r="H49" s="9"/>
      <c r="I49" s="9" t="s">
        <v>52</v>
      </c>
      <c r="J49" s="9" t="s">
        <v>31</v>
      </c>
      <c r="K49" s="9">
        <v>4.4000000000000004</v>
      </c>
      <c r="L49" s="9">
        <f t="shared" si="13"/>
        <v>-4.4000000000000004</v>
      </c>
      <c r="M49" s="9"/>
      <c r="N49" s="9"/>
      <c r="O49" s="9"/>
      <c r="P49" s="9">
        <f t="shared" si="14"/>
        <v>0</v>
      </c>
      <c r="Q49" s="11"/>
      <c r="R49" s="5"/>
      <c r="S49" s="9" t="e">
        <f t="shared" si="15"/>
        <v>#DIV/0!</v>
      </c>
      <c r="T49" s="9" t="e">
        <f t="shared" si="16"/>
        <v>#DIV/0!</v>
      </c>
      <c r="U49" s="9">
        <v>0</v>
      </c>
      <c r="V49" s="9">
        <v>0.66239999999999999</v>
      </c>
      <c r="W49" s="9">
        <v>0.248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/>
      <c r="AD49" s="9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80</v>
      </c>
      <c r="B50" s="1" t="s">
        <v>32</v>
      </c>
      <c r="C50" s="1">
        <v>88.433000000000007</v>
      </c>
      <c r="D50" s="1">
        <v>113.926</v>
      </c>
      <c r="E50" s="1">
        <v>63.256</v>
      </c>
      <c r="F50" s="1">
        <v>120.714</v>
      </c>
      <c r="G50" s="7">
        <v>1</v>
      </c>
      <c r="H50" s="1">
        <v>120</v>
      </c>
      <c r="I50" s="1"/>
      <c r="J50" s="1"/>
      <c r="K50" s="1">
        <v>70.900000000000006</v>
      </c>
      <c r="L50" s="1">
        <f t="shared" si="13"/>
        <v>-7.6440000000000055</v>
      </c>
      <c r="M50" s="1"/>
      <c r="N50" s="1"/>
      <c r="O50" s="1"/>
      <c r="P50" s="1">
        <f t="shared" si="14"/>
        <v>12.651199999999999</v>
      </c>
      <c r="Q50" s="5">
        <f t="shared" ref="Q50:Q55" si="18">20*P50-O50-F50</f>
        <v>132.31</v>
      </c>
      <c r="R50" s="5">
        <f>VLOOKUP(A50,заказ!A:B,2,0)</f>
        <v>132</v>
      </c>
      <c r="S50" s="1">
        <f t="shared" si="15"/>
        <v>20</v>
      </c>
      <c r="T50" s="1">
        <f t="shared" si="16"/>
        <v>9.5417035538130772</v>
      </c>
      <c r="U50" s="1">
        <v>5.6836000000000002</v>
      </c>
      <c r="V50" s="1">
        <v>12.961399999999999</v>
      </c>
      <c r="W50" s="1">
        <v>7.6576000000000004</v>
      </c>
      <c r="X50" s="1">
        <v>5.2435999999999998</v>
      </c>
      <c r="Y50" s="1">
        <v>8.76</v>
      </c>
      <c r="Z50" s="1">
        <v>11.757999999999999</v>
      </c>
      <c r="AA50" s="1">
        <v>13.148400000000001</v>
      </c>
      <c r="AB50" s="1">
        <v>6.5208000000000004</v>
      </c>
      <c r="AC50" s="1"/>
      <c r="AD50" s="1">
        <f t="shared" ref="AD50:AD57" si="19">G50*Q50</f>
        <v>132.31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81</v>
      </c>
      <c r="B51" s="1" t="s">
        <v>32</v>
      </c>
      <c r="C51" s="1">
        <v>126.51</v>
      </c>
      <c r="D51" s="1"/>
      <c r="E51" s="1">
        <v>19.297999999999998</v>
      </c>
      <c r="F51" s="1">
        <v>100.58</v>
      </c>
      <c r="G51" s="7">
        <v>1</v>
      </c>
      <c r="H51" s="1"/>
      <c r="I51" s="1"/>
      <c r="J51" s="1"/>
      <c r="K51" s="1">
        <v>20.5</v>
      </c>
      <c r="L51" s="1">
        <f t="shared" si="13"/>
        <v>-1.2020000000000017</v>
      </c>
      <c r="M51" s="1"/>
      <c r="N51" s="1"/>
      <c r="O51" s="1"/>
      <c r="P51" s="1">
        <f t="shared" si="14"/>
        <v>3.8595999999999995</v>
      </c>
      <c r="Q51" s="5"/>
      <c r="R51" s="5"/>
      <c r="S51" s="1">
        <f t="shared" si="15"/>
        <v>26.05969530521298</v>
      </c>
      <c r="T51" s="1">
        <f t="shared" si="16"/>
        <v>26.05969530521298</v>
      </c>
      <c r="U51" s="1">
        <v>0.60640000000000005</v>
      </c>
      <c r="V51" s="1">
        <v>5.1560000000000006</v>
      </c>
      <c r="W51" s="1">
        <v>0.63280000000000003</v>
      </c>
      <c r="X51" s="1">
        <v>2.4144000000000001</v>
      </c>
      <c r="Y51" s="1">
        <v>3.694</v>
      </c>
      <c r="Z51" s="1">
        <v>1.24</v>
      </c>
      <c r="AA51" s="1">
        <v>0.59599999999999997</v>
      </c>
      <c r="AB51" s="1">
        <v>6.4363999999999999</v>
      </c>
      <c r="AC51" s="14" t="s">
        <v>35</v>
      </c>
      <c r="AD51" s="1">
        <f t="shared" si="19"/>
        <v>0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82</v>
      </c>
      <c r="B52" s="1" t="s">
        <v>34</v>
      </c>
      <c r="C52" s="1">
        <v>201</v>
      </c>
      <c r="D52" s="1">
        <v>263</v>
      </c>
      <c r="E52" s="1">
        <v>205</v>
      </c>
      <c r="F52" s="1">
        <v>2</v>
      </c>
      <c r="G52" s="7">
        <v>0.1</v>
      </c>
      <c r="H52" s="1">
        <v>60</v>
      </c>
      <c r="I52" s="1"/>
      <c r="J52" s="1"/>
      <c r="K52" s="1">
        <v>285</v>
      </c>
      <c r="L52" s="1">
        <f t="shared" si="13"/>
        <v>-80</v>
      </c>
      <c r="M52" s="1"/>
      <c r="N52" s="1"/>
      <c r="O52" s="1">
        <v>72</v>
      </c>
      <c r="P52" s="1">
        <f t="shared" si="14"/>
        <v>41</v>
      </c>
      <c r="Q52" s="5">
        <f>15*P52-O52-F52</f>
        <v>541</v>
      </c>
      <c r="R52" s="5">
        <f>VLOOKUP(A52,заказ!A:B,2,0)</f>
        <v>540</v>
      </c>
      <c r="S52" s="1">
        <f t="shared" si="15"/>
        <v>15</v>
      </c>
      <c r="T52" s="1">
        <f t="shared" si="16"/>
        <v>1.8048780487804879</v>
      </c>
      <c r="U52" s="1">
        <v>51</v>
      </c>
      <c r="V52" s="1">
        <v>54</v>
      </c>
      <c r="W52" s="1">
        <v>0.6</v>
      </c>
      <c r="X52" s="1">
        <v>34</v>
      </c>
      <c r="Y52" s="1">
        <v>68</v>
      </c>
      <c r="Z52" s="1">
        <v>12.8</v>
      </c>
      <c r="AA52" s="1">
        <v>13</v>
      </c>
      <c r="AB52" s="1">
        <v>87.8</v>
      </c>
      <c r="AC52" s="1"/>
      <c r="AD52" s="1">
        <f t="shared" si="19"/>
        <v>54.1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83</v>
      </c>
      <c r="B53" s="1" t="s">
        <v>34</v>
      </c>
      <c r="C53" s="1">
        <v>740</v>
      </c>
      <c r="D53" s="1">
        <v>190</v>
      </c>
      <c r="E53" s="1">
        <v>203</v>
      </c>
      <c r="F53" s="1">
        <v>511</v>
      </c>
      <c r="G53" s="7">
        <v>0.1</v>
      </c>
      <c r="H53" s="1">
        <v>90</v>
      </c>
      <c r="I53" s="1"/>
      <c r="J53" s="1"/>
      <c r="K53" s="1">
        <v>209</v>
      </c>
      <c r="L53" s="1">
        <f t="shared" si="13"/>
        <v>-6</v>
      </c>
      <c r="M53" s="1"/>
      <c r="N53" s="1"/>
      <c r="O53" s="1"/>
      <c r="P53" s="1">
        <f t="shared" si="14"/>
        <v>40.6</v>
      </c>
      <c r="Q53" s="5">
        <f>18*P53-O53-F53</f>
        <v>219.80000000000007</v>
      </c>
      <c r="R53" s="5">
        <f>VLOOKUP(A53,заказ!A:B,2,0)</f>
        <v>222</v>
      </c>
      <c r="S53" s="1">
        <f t="shared" si="15"/>
        <v>18</v>
      </c>
      <c r="T53" s="1">
        <f t="shared" si="16"/>
        <v>12.586206896551724</v>
      </c>
      <c r="U53" s="1">
        <v>36.4</v>
      </c>
      <c r="V53" s="1">
        <v>15.2</v>
      </c>
      <c r="W53" s="1">
        <v>49.6</v>
      </c>
      <c r="X53" s="1">
        <v>33.200000000000003</v>
      </c>
      <c r="Y53" s="1">
        <v>22.2</v>
      </c>
      <c r="Z53" s="1">
        <v>30.2</v>
      </c>
      <c r="AA53" s="1">
        <v>35.799999999999997</v>
      </c>
      <c r="AB53" s="1">
        <v>48.4</v>
      </c>
      <c r="AC53" s="1"/>
      <c r="AD53" s="1">
        <f t="shared" si="19"/>
        <v>21.980000000000008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84</v>
      </c>
      <c r="B54" s="1" t="s">
        <v>34</v>
      </c>
      <c r="C54" s="1">
        <v>94</v>
      </c>
      <c r="D54" s="1">
        <v>7</v>
      </c>
      <c r="E54" s="1">
        <v>33</v>
      </c>
      <c r="F54" s="1">
        <v>62</v>
      </c>
      <c r="G54" s="7">
        <v>0.14000000000000001</v>
      </c>
      <c r="H54" s="1">
        <v>180</v>
      </c>
      <c r="I54" s="1"/>
      <c r="J54" s="1"/>
      <c r="K54" s="1">
        <v>35</v>
      </c>
      <c r="L54" s="1">
        <f t="shared" si="13"/>
        <v>-2</v>
      </c>
      <c r="M54" s="1"/>
      <c r="N54" s="1"/>
      <c r="O54" s="1">
        <v>112</v>
      </c>
      <c r="P54" s="1">
        <f t="shared" si="14"/>
        <v>6.6</v>
      </c>
      <c r="Q54" s="5"/>
      <c r="R54" s="5"/>
      <c r="S54" s="1">
        <f t="shared" si="15"/>
        <v>26.363636363636363</v>
      </c>
      <c r="T54" s="1">
        <f t="shared" si="16"/>
        <v>26.363636363636363</v>
      </c>
      <c r="U54" s="1">
        <v>11.4</v>
      </c>
      <c r="V54" s="1">
        <v>8.1999999999999993</v>
      </c>
      <c r="W54" s="1">
        <v>4.8</v>
      </c>
      <c r="X54" s="1">
        <v>10.6</v>
      </c>
      <c r="Y54" s="1">
        <v>3.4</v>
      </c>
      <c r="Z54" s="1">
        <v>6.2</v>
      </c>
      <c r="AA54" s="1">
        <v>13.4</v>
      </c>
      <c r="AB54" s="1">
        <v>5</v>
      </c>
      <c r="AC54" s="1"/>
      <c r="AD54" s="1">
        <f t="shared" si="19"/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85</v>
      </c>
      <c r="B55" s="1" t="s">
        <v>34</v>
      </c>
      <c r="C55" s="1">
        <v>83</v>
      </c>
      <c r="D55" s="1">
        <v>4</v>
      </c>
      <c r="E55" s="1">
        <v>24</v>
      </c>
      <c r="F55" s="1">
        <v>61</v>
      </c>
      <c r="G55" s="7">
        <v>0.2</v>
      </c>
      <c r="H55" s="1"/>
      <c r="I55" s="1"/>
      <c r="J55" s="1"/>
      <c r="K55" s="1">
        <v>26</v>
      </c>
      <c r="L55" s="1">
        <f t="shared" si="13"/>
        <v>-2</v>
      </c>
      <c r="M55" s="1"/>
      <c r="N55" s="1"/>
      <c r="O55" s="1"/>
      <c r="P55" s="1">
        <f t="shared" si="14"/>
        <v>4.8</v>
      </c>
      <c r="Q55" s="5">
        <f t="shared" si="18"/>
        <v>35</v>
      </c>
      <c r="R55" s="5">
        <f>VLOOKUP(A55,заказ!A:B,2,0)</f>
        <v>40</v>
      </c>
      <c r="S55" s="1">
        <f t="shared" si="15"/>
        <v>20</v>
      </c>
      <c r="T55" s="1">
        <f t="shared" si="16"/>
        <v>12.708333333333334</v>
      </c>
      <c r="U55" s="1">
        <v>3.8</v>
      </c>
      <c r="V55" s="1">
        <v>5.2</v>
      </c>
      <c r="W55" s="1">
        <v>4.8</v>
      </c>
      <c r="X55" s="1">
        <v>7.8</v>
      </c>
      <c r="Y55" s="1">
        <v>7.4</v>
      </c>
      <c r="Z55" s="1">
        <v>2.2000000000000002</v>
      </c>
      <c r="AA55" s="1">
        <v>12</v>
      </c>
      <c r="AB55" s="1">
        <v>9.1999999999999993</v>
      </c>
      <c r="AC55" s="1"/>
      <c r="AD55" s="1">
        <f t="shared" si="19"/>
        <v>7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86</v>
      </c>
      <c r="B56" s="1" t="s">
        <v>32</v>
      </c>
      <c r="C56" s="1">
        <v>9.9469999999999992</v>
      </c>
      <c r="D56" s="1">
        <v>215.47200000000001</v>
      </c>
      <c r="E56" s="1"/>
      <c r="F56" s="1"/>
      <c r="G56" s="7">
        <v>1</v>
      </c>
      <c r="H56" s="1"/>
      <c r="I56" s="1"/>
      <c r="J56" s="1"/>
      <c r="K56" s="1">
        <v>10</v>
      </c>
      <c r="L56" s="1">
        <f t="shared" si="13"/>
        <v>-10</v>
      </c>
      <c r="M56" s="1"/>
      <c r="N56" s="1"/>
      <c r="O56" s="1">
        <v>75</v>
      </c>
      <c r="P56" s="1">
        <f t="shared" si="14"/>
        <v>0</v>
      </c>
      <c r="Q56" s="5"/>
      <c r="R56" s="5"/>
      <c r="S56" s="1" t="e">
        <f t="shared" si="15"/>
        <v>#DIV/0!</v>
      </c>
      <c r="T56" s="1" t="e">
        <f t="shared" si="16"/>
        <v>#DIV/0!</v>
      </c>
      <c r="U56" s="1">
        <v>64.421999999999997</v>
      </c>
      <c r="V56" s="1">
        <v>0.6492</v>
      </c>
      <c r="W56" s="1">
        <v>6.3916000000000004</v>
      </c>
      <c r="X56" s="1">
        <v>34.374000000000002</v>
      </c>
      <c r="Y56" s="1">
        <v>1.9136</v>
      </c>
      <c r="Z56" s="1">
        <v>2.6507999999999998</v>
      </c>
      <c r="AA56" s="1">
        <v>1.1095999999999999</v>
      </c>
      <c r="AB56" s="1">
        <v>2.7692000000000001</v>
      </c>
      <c r="AC56" s="1" t="s">
        <v>87</v>
      </c>
      <c r="AD56" s="1">
        <f t="shared" si="19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88</v>
      </c>
      <c r="B57" s="1" t="s">
        <v>34</v>
      </c>
      <c r="C57" s="1">
        <v>66</v>
      </c>
      <c r="D57" s="1">
        <v>63</v>
      </c>
      <c r="E57" s="12">
        <f>15+E58</f>
        <v>18</v>
      </c>
      <c r="F57" s="12">
        <f>101+F58</f>
        <v>98</v>
      </c>
      <c r="G57" s="7">
        <v>0.2</v>
      </c>
      <c r="H57" s="1"/>
      <c r="I57" s="1"/>
      <c r="J57" s="1"/>
      <c r="K57" s="1">
        <v>17</v>
      </c>
      <c r="L57" s="1">
        <f t="shared" si="13"/>
        <v>1</v>
      </c>
      <c r="M57" s="1"/>
      <c r="N57" s="1"/>
      <c r="O57" s="1">
        <v>50</v>
      </c>
      <c r="P57" s="1">
        <f t="shared" si="14"/>
        <v>3.6</v>
      </c>
      <c r="Q57" s="5"/>
      <c r="R57" s="5"/>
      <c r="S57" s="1">
        <f t="shared" si="15"/>
        <v>41.111111111111107</v>
      </c>
      <c r="T57" s="1">
        <f t="shared" si="16"/>
        <v>41.111111111111107</v>
      </c>
      <c r="U57" s="1">
        <v>5.4</v>
      </c>
      <c r="V57" s="1">
        <v>4</v>
      </c>
      <c r="W57" s="1">
        <v>0.6</v>
      </c>
      <c r="X57" s="1">
        <v>5.4</v>
      </c>
      <c r="Y57" s="1">
        <v>3.8</v>
      </c>
      <c r="Z57" s="1">
        <v>2</v>
      </c>
      <c r="AA57" s="1">
        <v>2.4</v>
      </c>
      <c r="AB57" s="1">
        <v>3.4</v>
      </c>
      <c r="AC57" s="13" t="s">
        <v>92</v>
      </c>
      <c r="AD57" s="1">
        <f t="shared" si="19"/>
        <v>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9" t="s">
        <v>89</v>
      </c>
      <c r="B58" s="9" t="s">
        <v>34</v>
      </c>
      <c r="C58" s="9">
        <v>-12</v>
      </c>
      <c r="D58" s="9">
        <v>12</v>
      </c>
      <c r="E58" s="12">
        <v>3</v>
      </c>
      <c r="F58" s="12">
        <v>-3</v>
      </c>
      <c r="G58" s="10">
        <v>0</v>
      </c>
      <c r="H58" s="9"/>
      <c r="I58" s="9" t="s">
        <v>52</v>
      </c>
      <c r="J58" s="9" t="s">
        <v>88</v>
      </c>
      <c r="K58" s="9">
        <v>3</v>
      </c>
      <c r="L58" s="9">
        <f t="shared" si="13"/>
        <v>0</v>
      </c>
      <c r="M58" s="9"/>
      <c r="N58" s="9"/>
      <c r="O58" s="9"/>
      <c r="P58" s="9">
        <f t="shared" si="14"/>
        <v>0.6</v>
      </c>
      <c r="Q58" s="11"/>
      <c r="R58" s="5"/>
      <c r="S58" s="9">
        <f t="shared" si="15"/>
        <v>-5</v>
      </c>
      <c r="T58" s="9">
        <f t="shared" si="16"/>
        <v>-5</v>
      </c>
      <c r="U58" s="9">
        <v>0.4</v>
      </c>
      <c r="V58" s="9">
        <v>2.4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/>
      <c r="AD58" s="9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9" t="s">
        <v>90</v>
      </c>
      <c r="B59" s="9" t="s">
        <v>32</v>
      </c>
      <c r="C59" s="9"/>
      <c r="D59" s="9"/>
      <c r="E59" s="12">
        <v>3.6720000000000002</v>
      </c>
      <c r="F59" s="12">
        <v>-3.6720000000000002</v>
      </c>
      <c r="G59" s="10">
        <v>0</v>
      </c>
      <c r="H59" s="9"/>
      <c r="I59" s="9" t="s">
        <v>52</v>
      </c>
      <c r="J59" s="9" t="s">
        <v>91</v>
      </c>
      <c r="K59" s="9">
        <v>3.5</v>
      </c>
      <c r="L59" s="9">
        <f t="shared" si="13"/>
        <v>0.17200000000000015</v>
      </c>
      <c r="M59" s="9"/>
      <c r="N59" s="9"/>
      <c r="O59" s="9"/>
      <c r="P59" s="9">
        <f t="shared" si="14"/>
        <v>0.73440000000000005</v>
      </c>
      <c r="Q59" s="11"/>
      <c r="R59" s="5"/>
      <c r="S59" s="9">
        <f t="shared" si="15"/>
        <v>-5</v>
      </c>
      <c r="T59" s="9">
        <f t="shared" si="16"/>
        <v>-5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/>
      <c r="AD59" s="9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91</v>
      </c>
      <c r="B60" s="1" t="s">
        <v>32</v>
      </c>
      <c r="C60" s="1">
        <v>155.29599999999999</v>
      </c>
      <c r="D60" s="1">
        <v>58.32</v>
      </c>
      <c r="E60" s="12">
        <f>52.108+E59</f>
        <v>55.779999999999994</v>
      </c>
      <c r="F60" s="12">
        <f>143.882+F59</f>
        <v>140.21</v>
      </c>
      <c r="G60" s="7">
        <v>1</v>
      </c>
      <c r="H60" s="1"/>
      <c r="I60" s="1"/>
      <c r="J60" s="1"/>
      <c r="K60" s="1">
        <v>54.3</v>
      </c>
      <c r="L60" s="1">
        <f t="shared" si="13"/>
        <v>1.4799999999999969</v>
      </c>
      <c r="M60" s="1"/>
      <c r="N60" s="1"/>
      <c r="O60" s="1"/>
      <c r="P60" s="1">
        <f t="shared" si="14"/>
        <v>11.155999999999999</v>
      </c>
      <c r="Q60" s="5">
        <f>20*P60-O60-F60</f>
        <v>82.909999999999968</v>
      </c>
      <c r="R60" s="5">
        <f>VLOOKUP(A60,заказ!A:B,2,0)</f>
        <v>90</v>
      </c>
      <c r="S60" s="1">
        <f t="shared" si="15"/>
        <v>20</v>
      </c>
      <c r="T60" s="1">
        <f t="shared" si="16"/>
        <v>12.568124775905344</v>
      </c>
      <c r="U60" s="1">
        <v>3.5844</v>
      </c>
      <c r="V60" s="1">
        <v>10.135199999999999</v>
      </c>
      <c r="W60" s="1">
        <v>11.611599999999999</v>
      </c>
      <c r="X60" s="1">
        <v>6.7152000000000003</v>
      </c>
      <c r="Y60" s="1">
        <v>5.1492000000000004</v>
      </c>
      <c r="Z60" s="1">
        <v>9.7072000000000003</v>
      </c>
      <c r="AA60" s="1">
        <v>6.5612000000000004</v>
      </c>
      <c r="AB60" s="1">
        <v>6.3895999999999997</v>
      </c>
      <c r="AC60" s="1"/>
      <c r="AD60" s="1">
        <f>G60*Q60</f>
        <v>82.909999999999968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D6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84DAD-9302-4D20-8CB0-908D58B97644}">
  <dimension ref="A1:B22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31</v>
      </c>
      <c r="B1">
        <v>155</v>
      </c>
    </row>
    <row r="2" spans="1:2" x14ac:dyDescent="0.25">
      <c r="A2" t="s">
        <v>41</v>
      </c>
      <c r="B2">
        <v>84</v>
      </c>
    </row>
    <row r="3" spans="1:2" x14ac:dyDescent="0.25">
      <c r="A3" t="s">
        <v>42</v>
      </c>
      <c r="B3">
        <v>84</v>
      </c>
    </row>
    <row r="4" spans="1:2" x14ac:dyDescent="0.25">
      <c r="A4" t="s">
        <v>44</v>
      </c>
      <c r="B4">
        <v>80</v>
      </c>
    </row>
    <row r="5" spans="1:2" x14ac:dyDescent="0.25">
      <c r="A5" t="s">
        <v>45</v>
      </c>
      <c r="B5">
        <v>144</v>
      </c>
    </row>
    <row r="6" spans="1:2" x14ac:dyDescent="0.25">
      <c r="A6" t="s">
        <v>46</v>
      </c>
      <c r="B6">
        <v>128</v>
      </c>
    </row>
    <row r="7" spans="1:2" x14ac:dyDescent="0.25">
      <c r="A7" t="s">
        <v>49</v>
      </c>
      <c r="B7">
        <v>1160</v>
      </c>
    </row>
    <row r="8" spans="1:2" x14ac:dyDescent="0.25">
      <c r="A8" t="s">
        <v>50</v>
      </c>
      <c r="B8">
        <v>810</v>
      </c>
    </row>
    <row r="9" spans="1:2" x14ac:dyDescent="0.25">
      <c r="A9" t="s">
        <v>53</v>
      </c>
      <c r="B9">
        <v>32</v>
      </c>
    </row>
    <row r="10" spans="1:2" x14ac:dyDescent="0.25">
      <c r="A10" t="s">
        <v>60</v>
      </c>
      <c r="B10">
        <v>12</v>
      </c>
    </row>
    <row r="11" spans="1:2" x14ac:dyDescent="0.25">
      <c r="A11" t="s">
        <v>61</v>
      </c>
      <c r="B11">
        <v>232</v>
      </c>
    </row>
    <row r="12" spans="1:2" x14ac:dyDescent="0.25">
      <c r="A12" t="s">
        <v>62</v>
      </c>
      <c r="B12">
        <v>288</v>
      </c>
    </row>
    <row r="13" spans="1:2" x14ac:dyDescent="0.25">
      <c r="A13" t="s">
        <v>63</v>
      </c>
      <c r="B13">
        <v>440</v>
      </c>
    </row>
    <row r="14" spans="1:2" x14ac:dyDescent="0.25">
      <c r="A14" t="s">
        <v>64</v>
      </c>
      <c r="B14">
        <v>400</v>
      </c>
    </row>
    <row r="15" spans="1:2" x14ac:dyDescent="0.25">
      <c r="A15" t="s">
        <v>65</v>
      </c>
      <c r="B15">
        <v>480</v>
      </c>
    </row>
    <row r="16" spans="1:2" x14ac:dyDescent="0.25">
      <c r="A16" t="s">
        <v>68</v>
      </c>
      <c r="B16">
        <v>1080</v>
      </c>
    </row>
    <row r="17" spans="1:2" x14ac:dyDescent="0.25">
      <c r="A17" t="s">
        <v>74</v>
      </c>
      <c r="B17">
        <v>160</v>
      </c>
    </row>
    <row r="18" spans="1:2" x14ac:dyDescent="0.25">
      <c r="A18" t="s">
        <v>80</v>
      </c>
      <c r="B18">
        <v>132</v>
      </c>
    </row>
    <row r="19" spans="1:2" x14ac:dyDescent="0.25">
      <c r="A19" t="s">
        <v>82</v>
      </c>
      <c r="B19">
        <v>540</v>
      </c>
    </row>
    <row r="20" spans="1:2" x14ac:dyDescent="0.25">
      <c r="A20" t="s">
        <v>83</v>
      </c>
      <c r="B20">
        <v>222</v>
      </c>
    </row>
    <row r="21" spans="1:2" x14ac:dyDescent="0.25">
      <c r="A21" t="s">
        <v>85</v>
      </c>
      <c r="B21">
        <v>40</v>
      </c>
    </row>
    <row r="22" spans="1:2" x14ac:dyDescent="0.25">
      <c r="A22" t="s">
        <v>91</v>
      </c>
      <c r="B22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2026-07-21T17:07:57Z</dcterms:created>
  <dcterms:modified xsi:type="dcterms:W3CDTF">2026-08-03T16:23:19Z</dcterms:modified>
</cp:coreProperties>
</file>