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DB5A790-3BCF-42E1-892D-0745BC1D2F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Y366" i="2" s="1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Z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A10" i="2" s="1"/>
  <c r="D7" i="2"/>
  <c r="Q6" i="2"/>
  <c r="P2" i="2"/>
  <c r="Z518" i="2" l="1"/>
  <c r="BN518" i="2"/>
  <c r="W564" i="2"/>
  <c r="Y275" i="2"/>
  <c r="Z164" i="2"/>
  <c r="BN164" i="2"/>
  <c r="Z49" i="2"/>
  <c r="Z382" i="2"/>
  <c r="BN382" i="2"/>
  <c r="Z473" i="2"/>
  <c r="BN473" i="2"/>
  <c r="X555" i="2"/>
  <c r="Z29" i="2"/>
  <c r="Z67" i="2"/>
  <c r="Z202" i="2"/>
  <c r="BN202" i="2"/>
  <c r="Z287" i="2"/>
  <c r="Z506" i="2"/>
  <c r="BN506" i="2"/>
  <c r="BP40" i="2"/>
  <c r="Y52" i="2"/>
  <c r="Z60" i="2"/>
  <c r="Z127" i="2"/>
  <c r="Z128" i="2" s="1"/>
  <c r="Z153" i="2"/>
  <c r="BN153" i="2"/>
  <c r="Z157" i="2"/>
  <c r="Z158" i="2" s="1"/>
  <c r="BN157" i="2"/>
  <c r="BP157" i="2"/>
  <c r="Y158" i="2"/>
  <c r="Z184" i="2"/>
  <c r="BN184" i="2"/>
  <c r="Z223" i="2"/>
  <c r="BN223" i="2"/>
  <c r="BP282" i="2"/>
  <c r="Z316" i="2"/>
  <c r="Z317" i="2" s="1"/>
  <c r="BN316" i="2"/>
  <c r="Y318" i="2"/>
  <c r="Z322" i="2"/>
  <c r="BN322" i="2"/>
  <c r="Z323" i="2"/>
  <c r="BN323" i="2"/>
  <c r="Z370" i="2"/>
  <c r="BN370" i="2"/>
  <c r="Z393" i="2"/>
  <c r="BN393" i="2"/>
  <c r="Z394" i="2"/>
  <c r="BN394" i="2"/>
  <c r="Z456" i="2"/>
  <c r="Z500" i="2"/>
  <c r="BN500" i="2"/>
  <c r="B564" i="2"/>
  <c r="X556" i="2"/>
  <c r="X557" i="2" s="1"/>
  <c r="X554" i="2"/>
  <c r="Y32" i="2"/>
  <c r="Z31" i="2"/>
  <c r="Y42" i="2"/>
  <c r="BP47" i="2"/>
  <c r="Z55" i="2"/>
  <c r="BP57" i="2"/>
  <c r="Z94" i="2"/>
  <c r="BN94" i="2"/>
  <c r="Z96" i="2"/>
  <c r="BN96" i="2"/>
  <c r="Z115" i="2"/>
  <c r="Z132" i="2"/>
  <c r="BN132" i="2"/>
  <c r="Y139" i="2"/>
  <c r="Z142" i="2"/>
  <c r="Z144" i="2" s="1"/>
  <c r="BN142" i="2"/>
  <c r="Y144" i="2"/>
  <c r="Z149" i="2"/>
  <c r="Z163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7" i="2"/>
  <c r="BN237" i="2"/>
  <c r="Z266" i="2"/>
  <c r="BP280" i="2"/>
  <c r="BP285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X564" i="2"/>
  <c r="BP466" i="2"/>
  <c r="BP482" i="2"/>
  <c r="Z502" i="2"/>
  <c r="BN502" i="2"/>
  <c r="Z512" i="2"/>
  <c r="BN512" i="2"/>
  <c r="Z545" i="2"/>
  <c r="BN72" i="2"/>
  <c r="BN74" i="2"/>
  <c r="BP85" i="2"/>
  <c r="Y91" i="2"/>
  <c r="BP101" i="2"/>
  <c r="Y110" i="2"/>
  <c r="BP106" i="2"/>
  <c r="BP112" i="2"/>
  <c r="BN113" i="2"/>
  <c r="BP113" i="2"/>
  <c r="Y118" i="2"/>
  <c r="BN152" i="2"/>
  <c r="Y171" i="2"/>
  <c r="BP169" i="2"/>
  <c r="BN174" i="2"/>
  <c r="BP174" i="2"/>
  <c r="BN175" i="2"/>
  <c r="BN180" i="2"/>
  <c r="BP180" i="2"/>
  <c r="BN188" i="2"/>
  <c r="BP188" i="2"/>
  <c r="BP189" i="2"/>
  <c r="BN190" i="2"/>
  <c r="BP190" i="2"/>
  <c r="BN203" i="2"/>
  <c r="BP203" i="2"/>
  <c r="Z233" i="2"/>
  <c r="BN233" i="2"/>
  <c r="BN234" i="2"/>
  <c r="BN238" i="2"/>
  <c r="Y258" i="2"/>
  <c r="Y259" i="2"/>
  <c r="BN261" i="2"/>
  <c r="Y263" i="2"/>
  <c r="BN266" i="2"/>
  <c r="BP266" i="2"/>
  <c r="BN267" i="2"/>
  <c r="BP267" i="2"/>
  <c r="BP268" i="2"/>
  <c r="BN269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Z81" i="2" s="1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Z134" i="2" s="1"/>
  <c r="BP137" i="2"/>
  <c r="BP149" i="2"/>
  <c r="BP163" i="2"/>
  <c r="Z168" i="2"/>
  <c r="Z169" i="2"/>
  <c r="Z178" i="2"/>
  <c r="BN178" i="2"/>
  <c r="Z182" i="2"/>
  <c r="BN182" i="2"/>
  <c r="Z183" i="2"/>
  <c r="Z189" i="2"/>
  <c r="Z204" i="2"/>
  <c r="BN215" i="2"/>
  <c r="Z217" i="2"/>
  <c r="BN217" i="2"/>
  <c r="Z218" i="2"/>
  <c r="Z221" i="2"/>
  <c r="BN221" i="2"/>
  <c r="BP224" i="2"/>
  <c r="BN226" i="2"/>
  <c r="BP227" i="2"/>
  <c r="BN228" i="2"/>
  <c r="BP229" i="2"/>
  <c r="BN236" i="2"/>
  <c r="BN241" i="2"/>
  <c r="BN246" i="2"/>
  <c r="Z247" i="2"/>
  <c r="BN247" i="2"/>
  <c r="Z251" i="2"/>
  <c r="Z252" i="2" s="1"/>
  <c r="BN251" i="2"/>
  <c r="BP251" i="2"/>
  <c r="Y252" i="2"/>
  <c r="BN256" i="2"/>
  <c r="Y264" i="2"/>
  <c r="BN262" i="2"/>
  <c r="Z268" i="2"/>
  <c r="BN270" i="2"/>
  <c r="BP270" i="2"/>
  <c r="BP272" i="2"/>
  <c r="BN272" i="2"/>
  <c r="Z272" i="2"/>
  <c r="BN279" i="2"/>
  <c r="BN281" i="2"/>
  <c r="BN286" i="2"/>
  <c r="Y295" i="2"/>
  <c r="BP326" i="2"/>
  <c r="BN331" i="2"/>
  <c r="BN340" i="2"/>
  <c r="Y383" i="2"/>
  <c r="Y389" i="2"/>
  <c r="BN399" i="2"/>
  <c r="Y402" i="2"/>
  <c r="Y403" i="2"/>
  <c r="Z439" i="2"/>
  <c r="BN439" i="2"/>
  <c r="BP443" i="2"/>
  <c r="BN445" i="2"/>
  <c r="Z450" i="2"/>
  <c r="BN450" i="2"/>
  <c r="Y451" i="2"/>
  <c r="Y452" i="2"/>
  <c r="Z465" i="2"/>
  <c r="BN465" i="2"/>
  <c r="Z475" i="2"/>
  <c r="BN475" i="2"/>
  <c r="BN476" i="2"/>
  <c r="Z477" i="2"/>
  <c r="BN477" i="2"/>
  <c r="Z487" i="2"/>
  <c r="Z488" i="2" s="1"/>
  <c r="Z501" i="2"/>
  <c r="BP517" i="2"/>
  <c r="Z520" i="2"/>
  <c r="Z522" i="2"/>
  <c r="BP529" i="2"/>
  <c r="Z533" i="2"/>
  <c r="Z534" i="2" s="1"/>
  <c r="BN533" i="2"/>
  <c r="Y543" i="2"/>
  <c r="BN546" i="2"/>
  <c r="BN271" i="2"/>
  <c r="Y289" i="2"/>
  <c r="Z292" i="2"/>
  <c r="BN300" i="2"/>
  <c r="BN302" i="2"/>
  <c r="BP303" i="2"/>
  <c r="Z324" i="2"/>
  <c r="BN324" i="2"/>
  <c r="BN325" i="2"/>
  <c r="Z326" i="2"/>
  <c r="BN338" i="2"/>
  <c r="BN342" i="2"/>
  <c r="Z354" i="2"/>
  <c r="BN354" i="2"/>
  <c r="Z360" i="2"/>
  <c r="BN360" i="2"/>
  <c r="Z364" i="2"/>
  <c r="BN364" i="2"/>
  <c r="Z372" i="2"/>
  <c r="BN372" i="2"/>
  <c r="Z380" i="2"/>
  <c r="BN380" i="2"/>
  <c r="Z405" i="2"/>
  <c r="Z406" i="2"/>
  <c r="BN406" i="2"/>
  <c r="Z413" i="2"/>
  <c r="BN413" i="2"/>
  <c r="Z426" i="2"/>
  <c r="BN426" i="2"/>
  <c r="BP426" i="2"/>
  <c r="Z429" i="2"/>
  <c r="BN429" i="2"/>
  <c r="Z430" i="2"/>
  <c r="BN430" i="2"/>
  <c r="BN431" i="2"/>
  <c r="Z433" i="2"/>
  <c r="BN438" i="2"/>
  <c r="Y457" i="2"/>
  <c r="Y45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BN545" i="2"/>
  <c r="Y547" i="2"/>
  <c r="Y548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57" i="2" l="1"/>
  <c r="Z294" i="2"/>
  <c r="Z165" i="2"/>
  <c r="Z348" i="2"/>
  <c r="Z451" i="2"/>
  <c r="Z32" i="2"/>
  <c r="Z124" i="2"/>
  <c r="Z514" i="2"/>
  <c r="Z547" i="2"/>
  <c r="Z334" i="2"/>
  <c r="Z467" i="2"/>
  <c r="Z414" i="2"/>
  <c r="Z408" i="2"/>
  <c r="Z170" i="2"/>
  <c r="Z274" i="2"/>
  <c r="Z242" i="2"/>
  <c r="Y554" i="2"/>
  <c r="Z90" i="2"/>
  <c r="Z24" i="2"/>
  <c r="Z327" i="2"/>
  <c r="Z62" i="2"/>
  <c r="Z207" i="2"/>
  <c r="Z483" i="2"/>
  <c r="Y558" i="2"/>
  <c r="Z434" i="2"/>
  <c r="Z230" i="2"/>
  <c r="Z191" i="2"/>
  <c r="Y556" i="2"/>
  <c r="Z51" i="2"/>
  <c r="Z42" i="2"/>
  <c r="Y555" i="2"/>
  <c r="Z75" i="2"/>
  <c r="Z154" i="2"/>
  <c r="Z494" i="2"/>
  <c r="Z117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<sst xmlns="http://schemas.openxmlformats.org/spreadsheetml/2006/main" count="4265" uniqueCount="899">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</sst>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topLeftCell="A478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20</v>
      </c>
      <c r="Y47" s="55">
        <f>IFERROR(IF(X47="",0,CEILING((X47/$H47),1)*$H47),"")</f>
        <v>21.6</v>
      </c>
      <c r="Z47" s="41">
        <f>IFERROR(IF(Y47=0,"",ROUNDUP(Y47/H47,0)*0.01898),"")</f>
        <v>3.7960000000000001E-2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20.75925925925926</v>
      </c>
      <c r="BN47" s="78">
        <f>IFERROR(Y47*I47/H47,"0")</f>
        <v>22.42</v>
      </c>
      <c r="BO47" s="78">
        <f>IFERROR(1/J47*(X47/H47),"0")</f>
        <v>2.8935185185185182E-2</v>
      </c>
      <c r="BP47" s="78">
        <f>IFERROR(1/J47*(Y47/H47),"0")</f>
        <v>3.125E-2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1.8518518518518516</v>
      </c>
      <c r="Y51" s="43">
        <f>IFERROR(Y47/H47,"0")+IFERROR(Y48/H48,"0")+IFERROR(Y49/H49,"0")+IFERROR(Y50/H50,"0")</f>
        <v>2</v>
      </c>
      <c r="Z51" s="43">
        <f>IFERROR(IF(Z47="",0,Z47),"0")+IFERROR(IF(Z48="",0,Z48),"0")+IFERROR(IF(Z49="",0,Z49),"0")+IFERROR(IF(Z50="",0,Z50),"0")</f>
        <v>3.7960000000000001E-2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20</v>
      </c>
      <c r="Y52" s="43">
        <f>IFERROR(SUM(Y47:Y50),"0")</f>
        <v>21.6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150</v>
      </c>
      <c r="Y65" s="55">
        <f>IFERROR(IF(X65="",0,CEILING((X65/$H65),1)*$H65),"")</f>
        <v>151.20000000000002</v>
      </c>
      <c r="Z65" s="41">
        <f>IFERROR(IF(Y65=0,"",ROUNDUP(Y65/H65,0)*0.01898),"")</f>
        <v>0.26572000000000001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155.69444444444446</v>
      </c>
      <c r="BN65" s="78">
        <f>IFERROR(Y65*I65/H65,"0")</f>
        <v>156.94</v>
      </c>
      <c r="BO65" s="78">
        <f>IFERROR(1/J65*(X65/H65),"0")</f>
        <v>0.21701388888888887</v>
      </c>
      <c r="BP65" s="78">
        <f>IFERROR(1/J65*(Y65/H65),"0")</f>
        <v>0.21875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13.888888888888888</v>
      </c>
      <c r="Y69" s="43">
        <f>IFERROR(Y65/H65,"0")+IFERROR(Y66/H66,"0")+IFERROR(Y67/H67,"0")+IFERROR(Y68/H68,"0")</f>
        <v>14</v>
      </c>
      <c r="Z69" s="43">
        <f>IFERROR(IF(Z65="",0,Z65),"0")+IFERROR(IF(Z66="",0,Z66),"0")+IFERROR(IF(Z67="",0,Z67),"0")+IFERROR(IF(Z68="",0,Z68),"0")</f>
        <v>0.26572000000000001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150</v>
      </c>
      <c r="Y70" s="43">
        <f>IFERROR(SUM(Y65:Y68),"0")</f>
        <v>151.20000000000002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30</v>
      </c>
      <c r="Y93" s="55">
        <f>IFERROR(IF(X93="",0,CEILING((X93/$H93),1)*$H93),"")</f>
        <v>32.4</v>
      </c>
      <c r="Z93" s="41">
        <f>IFERROR(IF(Y93=0,"",ROUNDUP(Y93/H93,0)*0.01898),"")</f>
        <v>7.5920000000000001E-2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31.829629629629629</v>
      </c>
      <c r="BN93" s="78">
        <f>IFERROR(Y93*I93/H93,"0")</f>
        <v>34.375999999999998</v>
      </c>
      <c r="BO93" s="78">
        <f>IFERROR(1/J93*(X93/H93),"0")</f>
        <v>5.7870370370370371E-2</v>
      </c>
      <c r="BP93" s="78">
        <f>IFERROR(1/J93*(Y93/H93),"0")</f>
        <v>6.25E-2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3.7037037037037037</v>
      </c>
      <c r="Y97" s="43">
        <f>IFERROR(Y93/H93,"0")+IFERROR(Y94/H94,"0")+IFERROR(Y95/H95,"0")+IFERROR(Y96/H96,"0")</f>
        <v>4</v>
      </c>
      <c r="Z97" s="43">
        <f>IFERROR(IF(Z93="",0,Z93),"0")+IFERROR(IF(Z94="",0,Z94),"0")+IFERROR(IF(Z95="",0,Z95),"0")+IFERROR(IF(Z96="",0,Z96),"0")</f>
        <v>7.5920000000000001E-2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30</v>
      </c>
      <c r="Y98" s="43">
        <f>IFERROR(SUM(Y93:Y96),"0")</f>
        <v>32.4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50</v>
      </c>
      <c r="Y120" s="55">
        <f>IFERROR(IF(X120="",0,CEILING((X120/$H120),1)*$H120),"")</f>
        <v>56.699999999999996</v>
      </c>
      <c r="Z120" s="41">
        <f>IFERROR(IF(Y120=0,"",ROUNDUP(Y120/H120,0)*0.01898),"")</f>
        <v>0.13286000000000001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53.012345679012348</v>
      </c>
      <c r="BN120" s="78">
        <f>IFERROR(Y120*I120/H120,"0")</f>
        <v>60.115999999999993</v>
      </c>
      <c r="BO120" s="78">
        <f>IFERROR(1/J120*(X120/H120),"0")</f>
        <v>9.6450617283950615E-2</v>
      </c>
      <c r="BP120" s="78">
        <f>IFERROR(1/J120*(Y120/H120),"0")</f>
        <v>0.109375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6.1728395061728394</v>
      </c>
      <c r="Y124" s="43">
        <f>IFERROR(Y120/H120,"0")+IFERROR(Y121/H121,"0")+IFERROR(Y122/H122,"0")+IFERROR(Y123/H123,"0")</f>
        <v>7</v>
      </c>
      <c r="Z124" s="43">
        <f>IFERROR(IF(Z120="",0,Z120),"0")+IFERROR(IF(Z121="",0,Z121),"0")+IFERROR(IF(Z122="",0,Z122),"0")+IFERROR(IF(Z123="",0,Z123),"0")</f>
        <v>0.13286000000000001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50</v>
      </c>
      <c r="Y125" s="43">
        <f>IFERROR(SUM(Y120:Y123),"0")</f>
        <v>56.699999999999996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80</v>
      </c>
      <c r="Y217" s="55">
        <f t="shared" si="27"/>
        <v>84</v>
      </c>
      <c r="Z217" s="41">
        <f>IFERROR(IF(Y217=0,"",ROUNDUP(Y217/H217,0)*0.00902),"")</f>
        <v>0.1804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83.619047619047606</v>
      </c>
      <c r="BN217" s="78">
        <f t="shared" si="29"/>
        <v>87.8</v>
      </c>
      <c r="BO217" s="78">
        <f t="shared" si="30"/>
        <v>0.14430014430014429</v>
      </c>
      <c r="BP217" s="78">
        <f t="shared" si="31"/>
        <v>0.15151515151515152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19.047619047619047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20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0.1804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80</v>
      </c>
      <c r="Y231" s="43">
        <f>IFERROR(SUM(Y215:Y229),"0")</f>
        <v>84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40</v>
      </c>
      <c r="Y266" s="55">
        <f t="shared" ref="Y266:Y273" si="38">IFERROR(IF(X266="",0,CEILING((X266/$H266),1)*$H266),"")</f>
        <v>43.2</v>
      </c>
      <c r="Z266" s="41">
        <f>IFERROR(IF(Y266=0,"",ROUNDUP(Y266/H266,0)*0.00902),"")</f>
        <v>7.2160000000000002E-2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41.407407407407405</v>
      </c>
      <c r="BN266" s="78">
        <f t="shared" ref="BN266:BN273" si="40">IFERROR(Y266*I266/H266,"0")</f>
        <v>44.72</v>
      </c>
      <c r="BO266" s="78">
        <f t="shared" ref="BO266:BO273" si="41">IFERROR(1/J266*(X266/H266),"0")</f>
        <v>5.6116722783389444E-2</v>
      </c>
      <c r="BP266" s="78">
        <f t="shared" ref="BP266:BP273" si="42">IFERROR(1/J266*(Y266/H266),"0")</f>
        <v>6.0606060606060608E-2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30</v>
      </c>
      <c r="Y268" s="55">
        <f t="shared" si="38"/>
        <v>32.400000000000006</v>
      </c>
      <c r="Z268" s="41">
        <f>IFERROR(IF(Y268=0,"",ROUNDUP(Y268/H268,0)*0.00902),"")</f>
        <v>5.4120000000000001E-2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31.05555555555555</v>
      </c>
      <c r="BN268" s="78">
        <f t="shared" si="40"/>
        <v>33.54</v>
      </c>
      <c r="BO268" s="78">
        <f t="shared" si="41"/>
        <v>4.208754208754209E-2</v>
      </c>
      <c r="BP268" s="78">
        <f t="shared" si="42"/>
        <v>4.5454545454545463E-2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12.962962962962962</v>
      </c>
      <c r="Y274" s="43">
        <f>IFERROR(Y266/H266,"0")+IFERROR(Y267/H267,"0")+IFERROR(Y268/H268,"0")+IFERROR(Y269/H269,"0")+IFERROR(Y270/H270,"0")+IFERROR(Y271/H271,"0")+IFERROR(Y272/H272,"0")+IFERROR(Y273/H273,"0")</f>
        <v>14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0.12628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70</v>
      </c>
      <c r="Y275" s="43">
        <f>IFERROR(SUM(Y266:Y273),"0")</f>
        <v>75.600000000000009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300</v>
      </c>
      <c r="Y370" s="55">
        <f t="shared" si="63"/>
        <v>302.40000000000003</v>
      </c>
      <c r="Z370" s="41">
        <f>IFERROR(IF(Y370=0,"",ROUNDUP(Y370/H370,0)*0.00902),"")</f>
        <v>0.64944000000000002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317.85714285714283</v>
      </c>
      <c r="BN370" s="78">
        <f t="shared" si="65"/>
        <v>320.40000000000003</v>
      </c>
      <c r="BO370" s="78">
        <f t="shared" si="66"/>
        <v>0.54112554112554112</v>
      </c>
      <c r="BP370" s="78">
        <f t="shared" si="67"/>
        <v>0.54545454545454541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71.428571428571431</v>
      </c>
      <c r="Y376" s="43">
        <f>IFERROR(Y369/H369,"0")+IFERROR(Y370/H370,"0")+IFERROR(Y371/H371,"0")+IFERROR(Y372/H372,"0")+IFERROR(Y373/H373,"0")+IFERROR(Y374/H374,"0")+IFERROR(Y375/H375,"0")</f>
        <v>72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0.64944000000000002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300</v>
      </c>
      <c r="Y377" s="43">
        <f>IFERROR(SUM(Y369:Y375),"0")</f>
        <v>302.40000000000003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2000</v>
      </c>
      <c r="Y379" s="55">
        <f>IFERROR(IF(X379="",0,CEILING((X379/$H379),1)*$H379),"")</f>
        <v>2004.6</v>
      </c>
      <c r="Z379" s="41">
        <f>IFERROR(IF(Y379=0,"",ROUNDUP(Y379/H379,0)*0.01898),"")</f>
        <v>4.8778600000000001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2125.1282051282051</v>
      </c>
      <c r="BN379" s="78">
        <f>IFERROR(Y379*I379/H379,"0")</f>
        <v>2130.0160000000001</v>
      </c>
      <c r="BO379" s="78">
        <f>IFERROR(1/J379*(X379/H379),"0")</f>
        <v>4.0064102564102564</v>
      </c>
      <c r="BP379" s="78">
        <f>IFERROR(1/J379*(Y379/H379),"0")</f>
        <v>4.015625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256.41025641025641</v>
      </c>
      <c r="Y383" s="43">
        <f>IFERROR(Y379/H379,"0")+IFERROR(Y380/H380,"0")+IFERROR(Y381/H381,"0")+IFERROR(Y382/H382,"0")</f>
        <v>257</v>
      </c>
      <c r="Z383" s="43">
        <f>IFERROR(IF(Z379="",0,Z379),"0")+IFERROR(IF(Z380="",0,Z380),"0")+IFERROR(IF(Z381="",0,Z381),"0")+IFERROR(IF(Z382="",0,Z382),"0")</f>
        <v>4.8778600000000001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2000</v>
      </c>
      <c r="Y384" s="43">
        <f>IFERROR(SUM(Y379:Y382),"0")</f>
        <v>2004.6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30</v>
      </c>
      <c r="Y399" s="55">
        <f>IFERROR(IF(X399="",0,CEILING((X399/$H399),1)*$H399),"")</f>
        <v>30</v>
      </c>
      <c r="Z399" s="41">
        <f>IFERROR(IF(Y399=0,"",ROUNDUP(Y399/H399,0)*0.00474),"")</f>
        <v>7.110000000000001E-2</v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33.6</v>
      </c>
      <c r="BN399" s="78">
        <f>IFERROR(Y399*I399/H399,"0")</f>
        <v>33.6</v>
      </c>
      <c r="BO399" s="78">
        <f>IFERROR(1/J399*(X399/H399),"0")</f>
        <v>6.3025210084033612E-2</v>
      </c>
      <c r="BP399" s="78">
        <f>IFERROR(1/J399*(Y399/H399),"0")</f>
        <v>6.3025210084033612E-2</v>
      </c>
    </row>
    <row r="400" spans="1:68" ht="27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30</v>
      </c>
      <c r="Y400" s="55">
        <f>IFERROR(IF(X400="",0,CEILING((X400/$H400),1)*$H400),"")</f>
        <v>30</v>
      </c>
      <c r="Z400" s="41">
        <f>IFERROR(IF(Y400=0,"",ROUNDUP(Y400/H400,0)*0.00474),"")</f>
        <v>7.110000000000001E-2</v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33.6</v>
      </c>
      <c r="BN400" s="78">
        <f>IFERROR(Y400*I400/H400,"0")</f>
        <v>33.6</v>
      </c>
      <c r="BO400" s="78">
        <f>IFERROR(1/J400*(X400/H400),"0")</f>
        <v>6.3025210084033612E-2</v>
      </c>
      <c r="BP400" s="78">
        <f>IFERROR(1/J400*(Y400/H400),"0")</f>
        <v>6.3025210084033612E-2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30</v>
      </c>
      <c r="Y401" s="55">
        <f>IFERROR(IF(X401="",0,CEILING((X401/$H401),1)*$H401),"")</f>
        <v>30</v>
      </c>
      <c r="Z401" s="41">
        <f>IFERROR(IF(Y401=0,"",ROUNDUP(Y401/H401,0)*0.00474),"")</f>
        <v>7.110000000000001E-2</v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33.6</v>
      </c>
      <c r="BN401" s="78">
        <f>IFERROR(Y401*I401/H401,"0")</f>
        <v>33.6</v>
      </c>
      <c r="BO401" s="78">
        <f>IFERROR(1/J401*(X401/H401),"0")</f>
        <v>6.3025210084033612E-2</v>
      </c>
      <c r="BP401" s="78">
        <f>IFERROR(1/J401*(Y401/H401),"0")</f>
        <v>6.3025210084033612E-2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45</v>
      </c>
      <c r="Y402" s="43">
        <f>IFERROR(Y399/H399,"0")+IFERROR(Y400/H400,"0")+IFERROR(Y401/H401,"0")</f>
        <v>45</v>
      </c>
      <c r="Z402" s="43">
        <f>IFERROR(IF(Z399="",0,Z399),"0")+IFERROR(IF(Z400="",0,Z400),"0")+IFERROR(IF(Z401="",0,Z401),"0")</f>
        <v>0.21330000000000005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90</v>
      </c>
      <c r="Y403" s="43">
        <f>IFERROR(SUM(Y399:Y401),"0")</f>
        <v>90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150</v>
      </c>
      <c r="Y413" s="55">
        <f>IFERROR(IF(X413="",0,CEILING((X413/$H413),1)*$H413),"")</f>
        <v>156</v>
      </c>
      <c r="Z413" s="41">
        <f>IFERROR(IF(Y413=0,"",ROUNDUP(Y413/H413,0)*0.01898),"")</f>
        <v>0.37959999999999999</v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157.88461538461542</v>
      </c>
      <c r="BN413" s="78">
        <f>IFERROR(Y413*I413/H413,"0")</f>
        <v>164.20000000000005</v>
      </c>
      <c r="BO413" s="78">
        <f>IFERROR(1/J413*(X413/H413),"0")</f>
        <v>0.30048076923076922</v>
      </c>
      <c r="BP413" s="78">
        <f>IFERROR(1/J413*(Y413/H413),"0")</f>
        <v>0.3125</v>
      </c>
    </row>
    <row r="414" spans="1:68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19.23076923076923</v>
      </c>
      <c r="Y414" s="43">
        <f>IFERROR(Y412/H412,"0")+IFERROR(Y413/H413,"0")</f>
        <v>20</v>
      </c>
      <c r="Z414" s="43">
        <f>IFERROR(IF(Z412="",0,Z412),"0")+IFERROR(IF(Z413="",0,Z413),"0")</f>
        <v>0.37959999999999999</v>
      </c>
      <c r="AA414" s="67"/>
      <c r="AB414" s="67"/>
      <c r="AC414" s="67"/>
    </row>
    <row r="415" spans="1:68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150</v>
      </c>
      <c r="Y415" s="43">
        <f>IFERROR(SUM(Y412:Y413),"0")</f>
        <v>156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30</v>
      </c>
      <c r="Y427" s="55">
        <f t="shared" si="68"/>
        <v>30</v>
      </c>
      <c r="Z427" s="41">
        <f>IFERROR(IF(Y427=0,"",ROUNDUP(Y427/H427,0)*0.02175),"")</f>
        <v>4.3499999999999997E-2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30.94</v>
      </c>
      <c r="BN427" s="78">
        <f t="shared" si="70"/>
        <v>30.94</v>
      </c>
      <c r="BO427" s="78">
        <f t="shared" si="71"/>
        <v>4.1666666666666664E-2</v>
      </c>
      <c r="BP427" s="78">
        <f t="shared" si="72"/>
        <v>4.1666666666666664E-2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800</v>
      </c>
      <c r="Y429" s="55">
        <f t="shared" si="68"/>
        <v>810</v>
      </c>
      <c r="Z429" s="41">
        <f>IFERROR(IF(Y429=0,"",ROUNDUP(Y429/H429,0)*0.02175),"")</f>
        <v>1.1744999999999999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825.06666666666672</v>
      </c>
      <c r="BN429" s="78">
        <f t="shared" si="70"/>
        <v>835.38</v>
      </c>
      <c r="BO429" s="78">
        <f t="shared" si="71"/>
        <v>1.1111111111111112</v>
      </c>
      <c r="BP429" s="78">
        <f t="shared" si="72"/>
        <v>1.125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55.333333333333336</v>
      </c>
      <c r="Y434" s="43">
        <f>IFERROR(Y426/H426,"0")+IFERROR(Y427/H427,"0")+IFERROR(Y428/H428,"0")+IFERROR(Y429/H429,"0")+IFERROR(Y430/H430,"0")+IFERROR(Y431/H431,"0")+IFERROR(Y432/H432,"0")+IFERROR(Y433/H433,"0")</f>
        <v>56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1.218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830</v>
      </c>
      <c r="Y435" s="43">
        <f>IFERROR(SUM(Y426:Y433),"0")</f>
        <v>840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700</v>
      </c>
      <c r="Y437" s="55">
        <f>IFERROR(IF(X437="",0,CEILING((X437/$H437),1)*$H437),"")</f>
        <v>705</v>
      </c>
      <c r="Z437" s="41">
        <f>IFERROR(IF(Y437=0,"",ROUNDUP(Y437/H437,0)*0.02175),"")</f>
        <v>1.0222499999999999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721.93333333333328</v>
      </c>
      <c r="BN437" s="78">
        <f>IFERROR(Y437*I437/H437,"0")</f>
        <v>727.09</v>
      </c>
      <c r="BO437" s="78">
        <f>IFERROR(1/J437*(X437/H437),"0")</f>
        <v>0.9722222222222221</v>
      </c>
      <c r="BP437" s="78">
        <f>IFERROR(1/J437*(Y437/H437),"0")</f>
        <v>0.97916666666666663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46.666666666666664</v>
      </c>
      <c r="Y440" s="43">
        <f>IFERROR(Y437/H437,"0")+IFERROR(Y438/H438,"0")+IFERROR(Y439/H439,"0")</f>
        <v>47</v>
      </c>
      <c r="Z440" s="43">
        <f>IFERROR(IF(Z437="",0,Z437),"0")+IFERROR(IF(Z438="",0,Z438),"0")+IFERROR(IF(Z439="",0,Z439),"0")</f>
        <v>1.0222499999999999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700</v>
      </c>
      <c r="Y441" s="43">
        <f>IFERROR(SUM(Y437:Y439),"0")</f>
        <v>705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36</v>
      </c>
      <c r="Y443" s="55">
        <f>IFERROR(IF(X443="",0,CEILING((X443/$H443),1)*$H443),"")</f>
        <v>36</v>
      </c>
      <c r="Z443" s="41">
        <f>IFERROR(IF(Y443=0,"",ROUNDUP(Y443/H443,0)*0.01898),"")</f>
        <v>7.5920000000000001E-2</v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38</v>
      </c>
      <c r="BN443" s="78">
        <f>IFERROR(Y443*I443/H443,"0")</f>
        <v>38</v>
      </c>
      <c r="BO443" s="78">
        <f>IFERROR(1/J443*(X443/H443),"0")</f>
        <v>6.25E-2</v>
      </c>
      <c r="BP443" s="78">
        <f>IFERROR(1/J443*(Y443/H443),"0")</f>
        <v>6.25E-2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4</v>
      </c>
      <c r="Y446" s="43">
        <f>IFERROR(Y443/H443,"0")+IFERROR(Y444/H444,"0")+IFERROR(Y445/H445,"0")</f>
        <v>4</v>
      </c>
      <c r="Z446" s="43">
        <f>IFERROR(IF(Z443="",0,Z443),"0")+IFERROR(IF(Z444="",0,Z444),"0")+IFERROR(IF(Z445="",0,Z445),"0")</f>
        <v>7.5920000000000001E-2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36</v>
      </c>
      <c r="Y447" s="43">
        <f>IFERROR(SUM(Y443:Y445),"0")</f>
        <v>36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30</v>
      </c>
      <c r="Y472" s="55">
        <f t="shared" ref="Y472:Y477" si="73">IFERROR(IF(X472="",0,CEILING((X472/$H472),1)*$H472),"")</f>
        <v>32.400000000000006</v>
      </c>
      <c r="Z472" s="41">
        <f>IFERROR(IF(Y472=0,"",ROUNDUP(Y472/H472,0)*0.00902),"")</f>
        <v>5.4120000000000001E-2</v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31.05555555555555</v>
      </c>
      <c r="BN472" s="78">
        <f t="shared" ref="BN472:BN477" si="75">IFERROR(Y472*I472/H472,"0")</f>
        <v>33.54</v>
      </c>
      <c r="BO472" s="78">
        <f t="shared" ref="BO472:BO477" si="76">IFERROR(1/J472*(X472/H472),"0")</f>
        <v>4.208754208754209E-2</v>
      </c>
      <c r="BP472" s="78">
        <f t="shared" ref="BP472:BP477" si="77">IFERROR(1/J472*(Y472/H472),"0")</f>
        <v>4.5454545454545463E-2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5.5555555555555554</v>
      </c>
      <c r="Y478" s="43">
        <f>IFERROR(Y472/H472,"0")+IFERROR(Y473/H473,"0")+IFERROR(Y474/H474,"0")+IFERROR(Y475/H475,"0")+IFERROR(Y476/H476,"0")+IFERROR(Y477/H477,"0")</f>
        <v>6.0000000000000009</v>
      </c>
      <c r="Z478" s="43">
        <f>IFERROR(IF(Z472="",0,Z472),"0")+IFERROR(IF(Z473="",0,Z473),"0")+IFERROR(IF(Z474="",0,Z474),"0")+IFERROR(IF(Z475="",0,Z475),"0")+IFERROR(IF(Z476="",0,Z476),"0")+IFERROR(IF(Z477="",0,Z477),"0")</f>
        <v>5.4120000000000001E-2</v>
      </c>
      <c r="AA478" s="67"/>
      <c r="AB478" s="67"/>
      <c r="AC478" s="67"/>
    </row>
    <row r="479" spans="1:68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30</v>
      </c>
      <c r="Y479" s="43">
        <f>IFERROR(SUM(Y472:Y477),"0")</f>
        <v>32.400000000000006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20</v>
      </c>
      <c r="Y491" s="55">
        <f>IFERROR(IF(X491="",0,CEILING((X491/$H491),1)*$H491),"")</f>
        <v>21.6</v>
      </c>
      <c r="Z491" s="41">
        <f>IFERROR(IF(Y491=0,"",ROUNDUP(Y491/H491,0)*0.00902),"")</f>
        <v>3.6080000000000001E-2</v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20.703703703703702</v>
      </c>
      <c r="BN491" s="78">
        <f>IFERROR(Y491*I491/H491,"0")</f>
        <v>22.36</v>
      </c>
      <c r="BO491" s="78">
        <f>IFERROR(1/J491*(X491/H491),"0")</f>
        <v>2.8058361391694722E-2</v>
      </c>
      <c r="BP491" s="78">
        <f>IFERROR(1/J491*(Y491/H491),"0")</f>
        <v>3.0303030303030304E-2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3.7037037037037033</v>
      </c>
      <c r="Y494" s="43">
        <f>IFERROR(Y491/H491,"0")+IFERROR(Y492/H492,"0")+IFERROR(Y493/H493,"0")</f>
        <v>4</v>
      </c>
      <c r="Z494" s="43">
        <f>IFERROR(IF(Z491="",0,Z491),"0")+IFERROR(IF(Z492="",0,Z492),"0")+IFERROR(IF(Z493="",0,Z493),"0")</f>
        <v>3.6080000000000001E-2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20</v>
      </c>
      <c r="Y495" s="43">
        <f>IFERROR(SUM(Y491:Y493),"0")</f>
        <v>21.6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50</v>
      </c>
      <c r="Y502" s="55">
        <f t="shared" si="78"/>
        <v>52.800000000000004</v>
      </c>
      <c r="Z502" s="41">
        <f t="shared" si="79"/>
        <v>0.1196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53.314393939393938</v>
      </c>
      <c r="BN502" s="78">
        <f t="shared" si="81"/>
        <v>56.3</v>
      </c>
      <c r="BO502" s="78">
        <f t="shared" si="82"/>
        <v>9.1054778554778545E-2</v>
      </c>
      <c r="BP502" s="78">
        <f t="shared" si="83"/>
        <v>9.6153846153846159E-2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9.4696969696969688</v>
      </c>
      <c r="Y508" s="43">
        <f>IFERROR(Y499/H499,"0")+IFERROR(Y500/H500,"0")+IFERROR(Y501/H501,"0")+IFERROR(Y502/H502,"0")+IFERROR(Y503/H503,"0")+IFERROR(Y504/H504,"0")+IFERROR(Y505/H505,"0")+IFERROR(Y506/H506,"0")+IFERROR(Y507/H507,"0")</f>
        <v>10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0.1196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50</v>
      </c>
      <c r="Y509" s="43">
        <f>IFERROR(SUM(Y499:Y507),"0")</f>
        <v>52.800000000000004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100</v>
      </c>
      <c r="Y511" s="55">
        <f>IFERROR(IF(X511="",0,CEILING((X511/$H511),1)*$H511),"")</f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106.62878787878788</v>
      </c>
      <c r="BN511" s="78">
        <f>IFERROR(Y511*I511/H511,"0")</f>
        <v>106.97</v>
      </c>
      <c r="BO511" s="78">
        <f>IFERROR(1/J511*(X511/H511),"0")</f>
        <v>0.18210955710955709</v>
      </c>
      <c r="BP511" s="78">
        <f>IFERROR(1/J511*(Y511/H511),"0")</f>
        <v>0.18269230769230771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18.939393939393938</v>
      </c>
      <c r="Y514" s="43">
        <f>IFERROR(Y511/H511,"0")+IFERROR(Y512/H512,"0")+IFERROR(Y513/H513,"0")</f>
        <v>19</v>
      </c>
      <c r="Z514" s="43">
        <f>IFERROR(IF(Z511="",0,Z511),"0")+IFERROR(IF(Z512="",0,Z512),"0")+IFERROR(IF(Z513="",0,Z513),"0")</f>
        <v>0.22724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100</v>
      </c>
      <c r="Y515" s="43">
        <f>IFERROR(SUM(Y511:Y513),"0")</f>
        <v>100.32000000000001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40</v>
      </c>
      <c r="Y517" s="55">
        <f t="shared" ref="Y517:Y523" si="84">IFERROR(IF(X517="",0,CEILING((X517/$H517),1)*$H517),"")</f>
        <v>42.24</v>
      </c>
      <c r="Z517" s="41">
        <f>IFERROR(IF(Y517=0,"",ROUNDUP(Y517/H517,0)*0.01196),"")</f>
        <v>9.5680000000000001E-2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42.651515151515149</v>
      </c>
      <c r="BN517" s="78">
        <f t="shared" ref="BN517:BN523" si="86">IFERROR(Y517*I517/H517,"0")</f>
        <v>45.04</v>
      </c>
      <c r="BO517" s="78">
        <f t="shared" ref="BO517:BO523" si="87">IFERROR(1/J517*(X517/H517),"0")</f>
        <v>7.2843822843822847E-2</v>
      </c>
      <c r="BP517" s="78">
        <f t="shared" ref="BP517:BP523" si="88">IFERROR(1/J517*(Y517/H517),"0")</f>
        <v>7.6923076923076927E-2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50</v>
      </c>
      <c r="Y518" s="55">
        <f t="shared" si="84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53.314393939393938</v>
      </c>
      <c r="BN518" s="78">
        <f t="shared" si="86"/>
        <v>56.3</v>
      </c>
      <c r="BO518" s="78">
        <f t="shared" si="87"/>
        <v>9.1054778554778545E-2</v>
      </c>
      <c r="BP518" s="78">
        <f t="shared" si="88"/>
        <v>9.6153846153846159E-2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80</v>
      </c>
      <c r="Y519" s="55">
        <f t="shared" si="84"/>
        <v>84.48</v>
      </c>
      <c r="Z519" s="41">
        <f>IFERROR(IF(Y519=0,"",ROUNDUP(Y519/H519,0)*0.01196),"")</f>
        <v>0.19136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85.303030303030297</v>
      </c>
      <c r="BN519" s="78">
        <f t="shared" si="86"/>
        <v>90.08</v>
      </c>
      <c r="BO519" s="78">
        <f t="shared" si="87"/>
        <v>0.14568764568764569</v>
      </c>
      <c r="BP519" s="78">
        <f t="shared" si="88"/>
        <v>0.15384615384615385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32.196969696969695</v>
      </c>
      <c r="Y524" s="43">
        <f>IFERROR(Y517/H517,"0")+IFERROR(Y518/H518,"0")+IFERROR(Y519/H519,"0")+IFERROR(Y520/H520,"0")+IFERROR(Y521/H521,"0")+IFERROR(Y522/H522,"0")+IFERROR(Y523/H523,"0")</f>
        <v>34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0.40664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170</v>
      </c>
      <c r="Y525" s="43">
        <f>IFERROR(SUM(Y517:Y523),"0")</f>
        <v>179.52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50</v>
      </c>
      <c r="Y529" s="55">
        <f>IFERROR(IF(X529="",0,CEILING((X529/$H529),1)*$H529),"")</f>
        <v>60</v>
      </c>
      <c r="Z529" s="41">
        <f>IFERROR(IF(Y529=0,"",ROUNDUP(Y529/H529,0)*0.01898),"")</f>
        <v>9.4899999999999998E-2</v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51.708333333333336</v>
      </c>
      <c r="BN529" s="78">
        <f>IFERROR(Y529*I529/H529,"0")</f>
        <v>62.050000000000004</v>
      </c>
      <c r="BO529" s="78">
        <f>IFERROR(1/J529*(X529/H529),"0")</f>
        <v>6.5104166666666671E-2</v>
      </c>
      <c r="BP529" s="78">
        <f>IFERROR(1/J529*(Y529/H529),"0")</f>
        <v>7.8125E-2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4.166666666666667</v>
      </c>
      <c r="Y530" s="43">
        <f>IFERROR(Y529/H529,"0")</f>
        <v>5</v>
      </c>
      <c r="Z530" s="43">
        <f>IFERROR(IF(Z529="",0,Z529),"0")</f>
        <v>9.4899999999999998E-2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50</v>
      </c>
      <c r="Y531" s="43">
        <f>IFERROR(SUM(Y529:Y529),"0")</f>
        <v>60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20</v>
      </c>
      <c r="Y537" s="55">
        <f>IFERROR(IF(X537="",0,CEILING((X537/$H537),1)*$H537),"")</f>
        <v>21</v>
      </c>
      <c r="Z537" s="41">
        <f>IFERROR(IF(Y537=0,"",ROUNDUP(Y537/H537,0)*0.00902),"")</f>
        <v>4.5100000000000001E-2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21.19047619047619</v>
      </c>
      <c r="BN537" s="78">
        <f>IFERROR(Y537*I537/H537,"0")</f>
        <v>22.25</v>
      </c>
      <c r="BO537" s="78">
        <f>IFERROR(1/J537*(X537/H537),"0")</f>
        <v>3.6075036075036072E-2</v>
      </c>
      <c r="BP537" s="78">
        <f>IFERROR(1/J537*(Y537/H537),"0")</f>
        <v>3.787878787878788E-2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4.7619047619047619</v>
      </c>
      <c r="Y538" s="43">
        <f>IFERROR(Y537/H537,"0")</f>
        <v>5</v>
      </c>
      <c r="Z538" s="43">
        <f>IFERROR(IF(Z537="",0,Z537),"0")</f>
        <v>4.5100000000000001E-2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20</v>
      </c>
      <c r="Y539" s="43">
        <f>IFERROR(SUM(Y537:Y537),"0")</f>
        <v>21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4946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5023.1400000000003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5200.8578429595082</v>
      </c>
      <c r="Y555" s="43">
        <f>IFERROR(SUM(BN22:BN551),"0")</f>
        <v>5281.6280000000006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9</v>
      </c>
      <c r="Y556" s="44">
        <f>ROUNDUP(SUM(BP22:BP551),0)</f>
        <v>9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5425.8578429595082</v>
      </c>
      <c r="Y557" s="43">
        <f>GrossWeightTotalR+PalletQtyTotalR*25</f>
        <v>5506.6280000000006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634.49135432468768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645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10.239190000000001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21.6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151.20000000000002</v>
      </c>
      <c r="F564" s="52">
        <f>IFERROR(Y85*1,"0")+IFERROR(Y86*1,"0")+IFERROR(Y87*1,"0")+IFERROR(Y88*1,"0")+IFERROR(Y89*1,"0")+IFERROR(Y93*1,"0")+IFERROR(Y94*1,"0")+IFERROR(Y95*1,"0")+IFERROR(Y96*1,"0")</f>
        <v>32.4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56.699999999999996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84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75.600000000000009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2397</v>
      </c>
      <c r="U564" s="52">
        <f>IFERROR(Y412*1,"0")+IFERROR(Y413*1,"0")</f>
        <v>156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1581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32.400000000000006</v>
      </c>
      <c r="Z564" s="52">
        <f>IFERROR(Y487*1,"0")+IFERROR(Y491*1,"0")+IFERROR(Y492*1,"0")+IFERROR(Y493*1,"0")</f>
        <v>21.6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332.64000000000004</v>
      </c>
      <c r="AB564" s="52">
        <f>IFERROR(Y529*1,"0")+IFERROR(Y533*1,"0")+IFERROR(Y537*1,"0")+IFERROR(Y541*1,"0")+IFERROR(Y545*1,"0")+IFERROR(Y546*1,"0")</f>
        <v>81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85"/>
        <filter val="100,00"/>
        <filter val="12,96"/>
        <filter val="13,89"/>
        <filter val="150,00"/>
        <filter val="170,00"/>
        <filter val="18,94"/>
        <filter val="19,05"/>
        <filter val="19,23"/>
        <filter val="2 000,00"/>
        <filter val="20,00"/>
        <filter val="256,41"/>
        <filter val="3,70"/>
        <filter val="30,00"/>
        <filter val="300,00"/>
        <filter val="32,20"/>
        <filter val="36,00"/>
        <filter val="4 946,00"/>
        <filter val="4,00"/>
        <filter val="4,17"/>
        <filter val="4,76"/>
        <filter val="40,00"/>
        <filter val="45,00"/>
        <filter val="46,67"/>
        <filter val="5 200,86"/>
        <filter val="5 425,86"/>
        <filter val="5,56"/>
        <filter val="50,00"/>
        <filter val="55,33"/>
        <filter val="6,17"/>
        <filter val="634,49"/>
        <filter val="70,00"/>
        <filter val="700,00"/>
        <filter val="71,43"/>
        <filter val="80,00"/>
        <filter val="800,00"/>
        <filter val="830,00"/>
        <filter val="9"/>
        <filter val="9,47"/>
        <filter val="9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2026-09-22T07:23:29Z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